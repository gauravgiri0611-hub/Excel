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95462848225d6458/Desktop/"/>
    </mc:Choice>
  </mc:AlternateContent>
  <xr:revisionPtr revIDLastSave="2578" documentId="8_{628EAD35-8D59-405D-8922-33624BFED238}" xr6:coauthVersionLast="47" xr6:coauthVersionMax="47" xr10:uidLastSave="{61983E75-A6FA-44E0-806D-FA569D5A61C1}"/>
  <bookViews>
    <workbookView xWindow="-108" yWindow="-108" windowWidth="23256" windowHeight="13896" activeTab="5" xr2:uid="{00000000-000D-0000-FFFF-FFFF00000000}"/>
  </bookViews>
  <sheets>
    <sheet name="Loan_Data" sheetId="1" r:id="rId1"/>
    <sheet name="Reference_Tables" sheetId="2" r:id="rId2"/>
    <sheet name="Task_Workspace" sheetId="3" r:id="rId3"/>
    <sheet name="Pivot_Analysis" sheetId="18" r:id="rId4"/>
    <sheet name="Charts" sheetId="19" r:id="rId5"/>
    <sheet name="Dashboard_Shell" sheetId="4" r:id="rId6"/>
  </sheets>
  <definedNames>
    <definedName name="_xlnm._FilterDatabase" localSheetId="0" hidden="1">Loan_Data!$A$1:$S$1201</definedName>
    <definedName name="_xlnm._FilterDatabase" localSheetId="2" hidden="1">Task_Workspace!$A$1:$K$1201</definedName>
    <definedName name="_xlcn.WorksheetConnection_FinServe_Loan_Portfolio_Dataset1.xlsxLoanData" hidden="1">LoanData[]</definedName>
    <definedName name="_xlnm.Criteria" localSheetId="0">Loan_Data!$BG$7:$BY$8</definedName>
    <definedName name="_xlnm.Extract" localSheetId="0">Loan_Data!$BG$10:$BY$10</definedName>
    <definedName name="NativeTimeline_Application_Date">#N/A</definedName>
    <definedName name="Slicer_Loan_Status">#N/A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a="1"/>
  <c r="H3" i="3"/>
  <c r="H4" i="3" a="1"/>
  <c r="H4" i="3"/>
  <c r="I4" i="3" s="1"/>
  <c r="H5" i="3" a="1"/>
  <c r="H5" i="3"/>
  <c r="H6" i="3" a="1"/>
  <c r="H6" i="3"/>
  <c r="H7" i="3" a="1"/>
  <c r="H7" i="3"/>
  <c r="I7" i="3" s="1"/>
  <c r="H8" i="3" a="1"/>
  <c r="H8" i="3"/>
  <c r="I8" i="3" s="1"/>
  <c r="H9" i="3" a="1"/>
  <c r="H9" i="3"/>
  <c r="I9" i="3" s="1"/>
  <c r="H10" i="3" a="1"/>
  <c r="H10" i="3"/>
  <c r="I10" i="3" s="1"/>
  <c r="H11" i="3" a="1"/>
  <c r="H11" i="3"/>
  <c r="I11" i="3" s="1"/>
  <c r="H12" i="3" a="1"/>
  <c r="H12" i="3"/>
  <c r="H13" i="3" a="1"/>
  <c r="H13" i="3"/>
  <c r="H14" i="3" a="1"/>
  <c r="H14" i="3"/>
  <c r="I14" i="3" s="1"/>
  <c r="H15" i="3" a="1"/>
  <c r="H15" i="3"/>
  <c r="I15" i="3" s="1"/>
  <c r="H16" i="3" a="1"/>
  <c r="H16" i="3"/>
  <c r="I16" i="3" s="1"/>
  <c r="H17" i="3" a="1"/>
  <c r="H17" i="3"/>
  <c r="I17" i="3" s="1"/>
  <c r="H18" i="3" a="1"/>
  <c r="H18" i="3"/>
  <c r="I18" i="3" s="1"/>
  <c r="H19" i="3" a="1"/>
  <c r="H19" i="3"/>
  <c r="H20" i="3" a="1"/>
  <c r="H20" i="3"/>
  <c r="H21" i="3" a="1"/>
  <c r="H21" i="3"/>
  <c r="I21" i="3" s="1"/>
  <c r="H22" i="3" a="1"/>
  <c r="H22" i="3"/>
  <c r="H23" i="3" a="1"/>
  <c r="H23" i="3"/>
  <c r="I23" i="3" s="1"/>
  <c r="H24" i="3" a="1"/>
  <c r="H24" i="3"/>
  <c r="I24" i="3" s="1"/>
  <c r="H25" i="3" a="1"/>
  <c r="H25" i="3"/>
  <c r="I25" i="3" s="1"/>
  <c r="H26" i="3" a="1"/>
  <c r="H26" i="3"/>
  <c r="H27" i="3" a="1"/>
  <c r="H27" i="3"/>
  <c r="H28" i="3" a="1"/>
  <c r="H28" i="3"/>
  <c r="I28" i="3" s="1"/>
  <c r="H29" i="3" a="1"/>
  <c r="H29" i="3"/>
  <c r="I29" i="3" s="1"/>
  <c r="H30" i="3" a="1"/>
  <c r="H30" i="3"/>
  <c r="I30" i="3" s="1"/>
  <c r="H31" i="3" a="1"/>
  <c r="H31" i="3"/>
  <c r="I31" i="3" s="1"/>
  <c r="H32" i="3" a="1"/>
  <c r="H32" i="3"/>
  <c r="I32" i="3" s="1"/>
  <c r="H33" i="3" a="1"/>
  <c r="H33" i="3"/>
  <c r="H34" i="3" a="1"/>
  <c r="H34" i="3"/>
  <c r="H35" i="3" a="1"/>
  <c r="H35" i="3"/>
  <c r="H36" i="3" a="1"/>
  <c r="H36" i="3"/>
  <c r="H37" i="3" a="1"/>
  <c r="H37" i="3"/>
  <c r="I37" i="3" s="1"/>
  <c r="H38" i="3" a="1"/>
  <c r="H38" i="3"/>
  <c r="I38" i="3" s="1"/>
  <c r="H39" i="3" a="1"/>
  <c r="H39" i="3"/>
  <c r="I39" i="3" s="1"/>
  <c r="H40" i="3" a="1"/>
  <c r="H40" i="3"/>
  <c r="H41" i="3" a="1"/>
  <c r="H41" i="3"/>
  <c r="I41" i="3" s="1"/>
  <c r="H42" i="3" a="1"/>
  <c r="H42" i="3"/>
  <c r="H43" i="3" a="1"/>
  <c r="H43" i="3"/>
  <c r="H44" i="3" a="1"/>
  <c r="H44" i="3"/>
  <c r="I44" i="3" s="1"/>
  <c r="H45" i="3" a="1"/>
  <c r="H45" i="3"/>
  <c r="I45" i="3" s="1"/>
  <c r="H46" i="3" a="1"/>
  <c r="H46" i="3"/>
  <c r="I46" i="3" s="1"/>
  <c r="H47" i="3" a="1"/>
  <c r="H47" i="3"/>
  <c r="H48" i="3" a="1"/>
  <c r="H48" i="3"/>
  <c r="I48" i="3" s="1"/>
  <c r="H49" i="3" a="1"/>
  <c r="H49" i="3"/>
  <c r="I49" i="3" s="1"/>
  <c r="H50" i="3" a="1"/>
  <c r="H50" i="3"/>
  <c r="I50" i="3" s="1"/>
  <c r="H51" i="3" a="1"/>
  <c r="H51" i="3"/>
  <c r="I51" i="3" s="1"/>
  <c r="H52" i="3" a="1"/>
  <c r="H52" i="3"/>
  <c r="I52" i="3" s="1"/>
  <c r="H53" i="3" a="1"/>
  <c r="H53" i="3"/>
  <c r="I53" i="3" s="1"/>
  <c r="H54" i="3" a="1"/>
  <c r="H54" i="3"/>
  <c r="H55" i="3" a="1"/>
  <c r="H55" i="3"/>
  <c r="H56" i="3" a="1"/>
  <c r="H56" i="3"/>
  <c r="I56" i="3" s="1"/>
  <c r="H57" i="3" a="1"/>
  <c r="H57" i="3"/>
  <c r="I57" i="3" s="1"/>
  <c r="H58" i="3" a="1"/>
  <c r="H58" i="3"/>
  <c r="I58" i="3" s="1"/>
  <c r="H59" i="3" a="1"/>
  <c r="H59" i="3"/>
  <c r="I59" i="3" s="1"/>
  <c r="H60" i="3" a="1"/>
  <c r="H60" i="3"/>
  <c r="I60" i="3" s="1"/>
  <c r="H61" i="3" a="1"/>
  <c r="H61" i="3"/>
  <c r="H62" i="3" a="1"/>
  <c r="H62" i="3"/>
  <c r="H63" i="3" a="1"/>
  <c r="H63" i="3"/>
  <c r="H64" i="3" a="1"/>
  <c r="H64" i="3"/>
  <c r="H65" i="3" a="1"/>
  <c r="H65" i="3"/>
  <c r="I65" i="3" s="1"/>
  <c r="H66" i="3" a="1"/>
  <c r="H66" i="3"/>
  <c r="I66" i="3" s="1"/>
  <c r="H67" i="3" a="1"/>
  <c r="H67" i="3"/>
  <c r="I67" i="3" s="1"/>
  <c r="H68" i="3" a="1"/>
  <c r="H68" i="3"/>
  <c r="I68" i="3" s="1"/>
  <c r="H69" i="3" a="1"/>
  <c r="H69" i="3"/>
  <c r="I69" i="3" s="1"/>
  <c r="H70" i="3" a="1"/>
  <c r="H70" i="3"/>
  <c r="I70" i="3" s="1"/>
  <c r="H71" i="3" a="1"/>
  <c r="H71" i="3"/>
  <c r="I71" i="3" s="1"/>
  <c r="H72" i="3" a="1"/>
  <c r="H72" i="3"/>
  <c r="I72" i="3" s="1"/>
  <c r="H73" i="3" a="1"/>
  <c r="H73" i="3"/>
  <c r="I73" i="3" s="1"/>
  <c r="H74" i="3" a="1"/>
  <c r="H74" i="3"/>
  <c r="I74" i="3" s="1"/>
  <c r="H75" i="3" a="1"/>
  <c r="H75" i="3"/>
  <c r="H76" i="3" a="1"/>
  <c r="H76" i="3"/>
  <c r="H77" i="3" a="1"/>
  <c r="H77" i="3"/>
  <c r="H78" i="3" a="1"/>
  <c r="H78" i="3"/>
  <c r="I78" i="3" s="1"/>
  <c r="H79" i="3" a="1"/>
  <c r="H79" i="3"/>
  <c r="I79" i="3" s="1"/>
  <c r="H80" i="3" a="1"/>
  <c r="H80" i="3"/>
  <c r="H81" i="3" a="1"/>
  <c r="H81" i="3"/>
  <c r="I81" i="3" s="1"/>
  <c r="H82" i="3" a="1"/>
  <c r="H82" i="3"/>
  <c r="H83" i="3" a="1"/>
  <c r="H83" i="3"/>
  <c r="H84" i="3" a="1"/>
  <c r="H84" i="3"/>
  <c r="I84" i="3" s="1"/>
  <c r="H85" i="3" a="1"/>
  <c r="H85" i="3"/>
  <c r="H86" i="3" a="1"/>
  <c r="H86" i="3"/>
  <c r="I86" i="3" s="1"/>
  <c r="H87" i="3" a="1"/>
  <c r="H87" i="3"/>
  <c r="I87" i="3" s="1"/>
  <c r="H88" i="3" a="1"/>
  <c r="H88" i="3"/>
  <c r="I88" i="3" s="1"/>
  <c r="H89" i="3" a="1"/>
  <c r="H89" i="3"/>
  <c r="H90" i="3" a="1"/>
  <c r="H90" i="3"/>
  <c r="I90" i="3" s="1"/>
  <c r="H91" i="3" a="1"/>
  <c r="H91" i="3"/>
  <c r="I91" i="3" s="1"/>
  <c r="H92" i="3" a="1"/>
  <c r="H92" i="3"/>
  <c r="I92" i="3" s="1"/>
  <c r="H93" i="3" a="1"/>
  <c r="H93" i="3"/>
  <c r="I93" i="3" s="1"/>
  <c r="H94" i="3" a="1"/>
  <c r="H94" i="3"/>
  <c r="I94" i="3" s="1"/>
  <c r="H95" i="3" a="1"/>
  <c r="H95" i="3"/>
  <c r="I95" i="3" s="1"/>
  <c r="H96" i="3" a="1"/>
  <c r="H96" i="3"/>
  <c r="H97" i="3" a="1"/>
  <c r="H97" i="3"/>
  <c r="H98" i="3" a="1"/>
  <c r="H98" i="3"/>
  <c r="I98" i="3" s="1"/>
  <c r="H99" i="3" a="1"/>
  <c r="H99" i="3"/>
  <c r="I99" i="3" s="1"/>
  <c r="H100" i="3" a="1"/>
  <c r="H100" i="3"/>
  <c r="I100" i="3" s="1"/>
  <c r="H101" i="3" a="1"/>
  <c r="H101" i="3"/>
  <c r="I101" i="3" s="1"/>
  <c r="H102" i="3" a="1"/>
  <c r="H102" i="3"/>
  <c r="I102" i="3" s="1"/>
  <c r="H103" i="3" a="1"/>
  <c r="H103" i="3"/>
  <c r="H104" i="3" a="1"/>
  <c r="H104" i="3"/>
  <c r="H105" i="3" a="1"/>
  <c r="H105" i="3"/>
  <c r="I105" i="3" s="1"/>
  <c r="H106" i="3" a="1"/>
  <c r="H106" i="3"/>
  <c r="H107" i="3" a="1"/>
  <c r="H107" i="3"/>
  <c r="I107" i="3" s="1"/>
  <c r="H108" i="3" a="1"/>
  <c r="H108" i="3"/>
  <c r="I108" i="3" s="1"/>
  <c r="H109" i="3" a="1"/>
  <c r="H109" i="3"/>
  <c r="I109" i="3" s="1"/>
  <c r="H110" i="3" a="1"/>
  <c r="H110" i="3"/>
  <c r="H111" i="3" a="1"/>
  <c r="H111" i="3"/>
  <c r="H112" i="3" a="1"/>
  <c r="H112" i="3"/>
  <c r="I112" i="3" s="1"/>
  <c r="H113" i="3" a="1"/>
  <c r="H113" i="3"/>
  <c r="H114" i="3" a="1"/>
  <c r="H114" i="3"/>
  <c r="I114" i="3" s="1"/>
  <c r="H115" i="3" a="1"/>
  <c r="H115" i="3"/>
  <c r="I115" i="3" s="1"/>
  <c r="H116" i="3" a="1"/>
  <c r="H116" i="3"/>
  <c r="I116" i="3" s="1"/>
  <c r="H117" i="3" a="1"/>
  <c r="H117" i="3"/>
  <c r="H118" i="3" a="1"/>
  <c r="H118" i="3"/>
  <c r="I118" i="3" s="1"/>
  <c r="H119" i="3" a="1"/>
  <c r="H119" i="3"/>
  <c r="I119" i="3" s="1"/>
  <c r="H120" i="3" a="1"/>
  <c r="H120" i="3"/>
  <c r="I120" i="3" s="1"/>
  <c r="H121" i="3" a="1"/>
  <c r="H121" i="3"/>
  <c r="I121" i="3" s="1"/>
  <c r="H122" i="3" a="1"/>
  <c r="H122" i="3"/>
  <c r="H123" i="3" a="1"/>
  <c r="H123" i="3"/>
  <c r="I123" i="3" s="1"/>
  <c r="H124" i="3" a="1"/>
  <c r="H124" i="3"/>
  <c r="H125" i="3" a="1"/>
  <c r="H125" i="3"/>
  <c r="I125" i="3" s="1"/>
  <c r="H126" i="3" a="1"/>
  <c r="H126" i="3"/>
  <c r="I126" i="3" s="1"/>
  <c r="H127" i="3" a="1"/>
  <c r="H127" i="3"/>
  <c r="I127" i="3" s="1"/>
  <c r="H128" i="3" a="1"/>
  <c r="H128" i="3"/>
  <c r="I128" i="3" s="1"/>
  <c r="H129" i="3" a="1"/>
  <c r="H129" i="3"/>
  <c r="I129" i="3" s="1"/>
  <c r="H130" i="3" a="1"/>
  <c r="H130" i="3"/>
  <c r="I130" i="3" s="1"/>
  <c r="H131" i="3" a="1"/>
  <c r="H131" i="3"/>
  <c r="H132" i="3" a="1"/>
  <c r="H132" i="3"/>
  <c r="I132" i="3" s="1"/>
  <c r="H133" i="3" a="1"/>
  <c r="H133" i="3"/>
  <c r="I133" i="3" s="1"/>
  <c r="H134" i="3" a="1"/>
  <c r="H134" i="3"/>
  <c r="H135" i="3" a="1"/>
  <c r="H135" i="3"/>
  <c r="I135" i="3" s="1"/>
  <c r="H136" i="3" a="1"/>
  <c r="H136" i="3"/>
  <c r="I136" i="3" s="1"/>
  <c r="H137" i="3" a="1"/>
  <c r="H137" i="3"/>
  <c r="I137" i="3" s="1"/>
  <c r="H138" i="3" a="1"/>
  <c r="H138" i="3"/>
  <c r="H139" i="3" a="1"/>
  <c r="H139" i="3"/>
  <c r="H140" i="3" a="1"/>
  <c r="H140" i="3"/>
  <c r="H141" i="3" a="1"/>
  <c r="H141" i="3"/>
  <c r="I141" i="3" s="1"/>
  <c r="H142" i="3" a="1"/>
  <c r="H142" i="3"/>
  <c r="I142" i="3" s="1"/>
  <c r="H143" i="3" a="1"/>
  <c r="H143" i="3"/>
  <c r="I143" i="3" s="1"/>
  <c r="H144" i="3" a="1"/>
  <c r="H144" i="3"/>
  <c r="I144" i="3" s="1"/>
  <c r="H145" i="3" a="1"/>
  <c r="H145" i="3"/>
  <c r="H146" i="3" a="1"/>
  <c r="H146" i="3"/>
  <c r="H147" i="3" a="1"/>
  <c r="H147" i="3"/>
  <c r="H148" i="3" a="1"/>
  <c r="H148" i="3"/>
  <c r="I148" i="3" s="1"/>
  <c r="H149" i="3" a="1"/>
  <c r="H149" i="3"/>
  <c r="I149" i="3" s="1"/>
  <c r="H150" i="3" a="1"/>
  <c r="H150" i="3"/>
  <c r="H151" i="3" a="1"/>
  <c r="H151" i="3"/>
  <c r="I151" i="3" s="1"/>
  <c r="H152" i="3" a="1"/>
  <c r="H152" i="3"/>
  <c r="H153" i="3" a="1"/>
  <c r="H153" i="3"/>
  <c r="I153" i="3" s="1"/>
  <c r="H154" i="3" a="1"/>
  <c r="H154" i="3"/>
  <c r="I154" i="3" s="1"/>
  <c r="H155" i="3" a="1"/>
  <c r="H155" i="3"/>
  <c r="I155" i="3" s="1"/>
  <c r="H156" i="3" a="1"/>
  <c r="H156" i="3"/>
  <c r="I156" i="3" s="1"/>
  <c r="H157" i="3" a="1"/>
  <c r="H157" i="3"/>
  <c r="I157" i="3" s="1"/>
  <c r="H158" i="3" a="1"/>
  <c r="H158" i="3"/>
  <c r="I158" i="3" s="1"/>
  <c r="H159" i="3" a="1"/>
  <c r="H159" i="3"/>
  <c r="H160" i="3" a="1"/>
  <c r="H160" i="3"/>
  <c r="I160" i="3" s="1"/>
  <c r="H161" i="3" a="1"/>
  <c r="H161" i="3"/>
  <c r="H162" i="3" a="1"/>
  <c r="H162" i="3"/>
  <c r="I162" i="3" s="1"/>
  <c r="H163" i="3" a="1"/>
  <c r="H163" i="3"/>
  <c r="I163" i="3" s="1"/>
  <c r="H164" i="3" a="1"/>
  <c r="H164" i="3"/>
  <c r="I164" i="3" s="1"/>
  <c r="H165" i="3" a="1"/>
  <c r="H165" i="3"/>
  <c r="I165" i="3" s="1"/>
  <c r="H166" i="3" a="1"/>
  <c r="H166" i="3"/>
  <c r="H167" i="3" a="1"/>
  <c r="H167" i="3"/>
  <c r="I167" i="3" s="1"/>
  <c r="H168" i="3" a="1"/>
  <c r="H168" i="3"/>
  <c r="I168" i="3" s="1"/>
  <c r="H169" i="3" a="1"/>
  <c r="H169" i="3"/>
  <c r="H170" i="3" a="1"/>
  <c r="H170" i="3"/>
  <c r="I170" i="3" s="1"/>
  <c r="H171" i="3" a="1"/>
  <c r="H171" i="3"/>
  <c r="H172" i="3" a="1"/>
  <c r="H172" i="3"/>
  <c r="I172" i="3" s="1"/>
  <c r="H173" i="3" a="1"/>
  <c r="H173" i="3"/>
  <c r="H174" i="3" a="1"/>
  <c r="H174" i="3"/>
  <c r="I174" i="3" s="1"/>
  <c r="H175" i="3" a="1"/>
  <c r="H175" i="3"/>
  <c r="I175" i="3" s="1"/>
  <c r="H176" i="3" a="1"/>
  <c r="H176" i="3"/>
  <c r="I176" i="3" s="1"/>
  <c r="H177" i="3" a="1"/>
  <c r="H177" i="3"/>
  <c r="I177" i="3" s="1"/>
  <c r="H178" i="3" a="1"/>
  <c r="H178" i="3"/>
  <c r="I178" i="3" s="1"/>
  <c r="H179" i="3" a="1"/>
  <c r="H179" i="3"/>
  <c r="I179" i="3" s="1"/>
  <c r="H180" i="3" a="1"/>
  <c r="H180" i="3"/>
  <c r="H181" i="3" a="1"/>
  <c r="H181" i="3"/>
  <c r="H182" i="3" a="1"/>
  <c r="H182" i="3"/>
  <c r="H183" i="3" a="1"/>
  <c r="H183" i="3"/>
  <c r="H184" i="3" a="1"/>
  <c r="H184" i="3"/>
  <c r="I184" i="3" s="1"/>
  <c r="H185" i="3" a="1"/>
  <c r="H185" i="3"/>
  <c r="H186" i="3" a="1"/>
  <c r="H186" i="3"/>
  <c r="I186" i="3" s="1"/>
  <c r="H187" i="3" a="1"/>
  <c r="H187" i="3"/>
  <c r="H188" i="3" a="1"/>
  <c r="H188" i="3"/>
  <c r="H189" i="3" a="1"/>
  <c r="H189" i="3"/>
  <c r="I189" i="3" s="1"/>
  <c r="H190" i="3" a="1"/>
  <c r="H190" i="3"/>
  <c r="I190" i="3" s="1"/>
  <c r="H191" i="3" a="1"/>
  <c r="H191" i="3"/>
  <c r="I191" i="3" s="1"/>
  <c r="H192" i="3" a="1"/>
  <c r="H192" i="3"/>
  <c r="I192" i="3" s="1"/>
  <c r="H193" i="3" a="1"/>
  <c r="H193" i="3"/>
  <c r="I193" i="3" s="1"/>
  <c r="H194" i="3" a="1"/>
  <c r="H194" i="3"/>
  <c r="H195" i="3" a="1"/>
  <c r="H195" i="3"/>
  <c r="I195" i="3" s="1"/>
  <c r="H196" i="3" a="1"/>
  <c r="H196" i="3"/>
  <c r="I196" i="3" s="1"/>
  <c r="H197" i="3" a="1"/>
  <c r="H197" i="3"/>
  <c r="I197" i="3" s="1"/>
  <c r="H198" i="3" a="1"/>
  <c r="H198" i="3"/>
  <c r="I198" i="3" s="1"/>
  <c r="H199" i="3" a="1"/>
  <c r="H199" i="3"/>
  <c r="I199" i="3" s="1"/>
  <c r="H200" i="3" a="1"/>
  <c r="H200" i="3"/>
  <c r="I200" i="3" s="1"/>
  <c r="H201" i="3" a="1"/>
  <c r="H201" i="3"/>
  <c r="H202" i="3" a="1"/>
  <c r="H202" i="3"/>
  <c r="H203" i="3" a="1"/>
  <c r="H203" i="3"/>
  <c r="H204" i="3" a="1"/>
  <c r="H204" i="3"/>
  <c r="H205" i="3" a="1"/>
  <c r="H205" i="3"/>
  <c r="I205" i="3" s="1"/>
  <c r="H206" i="3" a="1"/>
  <c r="H206" i="3"/>
  <c r="I206" i="3" s="1"/>
  <c r="H207" i="3" a="1"/>
  <c r="H207" i="3"/>
  <c r="I207" i="3" s="1"/>
  <c r="H208" i="3" a="1"/>
  <c r="H208" i="3"/>
  <c r="I208" i="3" s="1"/>
  <c r="H209" i="3" a="1"/>
  <c r="H209" i="3"/>
  <c r="I209" i="3" s="1"/>
  <c r="H210" i="3" a="1"/>
  <c r="H210" i="3"/>
  <c r="I210" i="3" s="1"/>
  <c r="H211" i="3" a="1"/>
  <c r="H211" i="3"/>
  <c r="H212" i="3" a="1"/>
  <c r="H212" i="3"/>
  <c r="I212" i="3" s="1"/>
  <c r="H213" i="3" a="1"/>
  <c r="H213" i="3"/>
  <c r="H214" i="3" a="1"/>
  <c r="H214" i="3"/>
  <c r="I214" i="3" s="1"/>
  <c r="H215" i="3" a="1"/>
  <c r="H215" i="3"/>
  <c r="H216" i="3" a="1"/>
  <c r="H216" i="3"/>
  <c r="I216" i="3" s="1"/>
  <c r="H217" i="3" a="1"/>
  <c r="H217" i="3"/>
  <c r="I217" i="3" s="1"/>
  <c r="H218" i="3" a="1"/>
  <c r="H218" i="3"/>
  <c r="I218" i="3" s="1"/>
  <c r="H219" i="3" a="1"/>
  <c r="H219" i="3"/>
  <c r="I219" i="3" s="1"/>
  <c r="H220" i="3" a="1"/>
  <c r="H220" i="3"/>
  <c r="I220" i="3" s="1"/>
  <c r="H221" i="3" a="1"/>
  <c r="H221" i="3"/>
  <c r="I221" i="3" s="1"/>
  <c r="H222" i="3" a="1"/>
  <c r="H222" i="3"/>
  <c r="I222" i="3" s="1"/>
  <c r="H223" i="3" a="1"/>
  <c r="H223" i="3"/>
  <c r="H224" i="3" a="1"/>
  <c r="H224" i="3"/>
  <c r="I224" i="3" s="1"/>
  <c r="H225" i="3" a="1"/>
  <c r="H225" i="3"/>
  <c r="I225" i="3" s="1"/>
  <c r="H226" i="3" a="1"/>
  <c r="H226" i="3"/>
  <c r="I226" i="3" s="1"/>
  <c r="H227" i="3" a="1"/>
  <c r="H227" i="3"/>
  <c r="I227" i="3" s="1"/>
  <c r="H228" i="3" a="1"/>
  <c r="H228" i="3"/>
  <c r="I228" i="3" s="1"/>
  <c r="H229" i="3" a="1"/>
  <c r="H229" i="3"/>
  <c r="H230" i="3" a="1"/>
  <c r="H230" i="3"/>
  <c r="I230" i="3" s="1"/>
  <c r="H231" i="3" a="1"/>
  <c r="H231" i="3"/>
  <c r="I231" i="3" s="1"/>
  <c r="H232" i="3" a="1"/>
  <c r="H232" i="3"/>
  <c r="H233" i="3" a="1"/>
  <c r="H233" i="3"/>
  <c r="I233" i="3" s="1"/>
  <c r="H234" i="3" a="1"/>
  <c r="H234" i="3"/>
  <c r="I234" i="3" s="1"/>
  <c r="H235" i="3" a="1"/>
  <c r="H235" i="3"/>
  <c r="I235" i="3" s="1"/>
  <c r="H236" i="3" a="1"/>
  <c r="H236" i="3"/>
  <c r="H237" i="3" a="1"/>
  <c r="H237" i="3"/>
  <c r="H238" i="3" a="1"/>
  <c r="H238" i="3"/>
  <c r="H239" i="3" a="1"/>
  <c r="H239" i="3"/>
  <c r="I239" i="3" s="1"/>
  <c r="H240" i="3" a="1"/>
  <c r="H240" i="3"/>
  <c r="I240" i="3" s="1"/>
  <c r="H241" i="3" a="1"/>
  <c r="H241" i="3"/>
  <c r="I241" i="3" s="1"/>
  <c r="H242" i="3" a="1"/>
  <c r="H242" i="3"/>
  <c r="I242" i="3" s="1"/>
  <c r="H243" i="3" a="1"/>
  <c r="H243" i="3"/>
  <c r="H244" i="3" a="1"/>
  <c r="H244" i="3"/>
  <c r="I244" i="3" s="1"/>
  <c r="H245" i="3" a="1"/>
  <c r="H245" i="3"/>
  <c r="I245" i="3" s="1"/>
  <c r="H246" i="3" a="1"/>
  <c r="H246" i="3"/>
  <c r="I246" i="3" s="1"/>
  <c r="H247" i="3" a="1"/>
  <c r="H247" i="3"/>
  <c r="I247" i="3" s="1"/>
  <c r="H248" i="3" a="1"/>
  <c r="H248" i="3"/>
  <c r="I248" i="3" s="1"/>
  <c r="H249" i="3" a="1"/>
  <c r="H249" i="3"/>
  <c r="I249" i="3" s="1"/>
  <c r="H250" i="3" a="1"/>
  <c r="H250" i="3"/>
  <c r="H251" i="3" a="1"/>
  <c r="H251" i="3"/>
  <c r="H252" i="3" a="1"/>
  <c r="H252" i="3"/>
  <c r="I252" i="3" s="1"/>
  <c r="H253" i="3" a="1"/>
  <c r="H253" i="3"/>
  <c r="H254" i="3" a="1"/>
  <c r="H254" i="3"/>
  <c r="I254" i="3" s="1"/>
  <c r="H255" i="3" a="1"/>
  <c r="H255" i="3"/>
  <c r="H256" i="3" a="1"/>
  <c r="H256" i="3"/>
  <c r="I256" i="3" s="1"/>
  <c r="H257" i="3" a="1"/>
  <c r="H257" i="3"/>
  <c r="I257" i="3" s="1"/>
  <c r="H258" i="3" a="1"/>
  <c r="H258" i="3"/>
  <c r="I258" i="3" s="1"/>
  <c r="H259" i="3" a="1"/>
  <c r="H259" i="3"/>
  <c r="I259" i="3" s="1"/>
  <c r="H260" i="3" a="1"/>
  <c r="H260" i="3"/>
  <c r="I260" i="3" s="1"/>
  <c r="H261" i="3" a="1"/>
  <c r="H261" i="3"/>
  <c r="I261" i="3" s="1"/>
  <c r="H262" i="3" a="1"/>
  <c r="H262" i="3"/>
  <c r="I262" i="3" s="1"/>
  <c r="H263" i="3" a="1"/>
  <c r="H263" i="3"/>
  <c r="I263" i="3" s="1"/>
  <c r="H264" i="3" a="1"/>
  <c r="H264" i="3"/>
  <c r="H265" i="3" a="1"/>
  <c r="H265" i="3"/>
  <c r="I265" i="3" s="1"/>
  <c r="H266" i="3" a="1"/>
  <c r="H266" i="3"/>
  <c r="H267" i="3" a="1"/>
  <c r="H267" i="3"/>
  <c r="I267" i="3" s="1"/>
  <c r="H268" i="3" a="1"/>
  <c r="H268" i="3"/>
  <c r="I268" i="3" s="1"/>
  <c r="H269" i="3" a="1"/>
  <c r="H269" i="3"/>
  <c r="H270" i="3" a="1"/>
  <c r="H270" i="3"/>
  <c r="I270" i="3" s="1"/>
  <c r="H271" i="3" a="1"/>
  <c r="H271" i="3"/>
  <c r="H272" i="3" a="1"/>
  <c r="H272" i="3"/>
  <c r="I272" i="3" s="1"/>
  <c r="H273" i="3" a="1"/>
  <c r="H273" i="3"/>
  <c r="H274" i="3" a="1"/>
  <c r="H274" i="3"/>
  <c r="H275" i="3" a="1"/>
  <c r="H275" i="3"/>
  <c r="I275" i="3" s="1"/>
  <c r="H276" i="3" a="1"/>
  <c r="H276" i="3"/>
  <c r="I276" i="3" s="1"/>
  <c r="H277" i="3" a="1"/>
  <c r="H277" i="3"/>
  <c r="I277" i="3" s="1"/>
  <c r="H278" i="3" a="1"/>
  <c r="H278" i="3"/>
  <c r="H279" i="3" a="1"/>
  <c r="H279" i="3"/>
  <c r="I279" i="3" s="1"/>
  <c r="H280" i="3" a="1"/>
  <c r="H280" i="3"/>
  <c r="I280" i="3" s="1"/>
  <c r="H281" i="3" a="1"/>
  <c r="H281" i="3"/>
  <c r="I281" i="3" s="1"/>
  <c r="H282" i="3" a="1"/>
  <c r="H282" i="3"/>
  <c r="I282" i="3" s="1"/>
  <c r="H283" i="3" a="1"/>
  <c r="H283" i="3"/>
  <c r="I283" i="3" s="1"/>
  <c r="H284" i="3" a="1"/>
  <c r="H284" i="3"/>
  <c r="I284" i="3" s="1"/>
  <c r="H285" i="3" a="1"/>
  <c r="H285" i="3"/>
  <c r="H286" i="3" a="1"/>
  <c r="H286" i="3"/>
  <c r="I286" i="3" s="1"/>
  <c r="H287" i="3" a="1"/>
  <c r="H287" i="3"/>
  <c r="I287" i="3" s="1"/>
  <c r="H288" i="3" a="1"/>
  <c r="H288" i="3"/>
  <c r="H289" i="3" a="1"/>
  <c r="H289" i="3"/>
  <c r="I289" i="3" s="1"/>
  <c r="H290" i="3" a="1"/>
  <c r="H290" i="3"/>
  <c r="H291" i="3" a="1"/>
  <c r="H291" i="3"/>
  <c r="I291" i="3" s="1"/>
  <c r="H292" i="3" a="1"/>
  <c r="H292" i="3"/>
  <c r="H293" i="3" a="1"/>
  <c r="H293" i="3"/>
  <c r="I293" i="3" s="1"/>
  <c r="H294" i="3" a="1"/>
  <c r="H294" i="3"/>
  <c r="H295" i="3" a="1"/>
  <c r="H295" i="3"/>
  <c r="H296" i="3" a="1"/>
  <c r="H296" i="3"/>
  <c r="I296" i="3" s="1"/>
  <c r="H297" i="3" a="1"/>
  <c r="H297" i="3"/>
  <c r="I297" i="3" s="1"/>
  <c r="H298" i="3" a="1"/>
  <c r="H298" i="3"/>
  <c r="I298" i="3" s="1"/>
  <c r="H299" i="3" a="1"/>
  <c r="H299" i="3"/>
  <c r="H300" i="3" a="1"/>
  <c r="H300" i="3"/>
  <c r="H301" i="3" a="1"/>
  <c r="H301" i="3"/>
  <c r="H302" i="3" a="1"/>
  <c r="H302" i="3"/>
  <c r="I302" i="3" s="1"/>
  <c r="H303" i="3" a="1"/>
  <c r="H303" i="3"/>
  <c r="I303" i="3" s="1"/>
  <c r="H304" i="3" a="1"/>
  <c r="H304" i="3"/>
  <c r="I304" i="3" s="1"/>
  <c r="H305" i="3" a="1"/>
  <c r="H305" i="3"/>
  <c r="I305" i="3" s="1"/>
  <c r="H306" i="3" a="1"/>
  <c r="H306" i="3"/>
  <c r="H307" i="3" a="1"/>
  <c r="H307" i="3"/>
  <c r="I307" i="3" s="1"/>
  <c r="H308" i="3" a="1"/>
  <c r="H308" i="3"/>
  <c r="I308" i="3" s="1"/>
  <c r="H309" i="3" a="1"/>
  <c r="H309" i="3"/>
  <c r="I309" i="3" s="1"/>
  <c r="H310" i="3" a="1"/>
  <c r="H310" i="3"/>
  <c r="I310" i="3" s="1"/>
  <c r="H311" i="3" a="1"/>
  <c r="H311" i="3"/>
  <c r="I311" i="3" s="1"/>
  <c r="H312" i="3" a="1"/>
  <c r="H312" i="3"/>
  <c r="I312" i="3" s="1"/>
  <c r="H313" i="3" a="1"/>
  <c r="H313" i="3"/>
  <c r="H314" i="3" a="1"/>
  <c r="H314" i="3"/>
  <c r="I314" i="3" s="1"/>
  <c r="H315" i="3" a="1"/>
  <c r="H315" i="3"/>
  <c r="H316" i="3" a="1"/>
  <c r="H316" i="3"/>
  <c r="H317" i="3" a="1"/>
  <c r="H317" i="3"/>
  <c r="I317" i="3" s="1"/>
  <c r="H318" i="3" a="1"/>
  <c r="H318" i="3"/>
  <c r="I318" i="3" s="1"/>
  <c r="H319" i="3" a="1"/>
  <c r="H319" i="3"/>
  <c r="I319" i="3" s="1"/>
  <c r="H320" i="3" a="1"/>
  <c r="H320" i="3"/>
  <c r="H321" i="3" a="1"/>
  <c r="H321" i="3"/>
  <c r="I321" i="3" s="1"/>
  <c r="H322" i="3" a="1"/>
  <c r="H322" i="3"/>
  <c r="I322" i="3" s="1"/>
  <c r="H323" i="3" a="1"/>
  <c r="H323" i="3"/>
  <c r="I323" i="3" s="1"/>
  <c r="H324" i="3" a="1"/>
  <c r="H324" i="3"/>
  <c r="I324" i="3" s="1"/>
  <c r="H325" i="3" a="1"/>
  <c r="H325" i="3"/>
  <c r="I325" i="3" s="1"/>
  <c r="H326" i="3" a="1"/>
  <c r="H326" i="3"/>
  <c r="I326" i="3" s="1"/>
  <c r="H327" i="3" a="1"/>
  <c r="H327" i="3"/>
  <c r="H328" i="3" a="1"/>
  <c r="H328" i="3"/>
  <c r="H329" i="3" a="1"/>
  <c r="H329" i="3"/>
  <c r="H330" i="3" a="1"/>
  <c r="H330" i="3"/>
  <c r="H331" i="3" a="1"/>
  <c r="H331" i="3"/>
  <c r="I331" i="3" s="1"/>
  <c r="H332" i="3" a="1"/>
  <c r="H332" i="3"/>
  <c r="I332" i="3" s="1"/>
  <c r="H333" i="3" a="1"/>
  <c r="H333" i="3"/>
  <c r="I333" i="3" s="1"/>
  <c r="H334" i="3" a="1"/>
  <c r="H334" i="3"/>
  <c r="H335" i="3" a="1"/>
  <c r="H335" i="3"/>
  <c r="H336" i="3" a="1"/>
  <c r="H336" i="3"/>
  <c r="H337" i="3" a="1"/>
  <c r="H337" i="3"/>
  <c r="H338" i="3" a="1"/>
  <c r="H338" i="3"/>
  <c r="I338" i="3" s="1"/>
  <c r="H339" i="3" a="1"/>
  <c r="H339" i="3"/>
  <c r="I339" i="3" s="1"/>
  <c r="H340" i="3" a="1"/>
  <c r="H340" i="3"/>
  <c r="I340" i="3" s="1"/>
  <c r="H341" i="3" a="1"/>
  <c r="H341" i="3"/>
  <c r="H342" i="3" a="1"/>
  <c r="H342" i="3"/>
  <c r="I342" i="3" s="1"/>
  <c r="H343" i="3" a="1"/>
  <c r="H343" i="3"/>
  <c r="I343" i="3" s="1"/>
  <c r="H344" i="3" a="1"/>
  <c r="H344" i="3"/>
  <c r="I344" i="3" s="1"/>
  <c r="H345" i="3" a="1"/>
  <c r="H345" i="3"/>
  <c r="I345" i="3" s="1"/>
  <c r="H346" i="3" a="1"/>
  <c r="H346" i="3"/>
  <c r="I346" i="3" s="1"/>
  <c r="H347" i="3" a="1"/>
  <c r="H347" i="3"/>
  <c r="I347" i="3" s="1"/>
  <c r="H348" i="3" a="1"/>
  <c r="H348" i="3"/>
  <c r="H349" i="3" a="1"/>
  <c r="H349" i="3"/>
  <c r="H350" i="3" a="1"/>
  <c r="H350" i="3"/>
  <c r="I350" i="3" s="1"/>
  <c r="H351" i="3" a="1"/>
  <c r="H351" i="3"/>
  <c r="H352" i="3" a="1"/>
  <c r="H352" i="3"/>
  <c r="I352" i="3" s="1"/>
  <c r="H353" i="3" a="1"/>
  <c r="H353" i="3"/>
  <c r="H354" i="3" a="1"/>
  <c r="H354" i="3"/>
  <c r="I354" i="3" s="1"/>
  <c r="H355" i="3" a="1"/>
  <c r="H355" i="3"/>
  <c r="H356" i="3" a="1"/>
  <c r="H356" i="3"/>
  <c r="H357" i="3" a="1"/>
  <c r="H357" i="3"/>
  <c r="H358" i="3" a="1"/>
  <c r="H358" i="3"/>
  <c r="I358" i="3" s="1"/>
  <c r="H359" i="3" a="1"/>
  <c r="H359" i="3"/>
  <c r="I359" i="3" s="1"/>
  <c r="H360" i="3" a="1"/>
  <c r="H360" i="3"/>
  <c r="I360" i="3" s="1"/>
  <c r="H361" i="3" a="1"/>
  <c r="H361" i="3"/>
  <c r="I361" i="3" s="1"/>
  <c r="H362" i="3" a="1"/>
  <c r="H362" i="3"/>
  <c r="H363" i="3" a="1"/>
  <c r="H363" i="3"/>
  <c r="I363" i="3" s="1"/>
  <c r="H364" i="3" a="1"/>
  <c r="H364" i="3"/>
  <c r="I364" i="3" s="1"/>
  <c r="H365" i="3" a="1"/>
  <c r="H365" i="3"/>
  <c r="I365" i="3" s="1"/>
  <c r="H366" i="3" a="1"/>
  <c r="H366" i="3"/>
  <c r="I366" i="3" s="1"/>
  <c r="H367" i="3" a="1"/>
  <c r="H367" i="3"/>
  <c r="I367" i="3" s="1"/>
  <c r="H368" i="3" a="1"/>
  <c r="H368" i="3"/>
  <c r="I368" i="3" s="1"/>
  <c r="H369" i="3" a="1"/>
  <c r="H369" i="3"/>
  <c r="H370" i="3" a="1"/>
  <c r="H370" i="3"/>
  <c r="H371" i="3" a="1"/>
  <c r="H371" i="3"/>
  <c r="H372" i="3" a="1"/>
  <c r="H372" i="3"/>
  <c r="I372" i="3" s="1"/>
  <c r="H373" i="3" a="1"/>
  <c r="H373" i="3"/>
  <c r="I373" i="3" s="1"/>
  <c r="H374" i="3" a="1"/>
  <c r="H374" i="3"/>
  <c r="I374" i="3" s="1"/>
  <c r="H375" i="3" a="1"/>
  <c r="H375" i="3"/>
  <c r="I375" i="3" s="1"/>
  <c r="H376" i="3" a="1"/>
  <c r="H376" i="3"/>
  <c r="H377" i="3" a="1"/>
  <c r="H377" i="3"/>
  <c r="H378" i="3" a="1"/>
  <c r="H378" i="3"/>
  <c r="H379" i="3" a="1"/>
  <c r="H379" i="3"/>
  <c r="I379" i="3" s="1"/>
  <c r="H380" i="3" a="1"/>
  <c r="H380" i="3"/>
  <c r="I380" i="3" s="1"/>
  <c r="H381" i="3" a="1"/>
  <c r="H381" i="3"/>
  <c r="I381" i="3" s="1"/>
  <c r="H382" i="3" a="1"/>
  <c r="H382" i="3"/>
  <c r="I382" i="3" s="1"/>
  <c r="H383" i="3" a="1"/>
  <c r="H383" i="3"/>
  <c r="H384" i="3" a="1"/>
  <c r="H384" i="3"/>
  <c r="H385" i="3" a="1"/>
  <c r="H385" i="3"/>
  <c r="H386" i="3" a="1"/>
  <c r="H386" i="3"/>
  <c r="I386" i="3" s="1"/>
  <c r="H387" i="3" a="1"/>
  <c r="H387" i="3"/>
  <c r="I387" i="3" s="1"/>
  <c r="H388" i="3" a="1"/>
  <c r="H388" i="3"/>
  <c r="H389" i="3" a="1"/>
  <c r="H389" i="3"/>
  <c r="H390" i="3" a="1"/>
  <c r="H390" i="3"/>
  <c r="I390" i="3" s="1"/>
  <c r="H391" i="3" a="1"/>
  <c r="H391" i="3"/>
  <c r="I391" i="3" s="1"/>
  <c r="H392" i="3" a="1"/>
  <c r="H392" i="3"/>
  <c r="I392" i="3" s="1"/>
  <c r="H393" i="3" a="1"/>
  <c r="H393" i="3"/>
  <c r="H394" i="3" a="1"/>
  <c r="H394" i="3"/>
  <c r="I394" i="3" s="1"/>
  <c r="H395" i="3" a="1"/>
  <c r="H395" i="3"/>
  <c r="I395" i="3" s="1"/>
  <c r="H396" i="3" a="1"/>
  <c r="H396" i="3"/>
  <c r="I396" i="3" s="1"/>
  <c r="H397" i="3" a="1"/>
  <c r="H397" i="3"/>
  <c r="H398" i="3" a="1"/>
  <c r="H398" i="3"/>
  <c r="H399" i="3" a="1"/>
  <c r="H399" i="3"/>
  <c r="H400" i="3" a="1"/>
  <c r="H400" i="3"/>
  <c r="I400" i="3" s="1"/>
  <c r="H401" i="3" a="1"/>
  <c r="H401" i="3"/>
  <c r="I401" i="3" s="1"/>
  <c r="H402" i="3" a="1"/>
  <c r="H402" i="3"/>
  <c r="I402" i="3" s="1"/>
  <c r="H403" i="3" a="1"/>
  <c r="H403" i="3"/>
  <c r="I403" i="3" s="1"/>
  <c r="H404" i="3" a="1"/>
  <c r="H404" i="3"/>
  <c r="H405" i="3" a="1"/>
  <c r="H405" i="3"/>
  <c r="H406" i="3" a="1"/>
  <c r="H406" i="3"/>
  <c r="I406" i="3" s="1"/>
  <c r="H407" i="3" a="1"/>
  <c r="H407" i="3"/>
  <c r="I407" i="3" s="1"/>
  <c r="H408" i="3" a="1"/>
  <c r="H408" i="3"/>
  <c r="I408" i="3" s="1"/>
  <c r="H409" i="3" a="1"/>
  <c r="H409" i="3"/>
  <c r="I409" i="3" s="1"/>
  <c r="H410" i="3" a="1"/>
  <c r="H410" i="3"/>
  <c r="I410" i="3" s="1"/>
  <c r="H411" i="3" a="1"/>
  <c r="H411" i="3"/>
  <c r="H412" i="3" a="1"/>
  <c r="H412" i="3"/>
  <c r="H413" i="3" a="1"/>
  <c r="H413" i="3"/>
  <c r="I413" i="3" s="1"/>
  <c r="H414" i="3" a="1"/>
  <c r="H414" i="3"/>
  <c r="H415" i="3" a="1"/>
  <c r="H415" i="3"/>
  <c r="I415" i="3" s="1"/>
  <c r="H416" i="3" a="1"/>
  <c r="H416" i="3"/>
  <c r="H417" i="3" a="1"/>
  <c r="H417" i="3"/>
  <c r="I417" i="3" s="1"/>
  <c r="H418" i="3" a="1"/>
  <c r="H418" i="3"/>
  <c r="H419" i="3" a="1"/>
  <c r="H419" i="3"/>
  <c r="I419" i="3" s="1"/>
  <c r="H420" i="3" a="1"/>
  <c r="H420" i="3"/>
  <c r="I420" i="3" s="1"/>
  <c r="H421" i="3" a="1"/>
  <c r="H421" i="3"/>
  <c r="I421" i="3" s="1"/>
  <c r="H422" i="3" a="1"/>
  <c r="H422" i="3"/>
  <c r="I422" i="3" s="1"/>
  <c r="H423" i="3" a="1"/>
  <c r="H423" i="3"/>
  <c r="I423" i="3" s="1"/>
  <c r="H424" i="3" a="1"/>
  <c r="H424" i="3"/>
  <c r="I424" i="3" s="1"/>
  <c r="H425" i="3" a="1"/>
  <c r="H425" i="3"/>
  <c r="H426" i="3" a="1"/>
  <c r="H426" i="3"/>
  <c r="I426" i="3" s="1"/>
  <c r="H427" i="3" a="1"/>
  <c r="H427" i="3"/>
  <c r="H428" i="3" a="1"/>
  <c r="H428" i="3"/>
  <c r="H429" i="3" a="1"/>
  <c r="H429" i="3"/>
  <c r="I429" i="3" s="1"/>
  <c r="H430" i="3" a="1"/>
  <c r="H430" i="3"/>
  <c r="H431" i="3" a="1"/>
  <c r="H431" i="3"/>
  <c r="I431" i="3" s="1"/>
  <c r="H432" i="3" a="1"/>
  <c r="H432" i="3"/>
  <c r="H433" i="3" a="1"/>
  <c r="H433" i="3"/>
  <c r="H434" i="3" a="1"/>
  <c r="H434" i="3"/>
  <c r="H435" i="3" a="1"/>
  <c r="H435" i="3"/>
  <c r="I435" i="3" s="1"/>
  <c r="H436" i="3" a="1"/>
  <c r="H436" i="3"/>
  <c r="I436" i="3" s="1"/>
  <c r="H437" i="3" a="1"/>
  <c r="H437" i="3"/>
  <c r="I437" i="3" s="1"/>
  <c r="H438" i="3" a="1"/>
  <c r="H438" i="3"/>
  <c r="I438" i="3" s="1"/>
  <c r="H439" i="3" a="1"/>
  <c r="H439" i="3"/>
  <c r="H440" i="3" a="1"/>
  <c r="H440" i="3"/>
  <c r="H441" i="3" a="1"/>
  <c r="H441" i="3"/>
  <c r="I441" i="3" s="1"/>
  <c r="H442" i="3" a="1"/>
  <c r="H442" i="3"/>
  <c r="I442" i="3" s="1"/>
  <c r="H443" i="3" a="1"/>
  <c r="H443" i="3"/>
  <c r="I443" i="3" s="1"/>
  <c r="H444" i="3" a="1"/>
  <c r="H444" i="3"/>
  <c r="I444" i="3" s="1"/>
  <c r="H445" i="3" a="1"/>
  <c r="H445" i="3"/>
  <c r="I445" i="3" s="1"/>
  <c r="H446" i="3" a="1"/>
  <c r="H446" i="3"/>
  <c r="H447" i="3" a="1"/>
  <c r="H447" i="3"/>
  <c r="I447" i="3" s="1"/>
  <c r="H448" i="3" a="1"/>
  <c r="H448" i="3"/>
  <c r="H449" i="3" a="1"/>
  <c r="H449" i="3"/>
  <c r="I449" i="3" s="1"/>
  <c r="H450" i="3" a="1"/>
  <c r="H450" i="3"/>
  <c r="I450" i="3" s="1"/>
  <c r="H451" i="3" a="1"/>
  <c r="H451" i="3"/>
  <c r="H452" i="3" a="1"/>
  <c r="H452" i="3"/>
  <c r="I452" i="3" s="1"/>
  <c r="H453" i="3" a="1"/>
  <c r="H453" i="3"/>
  <c r="I453" i="3" s="1"/>
  <c r="H454" i="3" a="1"/>
  <c r="H454" i="3"/>
  <c r="I454" i="3" s="1"/>
  <c r="H455" i="3" a="1"/>
  <c r="H455" i="3"/>
  <c r="I455" i="3" s="1"/>
  <c r="H456" i="3" a="1"/>
  <c r="H456" i="3"/>
  <c r="I456" i="3" s="1"/>
  <c r="H457" i="3" a="1"/>
  <c r="H457" i="3"/>
  <c r="I457" i="3" s="1"/>
  <c r="H458" i="3" a="1"/>
  <c r="H458" i="3"/>
  <c r="I458" i="3" s="1"/>
  <c r="H459" i="3" a="1"/>
  <c r="H459" i="3"/>
  <c r="I459" i="3" s="1"/>
  <c r="H460" i="3" a="1"/>
  <c r="H460" i="3"/>
  <c r="H461" i="3" a="1"/>
  <c r="H461" i="3"/>
  <c r="H462" i="3" a="1"/>
  <c r="H462" i="3"/>
  <c r="H463" i="3" a="1"/>
  <c r="H463" i="3"/>
  <c r="H464" i="3" a="1"/>
  <c r="H464" i="3"/>
  <c r="I464" i="3" s="1"/>
  <c r="H465" i="3" a="1"/>
  <c r="H465" i="3"/>
  <c r="I465" i="3" s="1"/>
  <c r="H466" i="3" a="1"/>
  <c r="H466" i="3"/>
  <c r="I466" i="3" s="1"/>
  <c r="H467" i="3" a="1"/>
  <c r="H467" i="3"/>
  <c r="I467" i="3" s="1"/>
  <c r="H468" i="3" a="1"/>
  <c r="H468" i="3"/>
  <c r="H469" i="3" a="1"/>
  <c r="H469" i="3"/>
  <c r="I469" i="3" s="1"/>
  <c r="H470" i="3" a="1"/>
  <c r="H470" i="3"/>
  <c r="I470" i="3" s="1"/>
  <c r="H471" i="3" a="1"/>
  <c r="H471" i="3"/>
  <c r="I471" i="3" s="1"/>
  <c r="H472" i="3" a="1"/>
  <c r="H472" i="3"/>
  <c r="H473" i="3" a="1"/>
  <c r="H473" i="3"/>
  <c r="I473" i="3" s="1"/>
  <c r="H474" i="3" a="1"/>
  <c r="H474" i="3"/>
  <c r="H475" i="3" a="1"/>
  <c r="H475" i="3"/>
  <c r="I475" i="3" s="1"/>
  <c r="H476" i="3" a="1"/>
  <c r="H476" i="3"/>
  <c r="I476" i="3" s="1"/>
  <c r="H477" i="3" a="1"/>
  <c r="H477" i="3"/>
  <c r="H478" i="3" a="1"/>
  <c r="H478" i="3"/>
  <c r="I478" i="3" s="1"/>
  <c r="H479" i="3" a="1"/>
  <c r="H479" i="3"/>
  <c r="I479" i="3" s="1"/>
  <c r="H480" i="3" a="1"/>
  <c r="H480" i="3"/>
  <c r="I480" i="3" s="1"/>
  <c r="H481" i="3" a="1"/>
  <c r="H481" i="3"/>
  <c r="H482" i="3" a="1"/>
  <c r="H482" i="3"/>
  <c r="H483" i="3" a="1"/>
  <c r="H483" i="3"/>
  <c r="I483" i="3" s="1"/>
  <c r="H484" i="3" a="1"/>
  <c r="H484" i="3"/>
  <c r="H485" i="3" a="1"/>
  <c r="H485" i="3"/>
  <c r="I485" i="3" s="1"/>
  <c r="H486" i="3" a="1"/>
  <c r="H486" i="3"/>
  <c r="I486" i="3" s="1"/>
  <c r="H487" i="3" a="1"/>
  <c r="H487" i="3"/>
  <c r="H488" i="3" a="1"/>
  <c r="H488" i="3"/>
  <c r="H489" i="3" a="1"/>
  <c r="H489" i="3"/>
  <c r="H490" i="3" a="1"/>
  <c r="H490" i="3"/>
  <c r="H491" i="3" a="1"/>
  <c r="H491" i="3"/>
  <c r="I491" i="3" s="1"/>
  <c r="H492" i="3" a="1"/>
  <c r="H492" i="3"/>
  <c r="I492" i="3" s="1"/>
  <c r="H493" i="3" a="1"/>
  <c r="H493" i="3"/>
  <c r="I493" i="3" s="1"/>
  <c r="H494" i="3" a="1"/>
  <c r="H494" i="3"/>
  <c r="H495" i="3" a="1"/>
  <c r="H495" i="3"/>
  <c r="I495" i="3" s="1"/>
  <c r="H496" i="3" a="1"/>
  <c r="H496" i="3"/>
  <c r="H497" i="3" a="1"/>
  <c r="H497" i="3"/>
  <c r="I497" i="3" s="1"/>
  <c r="H498" i="3" a="1"/>
  <c r="H498" i="3"/>
  <c r="I498" i="3" s="1"/>
  <c r="H499" i="3" a="1"/>
  <c r="H499" i="3"/>
  <c r="H500" i="3" a="1"/>
  <c r="H500" i="3"/>
  <c r="I500" i="3" s="1"/>
  <c r="H501" i="3" a="1"/>
  <c r="H501" i="3"/>
  <c r="I501" i="3" s="1"/>
  <c r="H502" i="3" a="1"/>
  <c r="H502" i="3"/>
  <c r="H503" i="3" a="1"/>
  <c r="H503" i="3"/>
  <c r="H504" i="3" a="1"/>
  <c r="H504" i="3"/>
  <c r="H505" i="3" a="1"/>
  <c r="H505" i="3"/>
  <c r="I505" i="3" s="1"/>
  <c r="H506" i="3" a="1"/>
  <c r="H506" i="3"/>
  <c r="I506" i="3" s="1"/>
  <c r="H507" i="3" a="1"/>
  <c r="H507" i="3"/>
  <c r="I507" i="3" s="1"/>
  <c r="H508" i="3" a="1"/>
  <c r="H508" i="3"/>
  <c r="I508" i="3" s="1"/>
  <c r="H509" i="3" a="1"/>
  <c r="H509" i="3"/>
  <c r="H510" i="3" a="1"/>
  <c r="H510" i="3"/>
  <c r="H511" i="3" a="1"/>
  <c r="H511" i="3"/>
  <c r="H512" i="3" a="1"/>
  <c r="H512" i="3"/>
  <c r="I512" i="3" s="1"/>
  <c r="H513" i="3" a="1"/>
  <c r="H513" i="3"/>
  <c r="I513" i="3" s="1"/>
  <c r="H514" i="3" a="1"/>
  <c r="H514" i="3"/>
  <c r="I514" i="3" s="1"/>
  <c r="H515" i="3" a="1"/>
  <c r="H515" i="3"/>
  <c r="I515" i="3" s="1"/>
  <c r="H516" i="3" a="1"/>
  <c r="H516" i="3"/>
  <c r="I516" i="3" s="1"/>
  <c r="H517" i="3" a="1"/>
  <c r="H517" i="3"/>
  <c r="H518" i="3" a="1"/>
  <c r="H518" i="3"/>
  <c r="H519" i="3" a="1"/>
  <c r="H519" i="3"/>
  <c r="I519" i="3" s="1"/>
  <c r="H520" i="3" a="1"/>
  <c r="H520" i="3"/>
  <c r="I520" i="3" s="1"/>
  <c r="H521" i="3" a="1"/>
  <c r="H521" i="3"/>
  <c r="I521" i="3" s="1"/>
  <c r="H522" i="3" a="1"/>
  <c r="H522" i="3"/>
  <c r="I522" i="3" s="1"/>
  <c r="H523" i="3" a="1"/>
  <c r="H523" i="3"/>
  <c r="H524" i="3" a="1"/>
  <c r="H524" i="3"/>
  <c r="H525" i="3" a="1"/>
  <c r="H525" i="3"/>
  <c r="I525" i="3" s="1"/>
  <c r="H526" i="3" a="1"/>
  <c r="H526" i="3"/>
  <c r="H527" i="3" a="1"/>
  <c r="H527" i="3"/>
  <c r="I527" i="3" s="1"/>
  <c r="H528" i="3" a="1"/>
  <c r="H528" i="3"/>
  <c r="H529" i="3" a="1"/>
  <c r="H529" i="3"/>
  <c r="I529" i="3" s="1"/>
  <c r="H530" i="3" a="1"/>
  <c r="H530" i="3"/>
  <c r="I530" i="3" s="1"/>
  <c r="H531" i="3" a="1"/>
  <c r="H531" i="3"/>
  <c r="I531" i="3" s="1"/>
  <c r="H532" i="3" a="1"/>
  <c r="H532" i="3"/>
  <c r="I532" i="3" s="1"/>
  <c r="H533" i="3" a="1"/>
  <c r="H533" i="3"/>
  <c r="I533" i="3" s="1"/>
  <c r="H534" i="3" a="1"/>
  <c r="H534" i="3"/>
  <c r="I534" i="3" s="1"/>
  <c r="H535" i="3" a="1"/>
  <c r="H535" i="3"/>
  <c r="I535" i="3" s="1"/>
  <c r="H536" i="3" a="1"/>
  <c r="H536" i="3"/>
  <c r="I536" i="3" s="1"/>
  <c r="H537" i="3" a="1"/>
  <c r="H537" i="3"/>
  <c r="H538" i="3" a="1"/>
  <c r="H538" i="3"/>
  <c r="H539" i="3" a="1"/>
  <c r="H539" i="3"/>
  <c r="H540" i="3" a="1"/>
  <c r="H540" i="3"/>
  <c r="H541" i="3" a="1"/>
  <c r="H541" i="3"/>
  <c r="I541" i="3" s="1"/>
  <c r="H542" i="3" a="1"/>
  <c r="H542" i="3"/>
  <c r="I542" i="3" s="1"/>
  <c r="H543" i="3" a="1"/>
  <c r="H543" i="3"/>
  <c r="I543" i="3" s="1"/>
  <c r="H544" i="3" a="1"/>
  <c r="H544" i="3"/>
  <c r="I544" i="3" s="1"/>
  <c r="H545" i="3" a="1"/>
  <c r="H545" i="3"/>
  <c r="H546" i="3" a="1"/>
  <c r="H546" i="3"/>
  <c r="I546" i="3" s="1"/>
  <c r="H547" i="3" a="1"/>
  <c r="H547" i="3"/>
  <c r="I547" i="3" s="1"/>
  <c r="H548" i="3" a="1"/>
  <c r="H548" i="3"/>
  <c r="I548" i="3" s="1"/>
  <c r="H549" i="3" a="1"/>
  <c r="H549" i="3"/>
  <c r="I549" i="3" s="1"/>
  <c r="H550" i="3" a="1"/>
  <c r="H550" i="3"/>
  <c r="I550" i="3" s="1"/>
  <c r="H551" i="3" a="1"/>
  <c r="H551" i="3"/>
  <c r="I551" i="3" s="1"/>
  <c r="H552" i="3" a="1"/>
  <c r="H552" i="3"/>
  <c r="I552" i="3" s="1"/>
  <c r="H553" i="3" a="1"/>
  <c r="H553" i="3"/>
  <c r="H554" i="3" a="1"/>
  <c r="H554" i="3"/>
  <c r="I554" i="3" s="1"/>
  <c r="H555" i="3" a="1"/>
  <c r="H555" i="3"/>
  <c r="I555" i="3" s="1"/>
  <c r="H556" i="3" a="1"/>
  <c r="H556" i="3"/>
  <c r="H557" i="3" a="1"/>
  <c r="H557" i="3"/>
  <c r="H558" i="3" a="1"/>
  <c r="H558" i="3"/>
  <c r="I558" i="3" s="1"/>
  <c r="H559" i="3" a="1"/>
  <c r="H559" i="3"/>
  <c r="H560" i="3" a="1"/>
  <c r="H560" i="3"/>
  <c r="I560" i="3" s="1"/>
  <c r="H561" i="3" a="1"/>
  <c r="H561" i="3"/>
  <c r="H562" i="3" a="1"/>
  <c r="H562" i="3"/>
  <c r="I562" i="3" s="1"/>
  <c r="H563" i="3" a="1"/>
  <c r="H563" i="3"/>
  <c r="H564" i="3" a="1"/>
  <c r="H564" i="3"/>
  <c r="I564" i="3" s="1"/>
  <c r="H565" i="3" a="1"/>
  <c r="H565" i="3"/>
  <c r="H566" i="3" a="1"/>
  <c r="H566" i="3"/>
  <c r="I566" i="3" s="1"/>
  <c r="H567" i="3" a="1"/>
  <c r="H567" i="3"/>
  <c r="I567" i="3" s="1"/>
  <c r="H568" i="3" a="1"/>
  <c r="H568" i="3"/>
  <c r="I568" i="3" s="1"/>
  <c r="H569" i="3" a="1"/>
  <c r="H569" i="3"/>
  <c r="I569" i="3" s="1"/>
  <c r="H570" i="3" a="1"/>
  <c r="H570" i="3"/>
  <c r="I570" i="3" s="1"/>
  <c r="H571" i="3" a="1"/>
  <c r="H571" i="3"/>
  <c r="I571" i="3" s="1"/>
  <c r="H572" i="3" a="1"/>
  <c r="H572" i="3"/>
  <c r="H573" i="3" a="1"/>
  <c r="H573" i="3"/>
  <c r="I573" i="3" s="1"/>
  <c r="H574" i="3" a="1"/>
  <c r="H574" i="3"/>
  <c r="H575" i="3" a="1"/>
  <c r="H575" i="3"/>
  <c r="H576" i="3" a="1"/>
  <c r="H576" i="3"/>
  <c r="I576" i="3" s="1"/>
  <c r="H577" i="3" a="1"/>
  <c r="H577" i="3"/>
  <c r="I577" i="3" s="1"/>
  <c r="H578" i="3" a="1"/>
  <c r="H578" i="3"/>
  <c r="I578" i="3" s="1"/>
  <c r="H579" i="3" a="1"/>
  <c r="H579" i="3"/>
  <c r="H580" i="3" a="1"/>
  <c r="H580" i="3"/>
  <c r="H581" i="3" a="1"/>
  <c r="H581" i="3"/>
  <c r="I581" i="3" s="1"/>
  <c r="H582" i="3" a="1"/>
  <c r="H582" i="3"/>
  <c r="I582" i="3" s="1"/>
  <c r="H583" i="3" a="1"/>
  <c r="H583" i="3"/>
  <c r="I583" i="3" s="1"/>
  <c r="H584" i="3" a="1"/>
  <c r="H584" i="3"/>
  <c r="I584" i="3" s="1"/>
  <c r="H585" i="3" a="1"/>
  <c r="H585" i="3"/>
  <c r="I585" i="3" s="1"/>
  <c r="H586" i="3" a="1"/>
  <c r="H586" i="3"/>
  <c r="H587" i="3" a="1"/>
  <c r="H587" i="3"/>
  <c r="I587" i="3" s="1"/>
  <c r="H588" i="3" a="1"/>
  <c r="H588" i="3"/>
  <c r="I588" i="3" s="1"/>
  <c r="H589" i="3" a="1"/>
  <c r="H589" i="3"/>
  <c r="I589" i="3" s="1"/>
  <c r="H590" i="3" a="1"/>
  <c r="H590" i="3"/>
  <c r="I590" i="3" s="1"/>
  <c r="H591" i="3" a="1"/>
  <c r="H591" i="3"/>
  <c r="I591" i="3" s="1"/>
  <c r="H592" i="3" a="1"/>
  <c r="H592" i="3"/>
  <c r="I592" i="3" s="1"/>
  <c r="H593" i="3" a="1"/>
  <c r="H593" i="3"/>
  <c r="H594" i="3" a="1"/>
  <c r="H594" i="3"/>
  <c r="I594" i="3" s="1"/>
  <c r="H595" i="3" a="1"/>
  <c r="H595" i="3"/>
  <c r="H596" i="3" a="1"/>
  <c r="H596" i="3"/>
  <c r="H597" i="3" a="1"/>
  <c r="H597" i="3"/>
  <c r="I597" i="3" s="1"/>
  <c r="H598" i="3" a="1"/>
  <c r="H598" i="3"/>
  <c r="I598" i="3" s="1"/>
  <c r="H599" i="3" a="1"/>
  <c r="H599" i="3"/>
  <c r="I599" i="3" s="1"/>
  <c r="H600" i="3" a="1"/>
  <c r="H600" i="3"/>
  <c r="I600" i="3" s="1"/>
  <c r="H601" i="3" a="1"/>
  <c r="H601" i="3"/>
  <c r="I601" i="3" s="1"/>
  <c r="H602" i="3" a="1"/>
  <c r="H602" i="3"/>
  <c r="H603" i="3" a="1"/>
  <c r="H603" i="3"/>
  <c r="I603" i="3" s="1"/>
  <c r="H604" i="3" a="1"/>
  <c r="H604" i="3"/>
  <c r="I604" i="3" s="1"/>
  <c r="H605" i="3" a="1"/>
  <c r="H605" i="3"/>
  <c r="I605" i="3" s="1"/>
  <c r="H606" i="3" a="1"/>
  <c r="H606" i="3"/>
  <c r="I606" i="3" s="1"/>
  <c r="H607" i="3" a="1"/>
  <c r="H607" i="3"/>
  <c r="H608" i="3" a="1"/>
  <c r="H608" i="3"/>
  <c r="I608" i="3" s="1"/>
  <c r="H609" i="3" a="1"/>
  <c r="H609" i="3"/>
  <c r="I609" i="3" s="1"/>
  <c r="H610" i="3" a="1"/>
  <c r="H610" i="3"/>
  <c r="I610" i="3" s="1"/>
  <c r="H611" i="3" a="1"/>
  <c r="H611" i="3"/>
  <c r="I611" i="3" s="1"/>
  <c r="H612" i="3" a="1"/>
  <c r="H612" i="3"/>
  <c r="I612" i="3" s="1"/>
  <c r="H613" i="3" a="1"/>
  <c r="H613" i="3"/>
  <c r="I613" i="3" s="1"/>
  <c r="H614" i="3" a="1"/>
  <c r="H614" i="3"/>
  <c r="H615" i="3" a="1"/>
  <c r="H615" i="3"/>
  <c r="H616" i="3" a="1"/>
  <c r="H616" i="3"/>
  <c r="H617" i="3" a="1"/>
  <c r="H617" i="3"/>
  <c r="I617" i="3" s="1"/>
  <c r="H618" i="3" a="1"/>
  <c r="H618" i="3"/>
  <c r="I618" i="3" s="1"/>
  <c r="H619" i="3" a="1"/>
  <c r="H619" i="3"/>
  <c r="I619" i="3" s="1"/>
  <c r="H620" i="3" a="1"/>
  <c r="H620" i="3"/>
  <c r="I620" i="3" s="1"/>
  <c r="H621" i="3" a="1"/>
  <c r="H621" i="3"/>
  <c r="I621" i="3" s="1"/>
  <c r="H622" i="3" a="1"/>
  <c r="H622" i="3"/>
  <c r="H623" i="3" a="1"/>
  <c r="H623" i="3"/>
  <c r="H624" i="3" a="1"/>
  <c r="H624" i="3"/>
  <c r="I624" i="3" s="1"/>
  <c r="H625" i="3" a="1"/>
  <c r="H625" i="3"/>
  <c r="I625" i="3" s="1"/>
  <c r="H626" i="3" a="1"/>
  <c r="H626" i="3"/>
  <c r="I626" i="3" s="1"/>
  <c r="H627" i="3" a="1"/>
  <c r="H627" i="3"/>
  <c r="I627" i="3" s="1"/>
  <c r="H628" i="3" a="1"/>
  <c r="H628" i="3"/>
  <c r="H629" i="3" a="1"/>
  <c r="H629" i="3"/>
  <c r="I629" i="3" s="1"/>
  <c r="H630" i="3" a="1"/>
  <c r="H630" i="3"/>
  <c r="H631" i="3" a="1"/>
  <c r="H631" i="3"/>
  <c r="I631" i="3" s="1"/>
  <c r="H632" i="3" a="1"/>
  <c r="H632" i="3"/>
  <c r="I632" i="3" s="1"/>
  <c r="H633" i="3" a="1"/>
  <c r="H633" i="3"/>
  <c r="I633" i="3" s="1"/>
  <c r="H634" i="3" a="1"/>
  <c r="H634" i="3"/>
  <c r="H635" i="3" a="1"/>
  <c r="H635" i="3"/>
  <c r="H636" i="3" a="1"/>
  <c r="H636" i="3"/>
  <c r="I636" i="3" s="1"/>
  <c r="H637" i="3" a="1"/>
  <c r="H637" i="3"/>
  <c r="I637" i="3" s="1"/>
  <c r="H638" i="3" a="1"/>
  <c r="H638" i="3"/>
  <c r="I638" i="3" s="1"/>
  <c r="H639" i="3" a="1"/>
  <c r="H639" i="3"/>
  <c r="I639" i="3" s="1"/>
  <c r="H640" i="3" a="1"/>
  <c r="H640" i="3"/>
  <c r="I640" i="3" s="1"/>
  <c r="H641" i="3" a="1"/>
  <c r="H641" i="3"/>
  <c r="I641" i="3" s="1"/>
  <c r="H642" i="3" a="1"/>
  <c r="H642" i="3"/>
  <c r="H643" i="3" a="1"/>
  <c r="H643" i="3"/>
  <c r="I643" i="3" s="1"/>
  <c r="H644" i="3" a="1"/>
  <c r="H644" i="3"/>
  <c r="H645" i="3" a="1"/>
  <c r="H645" i="3"/>
  <c r="H646" i="3" a="1"/>
  <c r="H646" i="3"/>
  <c r="I646" i="3" s="1"/>
  <c r="H647" i="3" a="1"/>
  <c r="H647" i="3"/>
  <c r="I647" i="3" s="1"/>
  <c r="H648" i="3" a="1"/>
  <c r="H648" i="3"/>
  <c r="I648" i="3" s="1"/>
  <c r="H649" i="3" a="1"/>
  <c r="H649" i="3"/>
  <c r="H650" i="3" a="1"/>
  <c r="H650" i="3"/>
  <c r="I650" i="3" s="1"/>
  <c r="H651" i="3" a="1"/>
  <c r="H651" i="3"/>
  <c r="I651" i="3" s="1"/>
  <c r="H652" i="3" a="1"/>
  <c r="H652" i="3"/>
  <c r="I652" i="3" s="1"/>
  <c r="H653" i="3" a="1"/>
  <c r="H653" i="3"/>
  <c r="I653" i="3" s="1"/>
  <c r="H654" i="3" a="1"/>
  <c r="H654" i="3"/>
  <c r="I654" i="3" s="1"/>
  <c r="H655" i="3" a="1"/>
  <c r="H655" i="3"/>
  <c r="I655" i="3" s="1"/>
  <c r="H656" i="3" a="1"/>
  <c r="H656" i="3"/>
  <c r="I656" i="3" s="1"/>
  <c r="H657" i="3" a="1"/>
  <c r="H657" i="3"/>
  <c r="I657" i="3" s="1"/>
  <c r="H658" i="3" a="1"/>
  <c r="H658" i="3"/>
  <c r="H659" i="3" a="1"/>
  <c r="H659" i="3"/>
  <c r="H660" i="3" a="1"/>
  <c r="H660" i="3"/>
  <c r="I660" i="3" s="1"/>
  <c r="H661" i="3" a="1"/>
  <c r="H661" i="3"/>
  <c r="I661" i="3" s="1"/>
  <c r="H662" i="3" a="1"/>
  <c r="H662" i="3"/>
  <c r="I662" i="3" s="1"/>
  <c r="H663" i="3" a="1"/>
  <c r="H663" i="3"/>
  <c r="H664" i="3" a="1"/>
  <c r="H664" i="3"/>
  <c r="H665" i="3" a="1"/>
  <c r="H665" i="3"/>
  <c r="I665" i="3" s="1"/>
  <c r="H666" i="3" a="1"/>
  <c r="H666" i="3"/>
  <c r="I666" i="3" s="1"/>
  <c r="H667" i="3" a="1"/>
  <c r="H667" i="3"/>
  <c r="I667" i="3" s="1"/>
  <c r="H668" i="3" a="1"/>
  <c r="H668" i="3"/>
  <c r="I668" i="3" s="1"/>
  <c r="H669" i="3" a="1"/>
  <c r="H669" i="3"/>
  <c r="I669" i="3" s="1"/>
  <c r="H670" i="3" a="1"/>
  <c r="H670" i="3"/>
  <c r="H671" i="3" a="1"/>
  <c r="H671" i="3"/>
  <c r="I671" i="3" s="1"/>
  <c r="H672" i="3" a="1"/>
  <c r="H672" i="3"/>
  <c r="I672" i="3" s="1"/>
  <c r="H673" i="3" a="1"/>
  <c r="H673" i="3"/>
  <c r="I673" i="3" s="1"/>
  <c r="H674" i="3" a="1"/>
  <c r="H674" i="3"/>
  <c r="I674" i="3" s="1"/>
  <c r="H675" i="3" a="1"/>
  <c r="H675" i="3"/>
  <c r="I675" i="3" s="1"/>
  <c r="H676" i="3" a="1"/>
  <c r="H676" i="3"/>
  <c r="H677" i="3" a="1"/>
  <c r="H677" i="3"/>
  <c r="H678" i="3" a="1"/>
  <c r="H678" i="3"/>
  <c r="H679" i="3" a="1"/>
  <c r="H679" i="3"/>
  <c r="H680" i="3" a="1"/>
  <c r="H680" i="3"/>
  <c r="I680" i="3" s="1"/>
  <c r="H681" i="3" a="1"/>
  <c r="H681" i="3"/>
  <c r="I681" i="3" s="1"/>
  <c r="H682" i="3" a="1"/>
  <c r="H682" i="3"/>
  <c r="H683" i="3" a="1"/>
  <c r="H683" i="3"/>
  <c r="H684" i="3" a="1"/>
  <c r="H684" i="3"/>
  <c r="H685" i="3" a="1"/>
  <c r="H685" i="3"/>
  <c r="I685" i="3" s="1"/>
  <c r="H686" i="3" a="1"/>
  <c r="H686" i="3"/>
  <c r="I686" i="3" s="1"/>
  <c r="H687" i="3" a="1"/>
  <c r="H687" i="3"/>
  <c r="I687" i="3" s="1"/>
  <c r="H688" i="3" a="1"/>
  <c r="H688" i="3"/>
  <c r="I688" i="3" s="1"/>
  <c r="H689" i="3" a="1"/>
  <c r="H689" i="3"/>
  <c r="I689" i="3" s="1"/>
  <c r="H690" i="3" a="1"/>
  <c r="H690" i="3"/>
  <c r="I690" i="3" s="1"/>
  <c r="H691" i="3" a="1"/>
  <c r="H691" i="3"/>
  <c r="H692" i="3" a="1"/>
  <c r="H692" i="3"/>
  <c r="H693" i="3" a="1"/>
  <c r="H693" i="3"/>
  <c r="H694" i="3" a="1"/>
  <c r="H694" i="3"/>
  <c r="I694" i="3" s="1"/>
  <c r="H695" i="3" a="1"/>
  <c r="H695" i="3"/>
  <c r="I695" i="3" s="1"/>
  <c r="H696" i="3" a="1"/>
  <c r="H696" i="3"/>
  <c r="I696" i="3" s="1"/>
  <c r="H697" i="3" a="1"/>
  <c r="H697" i="3"/>
  <c r="I697" i="3" s="1"/>
  <c r="H698" i="3" a="1"/>
  <c r="H698" i="3"/>
  <c r="H699" i="3" a="1"/>
  <c r="H699" i="3"/>
  <c r="I699" i="3" s="1"/>
  <c r="H700" i="3" a="1"/>
  <c r="H700" i="3"/>
  <c r="H701" i="3" a="1"/>
  <c r="H701" i="3"/>
  <c r="H702" i="3" a="1"/>
  <c r="H702" i="3"/>
  <c r="I702" i="3" s="1"/>
  <c r="H703" i="3" a="1"/>
  <c r="H703" i="3"/>
  <c r="I703" i="3" s="1"/>
  <c r="H704" i="3" a="1"/>
  <c r="H704" i="3"/>
  <c r="H705" i="3" a="1"/>
  <c r="H705" i="3"/>
  <c r="H706" i="3" a="1"/>
  <c r="H706" i="3"/>
  <c r="I706" i="3" s="1"/>
  <c r="H707" i="3" a="1"/>
  <c r="H707" i="3"/>
  <c r="I707" i="3" s="1"/>
  <c r="H708" i="3" a="1"/>
  <c r="H708" i="3"/>
  <c r="I708" i="3" s="1"/>
  <c r="H709" i="3" a="1"/>
  <c r="H709" i="3"/>
  <c r="I709" i="3" s="1"/>
  <c r="H710" i="3" a="1"/>
  <c r="H710" i="3"/>
  <c r="I710" i="3" s="1"/>
  <c r="H711" i="3" a="1"/>
  <c r="H711" i="3"/>
  <c r="I711" i="3" s="1"/>
  <c r="H712" i="3" a="1"/>
  <c r="H712" i="3"/>
  <c r="H713" i="3" a="1"/>
  <c r="H713" i="3"/>
  <c r="H714" i="3" a="1"/>
  <c r="H714" i="3"/>
  <c r="H715" i="3" a="1"/>
  <c r="H715" i="3"/>
  <c r="H716" i="3" a="1"/>
  <c r="H716" i="3"/>
  <c r="I716" i="3" s="1"/>
  <c r="H717" i="3" a="1"/>
  <c r="H717" i="3"/>
  <c r="I717" i="3" s="1"/>
  <c r="H718" i="3" a="1"/>
  <c r="H718" i="3"/>
  <c r="I718" i="3" s="1"/>
  <c r="H719" i="3" a="1"/>
  <c r="H719" i="3"/>
  <c r="H720" i="3" a="1"/>
  <c r="H720" i="3"/>
  <c r="H721" i="3" a="1"/>
  <c r="H721" i="3"/>
  <c r="H722" i="3" a="1"/>
  <c r="H722" i="3"/>
  <c r="I722" i="3" s="1"/>
  <c r="H723" i="3" a="1"/>
  <c r="H723" i="3"/>
  <c r="I723" i="3" s="1"/>
  <c r="H724" i="3" a="1"/>
  <c r="H724" i="3"/>
  <c r="H725" i="3" a="1"/>
  <c r="H725" i="3"/>
  <c r="I725" i="3" s="1"/>
  <c r="H726" i="3" a="1"/>
  <c r="H726" i="3"/>
  <c r="H727" i="3" a="1"/>
  <c r="H727" i="3"/>
  <c r="H728" i="3" a="1"/>
  <c r="H728" i="3"/>
  <c r="I728" i="3" s="1"/>
  <c r="H729" i="3" a="1"/>
  <c r="H729" i="3"/>
  <c r="I729" i="3" s="1"/>
  <c r="H730" i="3" a="1"/>
  <c r="H730" i="3"/>
  <c r="I730" i="3" s="1"/>
  <c r="H731" i="3" a="1"/>
  <c r="H731" i="3"/>
  <c r="I731" i="3" s="1"/>
  <c r="H732" i="3" a="1"/>
  <c r="H732" i="3"/>
  <c r="I732" i="3" s="1"/>
  <c r="H733" i="3" a="1"/>
  <c r="H733" i="3"/>
  <c r="H734" i="3" a="1"/>
  <c r="H734" i="3"/>
  <c r="H735" i="3" a="1"/>
  <c r="H735" i="3"/>
  <c r="H736" i="3" a="1"/>
  <c r="H736" i="3"/>
  <c r="I736" i="3" s="1"/>
  <c r="H737" i="3" a="1"/>
  <c r="H737" i="3"/>
  <c r="I737" i="3" s="1"/>
  <c r="H738" i="3" a="1"/>
  <c r="H738" i="3"/>
  <c r="I738" i="3" s="1"/>
  <c r="H739" i="3" a="1"/>
  <c r="H739" i="3"/>
  <c r="H740" i="3" a="1"/>
  <c r="H740" i="3"/>
  <c r="H741" i="3" a="1"/>
  <c r="H741" i="3"/>
  <c r="H742" i="3" a="1"/>
  <c r="H742" i="3"/>
  <c r="I742" i="3" s="1"/>
  <c r="H743" i="3" a="1"/>
  <c r="H743" i="3"/>
  <c r="I743" i="3" s="1"/>
  <c r="H744" i="3" a="1"/>
  <c r="H744" i="3"/>
  <c r="I744" i="3" s="1"/>
  <c r="H745" i="3" a="1"/>
  <c r="H745" i="3"/>
  <c r="H746" i="3" a="1"/>
  <c r="H746" i="3"/>
  <c r="I746" i="3" s="1"/>
  <c r="H747" i="3" a="1"/>
  <c r="H747" i="3"/>
  <c r="H748" i="3" a="1"/>
  <c r="H748" i="3"/>
  <c r="I748" i="3" s="1"/>
  <c r="H749" i="3" a="1"/>
  <c r="H749" i="3"/>
  <c r="I749" i="3" s="1"/>
  <c r="H750" i="3" a="1"/>
  <c r="H750" i="3"/>
  <c r="I750" i="3" s="1"/>
  <c r="H751" i="3" a="1"/>
  <c r="H751" i="3"/>
  <c r="I751" i="3" s="1"/>
  <c r="H752" i="3" a="1"/>
  <c r="H752" i="3"/>
  <c r="I752" i="3" s="1"/>
  <c r="H753" i="3" a="1"/>
  <c r="H753" i="3"/>
  <c r="I753" i="3" s="1"/>
  <c r="H754" i="3" a="1"/>
  <c r="H754" i="3"/>
  <c r="H755" i="3" a="1"/>
  <c r="H755" i="3"/>
  <c r="H756" i="3" a="1"/>
  <c r="H756" i="3"/>
  <c r="H757" i="3" a="1"/>
  <c r="H757" i="3"/>
  <c r="H758" i="3" a="1"/>
  <c r="H758" i="3"/>
  <c r="I758" i="3" s="1"/>
  <c r="H759" i="3" a="1"/>
  <c r="H759" i="3"/>
  <c r="I759" i="3" s="1"/>
  <c r="H760" i="3" a="1"/>
  <c r="H760" i="3"/>
  <c r="I760" i="3" s="1"/>
  <c r="H761" i="3" a="1"/>
  <c r="H761" i="3"/>
  <c r="H762" i="3" a="1"/>
  <c r="H762" i="3"/>
  <c r="H763" i="3" a="1"/>
  <c r="H763" i="3"/>
  <c r="H764" i="3" a="1"/>
  <c r="H764" i="3"/>
  <c r="H765" i="3" a="1"/>
  <c r="H765" i="3"/>
  <c r="I765" i="3" s="1"/>
  <c r="H766" i="3" a="1"/>
  <c r="H766" i="3"/>
  <c r="I766" i="3" s="1"/>
  <c r="H767" i="3" a="1"/>
  <c r="H767" i="3"/>
  <c r="I767" i="3" s="1"/>
  <c r="H768" i="3" a="1"/>
  <c r="H768" i="3"/>
  <c r="H769" i="3" a="1"/>
  <c r="H769" i="3"/>
  <c r="H770" i="3" a="1"/>
  <c r="H770" i="3"/>
  <c r="I770" i="3" s="1"/>
  <c r="H771" i="3" a="1"/>
  <c r="H771" i="3"/>
  <c r="I771" i="3" s="1"/>
  <c r="H772" i="3" a="1"/>
  <c r="H772" i="3"/>
  <c r="I772" i="3" s="1"/>
  <c r="H773" i="3" a="1"/>
  <c r="H773" i="3"/>
  <c r="I773" i="3" s="1"/>
  <c r="H774" i="3" a="1"/>
  <c r="H774" i="3"/>
  <c r="I774" i="3" s="1"/>
  <c r="H775" i="3" a="1"/>
  <c r="H775" i="3"/>
  <c r="H776" i="3" a="1"/>
  <c r="H776" i="3"/>
  <c r="I776" i="3" s="1"/>
  <c r="H777" i="3" a="1"/>
  <c r="H777" i="3"/>
  <c r="H778" i="3" a="1"/>
  <c r="H778" i="3"/>
  <c r="H779" i="3" a="1"/>
  <c r="H779" i="3"/>
  <c r="I779" i="3" s="1"/>
  <c r="H780" i="3" a="1"/>
  <c r="H780" i="3"/>
  <c r="I780" i="3" s="1"/>
  <c r="H781" i="3" a="1"/>
  <c r="H781" i="3"/>
  <c r="I781" i="3" s="1"/>
  <c r="H782" i="3" a="1"/>
  <c r="H782" i="3"/>
  <c r="I782" i="3" s="1"/>
  <c r="H783" i="3" a="1"/>
  <c r="H783" i="3"/>
  <c r="H784" i="3" a="1"/>
  <c r="H784" i="3"/>
  <c r="H785" i="3" a="1"/>
  <c r="H785" i="3"/>
  <c r="I785" i="3" s="1"/>
  <c r="H786" i="3" a="1"/>
  <c r="H786" i="3"/>
  <c r="I786" i="3" s="1"/>
  <c r="H787" i="3" a="1"/>
  <c r="H787" i="3"/>
  <c r="I787" i="3" s="1"/>
  <c r="H788" i="3" a="1"/>
  <c r="H788" i="3"/>
  <c r="I788" i="3" s="1"/>
  <c r="H789" i="3" a="1"/>
  <c r="H789" i="3"/>
  <c r="H790" i="3" a="1"/>
  <c r="H790" i="3"/>
  <c r="H791" i="3" a="1"/>
  <c r="H791" i="3"/>
  <c r="I791" i="3" s="1"/>
  <c r="H792" i="3" a="1"/>
  <c r="H792" i="3"/>
  <c r="H793" i="3" a="1"/>
  <c r="H793" i="3"/>
  <c r="I793" i="3" s="1"/>
  <c r="H794" i="3" a="1"/>
  <c r="H794" i="3"/>
  <c r="I794" i="3" s="1"/>
  <c r="H795" i="3" a="1"/>
  <c r="H795" i="3"/>
  <c r="I795" i="3" s="1"/>
  <c r="H796" i="3" a="1"/>
  <c r="H796" i="3"/>
  <c r="H797" i="3" a="1"/>
  <c r="H797" i="3"/>
  <c r="H798" i="3" a="1"/>
  <c r="H798" i="3"/>
  <c r="H799" i="3" a="1"/>
  <c r="H799" i="3"/>
  <c r="I799" i="3" s="1"/>
  <c r="H800" i="3" a="1"/>
  <c r="H800" i="3"/>
  <c r="I800" i="3" s="1"/>
  <c r="H801" i="3" a="1"/>
  <c r="H801" i="3"/>
  <c r="H802" i="3" a="1"/>
  <c r="H802" i="3"/>
  <c r="I802" i="3" s="1"/>
  <c r="H803" i="3" a="1"/>
  <c r="H803" i="3"/>
  <c r="H804" i="3" a="1"/>
  <c r="H804" i="3"/>
  <c r="H805" i="3" a="1"/>
  <c r="H805" i="3"/>
  <c r="H806" i="3" a="1"/>
  <c r="H806" i="3"/>
  <c r="I806" i="3" s="1"/>
  <c r="H807" i="3" a="1"/>
  <c r="H807" i="3"/>
  <c r="I807" i="3" s="1"/>
  <c r="H808" i="3" a="1"/>
  <c r="H808" i="3"/>
  <c r="I808" i="3" s="1"/>
  <c r="H809" i="3" a="1"/>
  <c r="H809" i="3"/>
  <c r="I809" i="3" s="1"/>
  <c r="H810" i="3" a="1"/>
  <c r="H810" i="3"/>
  <c r="I810" i="3" s="1"/>
  <c r="H811" i="3" a="1"/>
  <c r="H811" i="3"/>
  <c r="I811" i="3" s="1"/>
  <c r="H812" i="3" a="1"/>
  <c r="H812" i="3"/>
  <c r="I812" i="3" s="1"/>
  <c r="H813" i="3" a="1"/>
  <c r="H813" i="3"/>
  <c r="I813" i="3" s="1"/>
  <c r="H814" i="3" a="1"/>
  <c r="H814" i="3"/>
  <c r="I814" i="3" s="1"/>
  <c r="H815" i="3" a="1"/>
  <c r="H815" i="3"/>
  <c r="I815" i="3" s="1"/>
  <c r="H816" i="3" a="1"/>
  <c r="H816" i="3"/>
  <c r="I816" i="3" s="1"/>
  <c r="H817" i="3" a="1"/>
  <c r="H817" i="3"/>
  <c r="H818" i="3" a="1"/>
  <c r="H818" i="3"/>
  <c r="H819" i="3" a="1"/>
  <c r="H819" i="3"/>
  <c r="H820" i="3" a="1"/>
  <c r="H820" i="3"/>
  <c r="I820" i="3" s="1"/>
  <c r="H821" i="3" a="1"/>
  <c r="H821" i="3"/>
  <c r="I821" i="3" s="1"/>
  <c r="H822" i="3" a="1"/>
  <c r="H822" i="3"/>
  <c r="I822" i="3" s="1"/>
  <c r="H823" i="3" a="1"/>
  <c r="H823" i="3"/>
  <c r="I823" i="3" s="1"/>
  <c r="H824" i="3" a="1"/>
  <c r="H824" i="3"/>
  <c r="H825" i="3" a="1"/>
  <c r="H825" i="3"/>
  <c r="I825" i="3" s="1"/>
  <c r="H826" i="3" a="1"/>
  <c r="H826" i="3"/>
  <c r="I826" i="3" s="1"/>
  <c r="H827" i="3" a="1"/>
  <c r="H827" i="3"/>
  <c r="I827" i="3" s="1"/>
  <c r="H828" i="3" a="1"/>
  <c r="H828" i="3"/>
  <c r="I828" i="3" s="1"/>
  <c r="H829" i="3" a="1"/>
  <c r="H829" i="3"/>
  <c r="I829" i="3" s="1"/>
  <c r="H830" i="3" a="1"/>
  <c r="H830" i="3"/>
  <c r="I830" i="3" s="1"/>
  <c r="H831" i="3" a="1"/>
  <c r="H831" i="3"/>
  <c r="H832" i="3" a="1"/>
  <c r="H832" i="3"/>
  <c r="H833" i="3" a="1"/>
  <c r="H833" i="3"/>
  <c r="H834" i="3" a="1"/>
  <c r="H834" i="3"/>
  <c r="H835" i="3" a="1"/>
  <c r="H835" i="3"/>
  <c r="H836" i="3" a="1"/>
  <c r="H836" i="3"/>
  <c r="I836" i="3" s="1"/>
  <c r="H837" i="3" a="1"/>
  <c r="H837" i="3"/>
  <c r="I837" i="3" s="1"/>
  <c r="H838" i="3" a="1"/>
  <c r="H838" i="3"/>
  <c r="H839" i="3" a="1"/>
  <c r="H839" i="3"/>
  <c r="H840" i="3" a="1"/>
  <c r="H840" i="3"/>
  <c r="I840" i="3" s="1"/>
  <c r="H841" i="3" a="1"/>
  <c r="H841" i="3"/>
  <c r="I841" i="3" s="1"/>
  <c r="H842" i="3" a="1"/>
  <c r="H842" i="3"/>
  <c r="I842" i="3" s="1"/>
  <c r="H843" i="3" a="1"/>
  <c r="H843" i="3"/>
  <c r="I843" i="3" s="1"/>
  <c r="H844" i="3" a="1"/>
  <c r="H844" i="3"/>
  <c r="I844" i="3" s="1"/>
  <c r="H845" i="3" a="1"/>
  <c r="H845" i="3"/>
  <c r="H846" i="3" a="1"/>
  <c r="H846" i="3"/>
  <c r="I846" i="3" s="1"/>
  <c r="H847" i="3" a="1"/>
  <c r="H847" i="3"/>
  <c r="I847" i="3" s="1"/>
  <c r="H848" i="3" a="1"/>
  <c r="H848" i="3"/>
  <c r="I848" i="3" s="1"/>
  <c r="H849" i="3" a="1"/>
  <c r="H849" i="3"/>
  <c r="I849" i="3" s="1"/>
  <c r="H850" i="3" a="1"/>
  <c r="H850" i="3"/>
  <c r="I850" i="3" s="1"/>
  <c r="H851" i="3" a="1"/>
  <c r="H851" i="3"/>
  <c r="I851" i="3" s="1"/>
  <c r="H852" i="3" a="1"/>
  <c r="H852" i="3"/>
  <c r="H853" i="3" a="1"/>
  <c r="H853" i="3"/>
  <c r="H854" i="3" a="1"/>
  <c r="H854" i="3"/>
  <c r="H855" i="3" a="1"/>
  <c r="H855" i="3"/>
  <c r="I855" i="3" s="1"/>
  <c r="H856" i="3" a="1"/>
  <c r="H856" i="3"/>
  <c r="I856" i="3" s="1"/>
  <c r="H857" i="3" a="1"/>
  <c r="H857" i="3"/>
  <c r="I857" i="3" s="1"/>
  <c r="H858" i="3" a="1"/>
  <c r="H858" i="3"/>
  <c r="I858" i="3" s="1"/>
  <c r="H859" i="3" a="1"/>
  <c r="H859" i="3"/>
  <c r="I859" i="3" s="1"/>
  <c r="H860" i="3" a="1"/>
  <c r="H860" i="3"/>
  <c r="H861" i="3" a="1"/>
  <c r="H861" i="3"/>
  <c r="H862" i="3" a="1"/>
  <c r="H862" i="3"/>
  <c r="H863" i="3" a="1"/>
  <c r="H863" i="3"/>
  <c r="I863" i="3" s="1"/>
  <c r="H864" i="3" a="1"/>
  <c r="H864" i="3"/>
  <c r="I864" i="3" s="1"/>
  <c r="H865" i="3" a="1"/>
  <c r="H865" i="3"/>
  <c r="I865" i="3" s="1"/>
  <c r="H866" i="3" a="1"/>
  <c r="H866" i="3"/>
  <c r="H867" i="3" a="1"/>
  <c r="H867" i="3"/>
  <c r="H868" i="3" a="1"/>
  <c r="H868" i="3"/>
  <c r="H869" i="3" a="1"/>
  <c r="H869" i="3"/>
  <c r="I869" i="3" s="1"/>
  <c r="H870" i="3" a="1"/>
  <c r="H870" i="3"/>
  <c r="H871" i="3" a="1"/>
  <c r="H871" i="3"/>
  <c r="I871" i="3" s="1"/>
  <c r="H872" i="3" a="1"/>
  <c r="H872" i="3"/>
  <c r="I872" i="3" s="1"/>
  <c r="H873" i="3" a="1"/>
  <c r="H873" i="3"/>
  <c r="I873" i="3" s="1"/>
  <c r="H874" i="3" a="1"/>
  <c r="H874" i="3"/>
  <c r="I874" i="3" s="1"/>
  <c r="H875" i="3" a="1"/>
  <c r="H875" i="3"/>
  <c r="H876" i="3" a="1"/>
  <c r="H876" i="3"/>
  <c r="I876" i="3" s="1"/>
  <c r="H877" i="3" a="1"/>
  <c r="H877" i="3"/>
  <c r="I877" i="3" s="1"/>
  <c r="H878" i="3" a="1"/>
  <c r="H878" i="3"/>
  <c r="H879" i="3" a="1"/>
  <c r="H879" i="3"/>
  <c r="I879" i="3" s="1"/>
  <c r="H880" i="3" a="1"/>
  <c r="H880" i="3"/>
  <c r="H881" i="3" a="1"/>
  <c r="H881" i="3"/>
  <c r="I881" i="3" s="1"/>
  <c r="H882" i="3" a="1"/>
  <c r="H882" i="3"/>
  <c r="I882" i="3" s="1"/>
  <c r="H883" i="3" a="1"/>
  <c r="H883" i="3"/>
  <c r="I883" i="3" s="1"/>
  <c r="H884" i="3" a="1"/>
  <c r="H884" i="3"/>
  <c r="I884" i="3" s="1"/>
  <c r="H885" i="3" a="1"/>
  <c r="H885" i="3"/>
  <c r="I885" i="3" s="1"/>
  <c r="H886" i="3" a="1"/>
  <c r="H886" i="3"/>
  <c r="I886" i="3" s="1"/>
  <c r="H887" i="3" a="1"/>
  <c r="H887" i="3"/>
  <c r="I887" i="3" s="1"/>
  <c r="H888" i="3" a="1"/>
  <c r="H888" i="3"/>
  <c r="I888" i="3" s="1"/>
  <c r="H889" i="3" a="1"/>
  <c r="H889" i="3"/>
  <c r="I889" i="3" s="1"/>
  <c r="H890" i="3" a="1"/>
  <c r="H890" i="3"/>
  <c r="H891" i="3" a="1"/>
  <c r="H891" i="3"/>
  <c r="I891" i="3" s="1"/>
  <c r="H892" i="3" a="1"/>
  <c r="H892" i="3"/>
  <c r="I892" i="3" s="1"/>
  <c r="H893" i="3" a="1"/>
  <c r="H893" i="3"/>
  <c r="I893" i="3" s="1"/>
  <c r="H894" i="3" a="1"/>
  <c r="H894" i="3"/>
  <c r="H895" i="3" a="1"/>
  <c r="H895" i="3"/>
  <c r="H896" i="3" a="1"/>
  <c r="H896" i="3"/>
  <c r="H897" i="3" a="1"/>
  <c r="H897" i="3"/>
  <c r="I897" i="3" s="1"/>
  <c r="H898" i="3" a="1"/>
  <c r="H898" i="3"/>
  <c r="I898" i="3" s="1"/>
  <c r="H899" i="3" a="1"/>
  <c r="H899" i="3"/>
  <c r="I899" i="3" s="1"/>
  <c r="H900" i="3" a="1"/>
  <c r="H900" i="3"/>
  <c r="I900" i="3" s="1"/>
  <c r="H901" i="3" a="1"/>
  <c r="H901" i="3"/>
  <c r="I901" i="3" s="1"/>
  <c r="H902" i="3" a="1"/>
  <c r="H902" i="3"/>
  <c r="H903" i="3" a="1"/>
  <c r="H903" i="3"/>
  <c r="I903" i="3" s="1"/>
  <c r="H904" i="3" a="1"/>
  <c r="H904" i="3"/>
  <c r="I904" i="3" s="1"/>
  <c r="H905" i="3" a="1"/>
  <c r="H905" i="3"/>
  <c r="I905" i="3" s="1"/>
  <c r="H906" i="3" a="1"/>
  <c r="H906" i="3"/>
  <c r="I906" i="3" s="1"/>
  <c r="H907" i="3" a="1"/>
  <c r="H907" i="3"/>
  <c r="H908" i="3" a="1"/>
  <c r="H908" i="3"/>
  <c r="H909" i="3" a="1"/>
  <c r="H909" i="3"/>
  <c r="H910" i="3" a="1"/>
  <c r="H910" i="3"/>
  <c r="I910" i="3" s="1"/>
  <c r="H911" i="3" a="1"/>
  <c r="H911" i="3"/>
  <c r="H912" i="3" a="1"/>
  <c r="H912" i="3"/>
  <c r="I912" i="3" s="1"/>
  <c r="H913" i="3" a="1"/>
  <c r="H913" i="3"/>
  <c r="I913" i="3" s="1"/>
  <c r="H914" i="3" a="1"/>
  <c r="H914" i="3"/>
  <c r="I914" i="3" s="1"/>
  <c r="H915" i="3" a="1"/>
  <c r="H915" i="3"/>
  <c r="I915" i="3" s="1"/>
  <c r="H916" i="3" a="1"/>
  <c r="H916" i="3"/>
  <c r="I916" i="3" s="1"/>
  <c r="H917" i="3" a="1"/>
  <c r="H917" i="3"/>
  <c r="I917" i="3" s="1"/>
  <c r="H918" i="3" a="1"/>
  <c r="H918" i="3"/>
  <c r="I918" i="3" s="1"/>
  <c r="H919" i="3" a="1"/>
  <c r="H919" i="3"/>
  <c r="I919" i="3" s="1"/>
  <c r="H920" i="3" a="1"/>
  <c r="H920" i="3"/>
  <c r="I920" i="3" s="1"/>
  <c r="H921" i="3" a="1"/>
  <c r="H921" i="3"/>
  <c r="I921" i="3" s="1"/>
  <c r="H922" i="3" a="1"/>
  <c r="H922" i="3"/>
  <c r="H923" i="3" a="1"/>
  <c r="H923" i="3"/>
  <c r="H924" i="3" a="1"/>
  <c r="H924" i="3"/>
  <c r="H925" i="3" a="1"/>
  <c r="H925" i="3"/>
  <c r="H926" i="3" a="1"/>
  <c r="H926" i="3"/>
  <c r="I926" i="3" s="1"/>
  <c r="H927" i="3" a="1"/>
  <c r="H927" i="3"/>
  <c r="I927" i="3" s="1"/>
  <c r="H928" i="3" a="1"/>
  <c r="H928" i="3"/>
  <c r="I928" i="3" s="1"/>
  <c r="H929" i="3" a="1"/>
  <c r="H929" i="3"/>
  <c r="I929" i="3" s="1"/>
  <c r="H930" i="3" a="1"/>
  <c r="H930" i="3"/>
  <c r="H931" i="3" a="1"/>
  <c r="H931" i="3"/>
  <c r="H932" i="3" a="1"/>
  <c r="H932" i="3"/>
  <c r="I932" i="3" s="1"/>
  <c r="H933" i="3" a="1"/>
  <c r="H933" i="3"/>
  <c r="I933" i="3" s="1"/>
  <c r="H934" i="3" a="1"/>
  <c r="H934" i="3"/>
  <c r="I934" i="3" s="1"/>
  <c r="H935" i="3" a="1"/>
  <c r="H935" i="3"/>
  <c r="I935" i="3" s="1"/>
  <c r="H936" i="3" a="1"/>
  <c r="H936" i="3"/>
  <c r="H937" i="3" a="1"/>
  <c r="H937" i="3"/>
  <c r="H938" i="3" a="1"/>
  <c r="H938" i="3"/>
  <c r="I938" i="3" s="1"/>
  <c r="H939" i="3" a="1"/>
  <c r="H939" i="3"/>
  <c r="I939" i="3" s="1"/>
  <c r="H940" i="3" a="1"/>
  <c r="H940" i="3"/>
  <c r="I940" i="3" s="1"/>
  <c r="H941" i="3" a="1"/>
  <c r="H941" i="3"/>
  <c r="H942" i="3" a="1"/>
  <c r="H942" i="3"/>
  <c r="I942" i="3" s="1"/>
  <c r="H943" i="3" a="1"/>
  <c r="H943" i="3"/>
  <c r="I943" i="3" s="1"/>
  <c r="H944" i="3" a="1"/>
  <c r="H944" i="3"/>
  <c r="H945" i="3" a="1"/>
  <c r="H945" i="3"/>
  <c r="I945" i="3" s="1"/>
  <c r="H946" i="3" a="1"/>
  <c r="H946" i="3"/>
  <c r="H947" i="3" a="1"/>
  <c r="H947" i="3"/>
  <c r="I947" i="3" s="1"/>
  <c r="H948" i="3" a="1"/>
  <c r="H948" i="3"/>
  <c r="I948" i="3" s="1"/>
  <c r="H949" i="3" a="1"/>
  <c r="H949" i="3"/>
  <c r="I949" i="3" s="1"/>
  <c r="H950" i="3" a="1"/>
  <c r="H950" i="3"/>
  <c r="H951" i="3" a="1"/>
  <c r="H951" i="3"/>
  <c r="I951" i="3" s="1"/>
  <c r="H952" i="3" a="1"/>
  <c r="H952" i="3"/>
  <c r="I952" i="3" s="1"/>
  <c r="H953" i="3" a="1"/>
  <c r="H953" i="3"/>
  <c r="I953" i="3" s="1"/>
  <c r="H954" i="3" a="1"/>
  <c r="H954" i="3"/>
  <c r="I954" i="3" s="1"/>
  <c r="H955" i="3" a="1"/>
  <c r="H955" i="3"/>
  <c r="I955" i="3" s="1"/>
  <c r="H956" i="3" a="1"/>
  <c r="H956" i="3"/>
  <c r="I956" i="3" s="1"/>
  <c r="H957" i="3" a="1"/>
  <c r="H957" i="3"/>
  <c r="H958" i="3" a="1"/>
  <c r="H958" i="3"/>
  <c r="H959" i="3" a="1"/>
  <c r="H959" i="3"/>
  <c r="I959" i="3" s="1"/>
  <c r="H960" i="3" a="1"/>
  <c r="H960" i="3"/>
  <c r="H961" i="3" a="1"/>
  <c r="H961" i="3"/>
  <c r="I961" i="3" s="1"/>
  <c r="H962" i="3" a="1"/>
  <c r="H962" i="3"/>
  <c r="H963" i="3" a="1"/>
  <c r="H963" i="3"/>
  <c r="I963" i="3" s="1"/>
  <c r="H964" i="3" a="1"/>
  <c r="H964" i="3"/>
  <c r="H965" i="3" a="1"/>
  <c r="H965" i="3"/>
  <c r="I965" i="3" s="1"/>
  <c r="H966" i="3" a="1"/>
  <c r="H966" i="3"/>
  <c r="I966" i="3" s="1"/>
  <c r="H967" i="3" a="1"/>
  <c r="H967" i="3"/>
  <c r="H968" i="3" a="1"/>
  <c r="H968" i="3"/>
  <c r="I968" i="3" s="1"/>
  <c r="H969" i="3" a="1"/>
  <c r="H969" i="3"/>
  <c r="I969" i="3" s="1"/>
  <c r="H970" i="3" a="1"/>
  <c r="H970" i="3"/>
  <c r="I970" i="3" s="1"/>
  <c r="H971" i="3" a="1"/>
  <c r="H971" i="3"/>
  <c r="H972" i="3" a="1"/>
  <c r="H972" i="3"/>
  <c r="H973" i="3" a="1"/>
  <c r="H973" i="3"/>
  <c r="I973" i="3" s="1"/>
  <c r="H974" i="3" a="1"/>
  <c r="H974" i="3"/>
  <c r="I974" i="3" s="1"/>
  <c r="H975" i="3" a="1"/>
  <c r="H975" i="3"/>
  <c r="I975" i="3" s="1"/>
  <c r="H976" i="3" a="1"/>
  <c r="H976" i="3"/>
  <c r="I976" i="3" s="1"/>
  <c r="H977" i="3" a="1"/>
  <c r="H977" i="3"/>
  <c r="H978" i="3" a="1"/>
  <c r="H978" i="3"/>
  <c r="H979" i="3" a="1"/>
  <c r="H979" i="3"/>
  <c r="H980" i="3" a="1"/>
  <c r="H980" i="3"/>
  <c r="I980" i="3" s="1"/>
  <c r="H981" i="3" a="1"/>
  <c r="H981" i="3"/>
  <c r="I981" i="3" s="1"/>
  <c r="H982" i="3" a="1"/>
  <c r="H982" i="3"/>
  <c r="I982" i="3" s="1"/>
  <c r="H983" i="3" a="1"/>
  <c r="H983" i="3"/>
  <c r="I983" i="3" s="1"/>
  <c r="H984" i="3" a="1"/>
  <c r="H984" i="3"/>
  <c r="I984" i="3" s="1"/>
  <c r="H985" i="3" a="1"/>
  <c r="H985" i="3"/>
  <c r="H986" i="3" a="1"/>
  <c r="H986" i="3"/>
  <c r="H987" i="3" a="1"/>
  <c r="H987" i="3"/>
  <c r="I987" i="3" s="1"/>
  <c r="H988" i="3" a="1"/>
  <c r="H988" i="3"/>
  <c r="I988" i="3" s="1"/>
  <c r="H989" i="3" a="1"/>
  <c r="H989" i="3"/>
  <c r="I989" i="3" s="1"/>
  <c r="H990" i="3" a="1"/>
  <c r="H990" i="3"/>
  <c r="I990" i="3" s="1"/>
  <c r="H991" i="3" a="1"/>
  <c r="H991" i="3"/>
  <c r="I991" i="3" s="1"/>
  <c r="H992" i="3" a="1"/>
  <c r="H992" i="3"/>
  <c r="H993" i="3" a="1"/>
  <c r="H993" i="3"/>
  <c r="H994" i="3" a="1"/>
  <c r="H994" i="3"/>
  <c r="H995" i="3" a="1"/>
  <c r="H995" i="3"/>
  <c r="H996" i="3" a="1"/>
  <c r="H996" i="3"/>
  <c r="I996" i="3" s="1"/>
  <c r="H997" i="3" a="1"/>
  <c r="H997" i="3"/>
  <c r="I997" i="3" s="1"/>
  <c r="H998" i="3" a="1"/>
  <c r="H998" i="3"/>
  <c r="H999" i="3" a="1"/>
  <c r="H999" i="3"/>
  <c r="H1000" i="3" a="1"/>
  <c r="H1000" i="3"/>
  <c r="H1001" i="3" a="1"/>
  <c r="H1001" i="3"/>
  <c r="I1001" i="3" s="1"/>
  <c r="H1002" i="3" a="1"/>
  <c r="H1002" i="3"/>
  <c r="H1003" i="3" a="1"/>
  <c r="H1003" i="3"/>
  <c r="I1003" i="3" s="1"/>
  <c r="H1004" i="3" a="1"/>
  <c r="H1004" i="3"/>
  <c r="H1005" i="3" a="1"/>
  <c r="H1005" i="3"/>
  <c r="H1006" i="3" a="1"/>
  <c r="H1006" i="3"/>
  <c r="H1007" i="3" a="1"/>
  <c r="H1007" i="3"/>
  <c r="I1007" i="3" s="1"/>
  <c r="H1008" i="3" a="1"/>
  <c r="H1008" i="3"/>
  <c r="I1008" i="3" s="1"/>
  <c r="H1009" i="3" a="1"/>
  <c r="H1009" i="3"/>
  <c r="I1009" i="3" s="1"/>
  <c r="H1010" i="3" a="1"/>
  <c r="H1010" i="3"/>
  <c r="I1010" i="3" s="1"/>
  <c r="H1011" i="3" a="1"/>
  <c r="H1011" i="3"/>
  <c r="I1011" i="3" s="1"/>
  <c r="H1012" i="3" a="1"/>
  <c r="H1012" i="3"/>
  <c r="I1012" i="3" s="1"/>
  <c r="H1013" i="3" a="1"/>
  <c r="H1013" i="3"/>
  <c r="H1014" i="3" a="1"/>
  <c r="H1014" i="3"/>
  <c r="I1014" i="3" s="1"/>
  <c r="H1015" i="3" a="1"/>
  <c r="H1015" i="3"/>
  <c r="I1015" i="3" s="1"/>
  <c r="H1016" i="3" a="1"/>
  <c r="H1016" i="3"/>
  <c r="I1016" i="3" s="1"/>
  <c r="H1017" i="3" a="1"/>
  <c r="H1017" i="3"/>
  <c r="I1017" i="3" s="1"/>
  <c r="H1018" i="3" a="1"/>
  <c r="H1018" i="3"/>
  <c r="I1018" i="3" s="1"/>
  <c r="H1019" i="3" a="1"/>
  <c r="H1019" i="3"/>
  <c r="I1019" i="3" s="1"/>
  <c r="H1020" i="3" a="1"/>
  <c r="H1020" i="3"/>
  <c r="H1021" i="3" a="1"/>
  <c r="H1021" i="3"/>
  <c r="I1021" i="3" s="1"/>
  <c r="H1022" i="3" a="1"/>
  <c r="H1022" i="3"/>
  <c r="H1023" i="3" a="1"/>
  <c r="H1023" i="3"/>
  <c r="H1024" i="3" a="1"/>
  <c r="H1024" i="3"/>
  <c r="I1024" i="3" s="1"/>
  <c r="H1025" i="3" a="1"/>
  <c r="H1025" i="3"/>
  <c r="I1025" i="3" s="1"/>
  <c r="H1026" i="3" a="1"/>
  <c r="H1026" i="3"/>
  <c r="I1026" i="3" s="1"/>
  <c r="H1027" i="3" a="1"/>
  <c r="H1027" i="3"/>
  <c r="H1028" i="3" a="1"/>
  <c r="H1028" i="3"/>
  <c r="I1028" i="3" s="1"/>
  <c r="H1029" i="3" a="1"/>
  <c r="H1029" i="3"/>
  <c r="I1029" i="3" s="1"/>
  <c r="H1030" i="3" a="1"/>
  <c r="H1030" i="3"/>
  <c r="I1030" i="3" s="1"/>
  <c r="H1031" i="3" a="1"/>
  <c r="H1031" i="3"/>
  <c r="I1031" i="3" s="1"/>
  <c r="H1032" i="3" a="1"/>
  <c r="H1032" i="3"/>
  <c r="I1032" i="3" s="1"/>
  <c r="H1033" i="3" a="1"/>
  <c r="H1033" i="3"/>
  <c r="I1033" i="3" s="1"/>
  <c r="H1034" i="3" a="1"/>
  <c r="H1034" i="3"/>
  <c r="I1034" i="3" s="1"/>
  <c r="H1035" i="3" a="1"/>
  <c r="H1035" i="3"/>
  <c r="H1036" i="3" a="1"/>
  <c r="H1036" i="3"/>
  <c r="H1037" i="3" a="1"/>
  <c r="H1037" i="3"/>
  <c r="H1038" i="3" a="1"/>
  <c r="H1038" i="3"/>
  <c r="I1038" i="3" s="1"/>
  <c r="H1039" i="3" a="1"/>
  <c r="H1039" i="3"/>
  <c r="I1039" i="3" s="1"/>
  <c r="H1040" i="3" a="1"/>
  <c r="H1040" i="3"/>
  <c r="I1040" i="3" s="1"/>
  <c r="H1041" i="3" a="1"/>
  <c r="H1041" i="3"/>
  <c r="H1042" i="3" a="1"/>
  <c r="H1042" i="3"/>
  <c r="I1042" i="3" s="1"/>
  <c r="H1043" i="3" a="1"/>
  <c r="H1043" i="3"/>
  <c r="H1044" i="3" a="1"/>
  <c r="H1044" i="3"/>
  <c r="I1044" i="3" s="1"/>
  <c r="H1045" i="3" a="1"/>
  <c r="H1045" i="3"/>
  <c r="I1045" i="3" s="1"/>
  <c r="H1046" i="3" a="1"/>
  <c r="H1046" i="3"/>
  <c r="I1046" i="3" s="1"/>
  <c r="H1047" i="3" a="1"/>
  <c r="H1047" i="3"/>
  <c r="I1047" i="3" s="1"/>
  <c r="H1048" i="3" a="1"/>
  <c r="H1048" i="3"/>
  <c r="H1049" i="3" a="1"/>
  <c r="H1049" i="3"/>
  <c r="I1049" i="3" s="1"/>
  <c r="H1050" i="3" a="1"/>
  <c r="H1050" i="3"/>
  <c r="I1050" i="3" s="1"/>
  <c r="H1051" i="3" a="1"/>
  <c r="H1051" i="3"/>
  <c r="I1051" i="3" s="1"/>
  <c r="H1052" i="3" a="1"/>
  <c r="H1052" i="3"/>
  <c r="I1052" i="3" s="1"/>
  <c r="H1053" i="3" a="1"/>
  <c r="H1053" i="3"/>
  <c r="I1053" i="3" s="1"/>
  <c r="H1054" i="3" a="1"/>
  <c r="H1054" i="3"/>
  <c r="I1054" i="3" s="1"/>
  <c r="H1055" i="3" a="1"/>
  <c r="H1055" i="3"/>
  <c r="H1056" i="3" a="1"/>
  <c r="H1056" i="3"/>
  <c r="H1057" i="3" a="1"/>
  <c r="H1057" i="3"/>
  <c r="I1057" i="3" s="1"/>
  <c r="H1058" i="3" a="1"/>
  <c r="H1058" i="3"/>
  <c r="H1059" i="3" a="1"/>
  <c r="H1059" i="3"/>
  <c r="I1059" i="3" s="1"/>
  <c r="H1060" i="3" a="1"/>
  <c r="H1060" i="3"/>
  <c r="H1061" i="3" a="1"/>
  <c r="H1061" i="3"/>
  <c r="I1061" i="3" s="1"/>
  <c r="H1062" i="3" a="1"/>
  <c r="H1062" i="3"/>
  <c r="H1063" i="3" a="1"/>
  <c r="H1063" i="3"/>
  <c r="I1063" i="3" s="1"/>
  <c r="H1064" i="3" a="1"/>
  <c r="H1064" i="3"/>
  <c r="I1064" i="3" s="1"/>
  <c r="H1065" i="3" a="1"/>
  <c r="H1065" i="3"/>
  <c r="I1065" i="3" s="1"/>
  <c r="H1066" i="3" a="1"/>
  <c r="H1066" i="3"/>
  <c r="I1066" i="3" s="1"/>
  <c r="H1067" i="3" a="1"/>
  <c r="H1067" i="3"/>
  <c r="I1067" i="3" s="1"/>
  <c r="H1068" i="3" a="1"/>
  <c r="H1068" i="3"/>
  <c r="I1068" i="3" s="1"/>
  <c r="H1069" i="3" a="1"/>
  <c r="H1069" i="3"/>
  <c r="H1070" i="3" a="1"/>
  <c r="H1070" i="3"/>
  <c r="H1071" i="3" a="1"/>
  <c r="H1071" i="3"/>
  <c r="H1072" i="3" a="1"/>
  <c r="H1072" i="3"/>
  <c r="H1073" i="3" a="1"/>
  <c r="H1073" i="3"/>
  <c r="I1073" i="3" s="1"/>
  <c r="H1074" i="3" a="1"/>
  <c r="H1074" i="3"/>
  <c r="I1074" i="3" s="1"/>
  <c r="H1075" i="3" a="1"/>
  <c r="H1075" i="3"/>
  <c r="I1075" i="3" s="1"/>
  <c r="H1076" i="3" a="1"/>
  <c r="H1076" i="3"/>
  <c r="H1077" i="3" a="1"/>
  <c r="H1077" i="3"/>
  <c r="I1077" i="3" s="1"/>
  <c r="H1078" i="3" a="1"/>
  <c r="H1078" i="3"/>
  <c r="I1078" i="3" s="1"/>
  <c r="H1079" i="3" a="1"/>
  <c r="H1079" i="3"/>
  <c r="I1079" i="3" s="1"/>
  <c r="H1080" i="3" a="1"/>
  <c r="H1080" i="3"/>
  <c r="I1080" i="3" s="1"/>
  <c r="H1081" i="3" a="1"/>
  <c r="H1081" i="3"/>
  <c r="I1081" i="3" s="1"/>
  <c r="H1082" i="3" a="1"/>
  <c r="H1082" i="3"/>
  <c r="I1082" i="3" s="1"/>
  <c r="H1083" i="3" a="1"/>
  <c r="H1083" i="3"/>
  <c r="H1084" i="3" a="1"/>
  <c r="H1084" i="3"/>
  <c r="H1085" i="3" a="1"/>
  <c r="H1085" i="3"/>
  <c r="I1085" i="3" s="1"/>
  <c r="H1086" i="3" a="1"/>
  <c r="H1086" i="3"/>
  <c r="I1086" i="3" s="1"/>
  <c r="H1087" i="3" a="1"/>
  <c r="H1087" i="3"/>
  <c r="I1087" i="3" s="1"/>
  <c r="H1088" i="3" a="1"/>
  <c r="H1088" i="3"/>
  <c r="H1089" i="3" a="1"/>
  <c r="H1089" i="3"/>
  <c r="I1089" i="3" s="1"/>
  <c r="H1090" i="3" a="1"/>
  <c r="H1090" i="3"/>
  <c r="H1091" i="3" a="1"/>
  <c r="H1091" i="3"/>
  <c r="I1091" i="3" s="1"/>
  <c r="H1092" i="3" a="1"/>
  <c r="H1092" i="3"/>
  <c r="I1092" i="3" s="1"/>
  <c r="H1093" i="3" a="1"/>
  <c r="H1093" i="3"/>
  <c r="I1093" i="3" s="1"/>
  <c r="H1094" i="3" a="1"/>
  <c r="H1094" i="3"/>
  <c r="I1094" i="3" s="1"/>
  <c r="H1095" i="3" a="1"/>
  <c r="H1095" i="3"/>
  <c r="H1096" i="3" a="1"/>
  <c r="H1096" i="3"/>
  <c r="H1097" i="3" a="1"/>
  <c r="H1097" i="3"/>
  <c r="H1098" i="3" a="1"/>
  <c r="H1098" i="3"/>
  <c r="I1098" i="3" s="1"/>
  <c r="H1099" i="3" a="1"/>
  <c r="H1099" i="3"/>
  <c r="I1099" i="3" s="1"/>
  <c r="H1100" i="3" a="1"/>
  <c r="H1100" i="3"/>
  <c r="I1100" i="3" s="1"/>
  <c r="H1101" i="3" a="1"/>
  <c r="H1101" i="3"/>
  <c r="I1101" i="3" s="1"/>
  <c r="H1102" i="3" a="1"/>
  <c r="H1102" i="3"/>
  <c r="I1102" i="3" s="1"/>
  <c r="H1103" i="3" a="1"/>
  <c r="H1103" i="3"/>
  <c r="I1103" i="3" s="1"/>
  <c r="H1104" i="3" a="1"/>
  <c r="H1104" i="3"/>
  <c r="H1105" i="3" a="1"/>
  <c r="H1105" i="3"/>
  <c r="H1106" i="3" a="1"/>
  <c r="H1106" i="3"/>
  <c r="I1106" i="3" s="1"/>
  <c r="H1107" i="3" a="1"/>
  <c r="H1107" i="3"/>
  <c r="H1108" i="3" a="1"/>
  <c r="H1108" i="3"/>
  <c r="I1108" i="3" s="1"/>
  <c r="H1109" i="3" a="1"/>
  <c r="H1109" i="3"/>
  <c r="I1109" i="3" s="1"/>
  <c r="H1110" i="3" a="1"/>
  <c r="H1110" i="3"/>
  <c r="I1110" i="3" s="1"/>
  <c r="H1111" i="3" a="1"/>
  <c r="H1111" i="3"/>
  <c r="H1112" i="3" a="1"/>
  <c r="H1112" i="3"/>
  <c r="H1113" i="3" a="1"/>
  <c r="H1113" i="3"/>
  <c r="H1114" i="3" a="1"/>
  <c r="H1114" i="3"/>
  <c r="H1115" i="3" a="1"/>
  <c r="H1115" i="3"/>
  <c r="I1115" i="3" s="1"/>
  <c r="H1116" i="3" a="1"/>
  <c r="H1116" i="3"/>
  <c r="I1116" i="3" s="1"/>
  <c r="H1117" i="3" a="1"/>
  <c r="H1117" i="3"/>
  <c r="I1117" i="3" s="1"/>
  <c r="H1118" i="3" a="1"/>
  <c r="H1118" i="3"/>
  <c r="H1119" i="3" a="1"/>
  <c r="H1119" i="3"/>
  <c r="H1120" i="3" a="1"/>
  <c r="H1120" i="3"/>
  <c r="I1120" i="3" s="1"/>
  <c r="H1121" i="3" a="1"/>
  <c r="H1121" i="3"/>
  <c r="I1121" i="3" s="1"/>
  <c r="H1122" i="3" a="1"/>
  <c r="H1122" i="3"/>
  <c r="I1122" i="3" s="1"/>
  <c r="H1123" i="3" a="1"/>
  <c r="H1123" i="3"/>
  <c r="I1123" i="3" s="1"/>
  <c r="H1124" i="3" a="1"/>
  <c r="H1124" i="3"/>
  <c r="I1124" i="3" s="1"/>
  <c r="H1125" i="3" a="1"/>
  <c r="H1125" i="3"/>
  <c r="H1126" i="3" a="1"/>
  <c r="H1126" i="3"/>
  <c r="H1127" i="3" a="1"/>
  <c r="H1127" i="3"/>
  <c r="H1128" i="3" a="1"/>
  <c r="H1128" i="3"/>
  <c r="I1128" i="3" s="1"/>
  <c r="H1129" i="3" a="1"/>
  <c r="H1129" i="3"/>
  <c r="I1129" i="3" s="1"/>
  <c r="H1130" i="3" a="1"/>
  <c r="H1130" i="3"/>
  <c r="H1131" i="3" a="1"/>
  <c r="H1131" i="3"/>
  <c r="I1131" i="3" s="1"/>
  <c r="H1132" i="3" a="1"/>
  <c r="H1132" i="3"/>
  <c r="H1133" i="3" a="1"/>
  <c r="H1133" i="3"/>
  <c r="I1133" i="3" s="1"/>
  <c r="H1134" i="3" a="1"/>
  <c r="H1134" i="3"/>
  <c r="I1134" i="3" s="1"/>
  <c r="H1135" i="3" a="1"/>
  <c r="H1135" i="3"/>
  <c r="I1135" i="3" s="1"/>
  <c r="H1136" i="3" a="1"/>
  <c r="H1136" i="3"/>
  <c r="I1136" i="3" s="1"/>
  <c r="H1137" i="3" a="1"/>
  <c r="H1137" i="3"/>
  <c r="I1137" i="3" s="1"/>
  <c r="H1138" i="3" a="1"/>
  <c r="H1138" i="3"/>
  <c r="I1138" i="3" s="1"/>
  <c r="H1139" i="3" a="1"/>
  <c r="H1139" i="3"/>
  <c r="I1139" i="3" s="1"/>
  <c r="H1140" i="3" a="1"/>
  <c r="H1140" i="3"/>
  <c r="I1140" i="3" s="1"/>
  <c r="H1141" i="3" a="1"/>
  <c r="H1141" i="3"/>
  <c r="H1142" i="3" a="1"/>
  <c r="H1142" i="3"/>
  <c r="I1142" i="3" s="1"/>
  <c r="H1143" i="3" a="1"/>
  <c r="H1143" i="3"/>
  <c r="I1143" i="3" s="1"/>
  <c r="H1144" i="3" a="1"/>
  <c r="H1144" i="3"/>
  <c r="I1144" i="3" s="1"/>
  <c r="H1145" i="3" a="1"/>
  <c r="H1145" i="3"/>
  <c r="I1145" i="3" s="1"/>
  <c r="H1146" i="3" a="1"/>
  <c r="H1146" i="3"/>
  <c r="H1147" i="3" a="1"/>
  <c r="H1147" i="3"/>
  <c r="H1148" i="3" a="1"/>
  <c r="H1148" i="3"/>
  <c r="H1149" i="3" a="1"/>
  <c r="H1149" i="3"/>
  <c r="I1149" i="3" s="1"/>
  <c r="H1150" i="3" a="1"/>
  <c r="H1150" i="3"/>
  <c r="I1150" i="3" s="1"/>
  <c r="H1151" i="3" a="1"/>
  <c r="H1151" i="3"/>
  <c r="I1151" i="3" s="1"/>
  <c r="H1152" i="3" a="1"/>
  <c r="H1152" i="3"/>
  <c r="I1152" i="3" s="1"/>
  <c r="H1153" i="3" a="1"/>
  <c r="H1153" i="3"/>
  <c r="H1154" i="3" a="1"/>
  <c r="H1154" i="3"/>
  <c r="I1154" i="3" s="1"/>
  <c r="H1155" i="3" a="1"/>
  <c r="H1155" i="3"/>
  <c r="I1155" i="3" s="1"/>
  <c r="H1156" i="3" a="1"/>
  <c r="H1156" i="3"/>
  <c r="I1156" i="3" s="1"/>
  <c r="H1157" i="3" a="1"/>
  <c r="H1157" i="3"/>
  <c r="I1157" i="3" s="1"/>
  <c r="H1158" i="3" a="1"/>
  <c r="H1158" i="3"/>
  <c r="I1158" i="3" s="1"/>
  <c r="H1159" i="3" a="1"/>
  <c r="H1159" i="3"/>
  <c r="I1159" i="3" s="1"/>
  <c r="H1160" i="3" a="1"/>
  <c r="H1160" i="3"/>
  <c r="H1161" i="3" a="1"/>
  <c r="H1161" i="3"/>
  <c r="H1162" i="3" a="1"/>
  <c r="H1162" i="3"/>
  <c r="H1163" i="3" a="1"/>
  <c r="H1163" i="3"/>
  <c r="I1163" i="3" s="1"/>
  <c r="H1164" i="3" a="1"/>
  <c r="H1164" i="3"/>
  <c r="H1165" i="3" a="1"/>
  <c r="H1165" i="3"/>
  <c r="I1165" i="3" s="1"/>
  <c r="H1166" i="3" a="1"/>
  <c r="H1166" i="3"/>
  <c r="I1166" i="3" s="1"/>
  <c r="H1167" i="3" a="1"/>
  <c r="H1167" i="3"/>
  <c r="I1167" i="3" s="1"/>
  <c r="H1168" i="3" a="1"/>
  <c r="H1168" i="3"/>
  <c r="I1168" i="3" s="1"/>
  <c r="H1169" i="3" a="1"/>
  <c r="H1169" i="3"/>
  <c r="H1170" i="3" a="1"/>
  <c r="H1170" i="3"/>
  <c r="H1171" i="3" a="1"/>
  <c r="H1171" i="3"/>
  <c r="I1171" i="3" s="1"/>
  <c r="H1172" i="3" a="1"/>
  <c r="H1172" i="3"/>
  <c r="I1172" i="3" s="1"/>
  <c r="H1173" i="3" a="1"/>
  <c r="H1173" i="3"/>
  <c r="I1173" i="3" s="1"/>
  <c r="H1174" i="3" a="1"/>
  <c r="H1174" i="3"/>
  <c r="H1175" i="3" a="1"/>
  <c r="H1175" i="3"/>
  <c r="I1175" i="3" s="1"/>
  <c r="H1176" i="3" a="1"/>
  <c r="H1176" i="3"/>
  <c r="I1176" i="3" s="1"/>
  <c r="H1177" i="3" a="1"/>
  <c r="H1177" i="3"/>
  <c r="I1177" i="3" s="1"/>
  <c r="H1178" i="3" a="1"/>
  <c r="H1178" i="3"/>
  <c r="I1178" i="3" s="1"/>
  <c r="H1179" i="3" a="1"/>
  <c r="H1179" i="3"/>
  <c r="I1179" i="3" s="1"/>
  <c r="H1180" i="3" a="1"/>
  <c r="H1180" i="3"/>
  <c r="I1180" i="3" s="1"/>
  <c r="H1181" i="3" a="1"/>
  <c r="H1181" i="3"/>
  <c r="H1182" i="3" a="1"/>
  <c r="H1182" i="3"/>
  <c r="I1182" i="3" s="1"/>
  <c r="H1183" i="3" a="1"/>
  <c r="H1183" i="3"/>
  <c r="H1184" i="3" a="1"/>
  <c r="H1184" i="3"/>
  <c r="H1185" i="3" a="1"/>
  <c r="H1185" i="3"/>
  <c r="I1185" i="3" s="1"/>
  <c r="H1186" i="3" a="1"/>
  <c r="H1186" i="3"/>
  <c r="I1186" i="3" s="1"/>
  <c r="H1187" i="3" a="1"/>
  <c r="H1187" i="3"/>
  <c r="I1187" i="3" s="1"/>
  <c r="H1188" i="3" a="1"/>
  <c r="H1188" i="3"/>
  <c r="H1189" i="3" a="1"/>
  <c r="H1189" i="3"/>
  <c r="H1190" i="3" a="1"/>
  <c r="H1190" i="3"/>
  <c r="H1191" i="3" a="1"/>
  <c r="H1191" i="3"/>
  <c r="H1192" i="3" a="1"/>
  <c r="H1192" i="3"/>
  <c r="I1192" i="3" s="1"/>
  <c r="H1193" i="3" a="1"/>
  <c r="H1193" i="3"/>
  <c r="I1193" i="3" s="1"/>
  <c r="H1194" i="3" a="1"/>
  <c r="H1194" i="3"/>
  <c r="I1194" i="3" s="1"/>
  <c r="H1195" i="3" a="1"/>
  <c r="H1195" i="3"/>
  <c r="H1196" i="3" a="1"/>
  <c r="H1196" i="3"/>
  <c r="I1196" i="3" s="1"/>
  <c r="H1197" i="3" a="1"/>
  <c r="H1197" i="3"/>
  <c r="I1197" i="3" s="1"/>
  <c r="H1198" i="3" a="1"/>
  <c r="H1198" i="3"/>
  <c r="I1198" i="3" s="1"/>
  <c r="H1199" i="3" a="1"/>
  <c r="H1199" i="3"/>
  <c r="I1199" i="3" s="1"/>
  <c r="H1200" i="3" a="1"/>
  <c r="H1200" i="3"/>
  <c r="I1200" i="3" s="1"/>
  <c r="H1201" i="3" a="1"/>
  <c r="H1201" i="3"/>
  <c r="I1201" i="3" s="1"/>
  <c r="H2" i="3" a="1"/>
  <c r="H2" i="3" s="1"/>
  <c r="I2" i="3" s="1"/>
  <c r="I19" i="3"/>
  <c r="I20" i="3"/>
  <c r="I22" i="3"/>
  <c r="I26" i="3"/>
  <c r="I27" i="3"/>
  <c r="I33" i="3"/>
  <c r="I34" i="3"/>
  <c r="I35" i="3"/>
  <c r="I36" i="3"/>
  <c r="I40" i="3"/>
  <c r="I42" i="3"/>
  <c r="I43" i="3"/>
  <c r="I47" i="3"/>
  <c r="I54" i="3"/>
  <c r="I55" i="3"/>
  <c r="I61" i="3"/>
  <c r="I62" i="3"/>
  <c r="I63" i="3"/>
  <c r="I64" i="3"/>
  <c r="I75" i="3"/>
  <c r="I80" i="3"/>
  <c r="I82" i="3"/>
  <c r="I83" i="3"/>
  <c r="I85" i="3"/>
  <c r="I96" i="3"/>
  <c r="I97" i="3"/>
  <c r="I103" i="3"/>
  <c r="I104" i="3"/>
  <c r="I106" i="3"/>
  <c r="I113" i="3"/>
  <c r="I117" i="3"/>
  <c r="I122" i="3"/>
  <c r="I124" i="3"/>
  <c r="I131" i="3"/>
  <c r="I138" i="3"/>
  <c r="I139" i="3"/>
  <c r="I140" i="3"/>
  <c r="I145" i="3"/>
  <c r="I146" i="3"/>
  <c r="I147" i="3"/>
  <c r="I150" i="3"/>
  <c r="I152" i="3"/>
  <c r="I159" i="3"/>
  <c r="I161" i="3"/>
  <c r="I166" i="3"/>
  <c r="I169" i="3"/>
  <c r="I171" i="3"/>
  <c r="I173" i="3"/>
  <c r="I180" i="3"/>
  <c r="I181" i="3"/>
  <c r="I182" i="3"/>
  <c r="I183" i="3"/>
  <c r="I185" i="3"/>
  <c r="I187" i="3"/>
  <c r="I188" i="3"/>
  <c r="I194" i="3"/>
  <c r="I201" i="3"/>
  <c r="I204" i="3"/>
  <c r="I211" i="3"/>
  <c r="I213" i="3"/>
  <c r="I215" i="3"/>
  <c r="I229" i="3"/>
  <c r="I232" i="3"/>
  <c r="I236" i="3"/>
  <c r="I243" i="3"/>
  <c r="I250" i="3"/>
  <c r="I251" i="3"/>
  <c r="I253" i="3"/>
  <c r="I255" i="3"/>
  <c r="I264" i="3"/>
  <c r="I266" i="3"/>
  <c r="I269" i="3"/>
  <c r="I271" i="3"/>
  <c r="I273" i="3"/>
  <c r="I274" i="3"/>
  <c r="I278" i="3"/>
  <c r="I285" i="3"/>
  <c r="I288" i="3"/>
  <c r="I290" i="3"/>
  <c r="I292" i="3"/>
  <c r="I294" i="3"/>
  <c r="I295" i="3"/>
  <c r="I299" i="3"/>
  <c r="I300" i="3"/>
  <c r="I306" i="3"/>
  <c r="I313" i="3"/>
  <c r="I315" i="3"/>
  <c r="I316" i="3"/>
  <c r="I320" i="3"/>
  <c r="I327" i="3"/>
  <c r="I328" i="3"/>
  <c r="I329" i="3"/>
  <c r="I330" i="3"/>
  <c r="I336" i="3"/>
  <c r="I337" i="3"/>
  <c r="I341" i="3"/>
  <c r="I348" i="3"/>
  <c r="I349" i="3"/>
  <c r="I351" i="3"/>
  <c r="I353" i="3"/>
  <c r="I355" i="3"/>
  <c r="I356" i="3"/>
  <c r="I357" i="3"/>
  <c r="I362" i="3"/>
  <c r="I369" i="3"/>
  <c r="I370" i="3"/>
  <c r="I371" i="3"/>
  <c r="I376" i="3"/>
  <c r="I377" i="3"/>
  <c r="I378" i="3"/>
  <c r="I383" i="3"/>
  <c r="I384" i="3"/>
  <c r="I385" i="3"/>
  <c r="I388" i="3"/>
  <c r="I389" i="3"/>
  <c r="I393" i="3"/>
  <c r="I397" i="3"/>
  <c r="I399" i="3"/>
  <c r="I404" i="3"/>
  <c r="I405" i="3"/>
  <c r="I411" i="3"/>
  <c r="I412" i="3"/>
  <c r="I414" i="3"/>
  <c r="I416" i="3"/>
  <c r="I418" i="3"/>
  <c r="I425" i="3"/>
  <c r="I427" i="3"/>
  <c r="I428" i="3"/>
  <c r="I430" i="3"/>
  <c r="I432" i="3"/>
  <c r="I433" i="3"/>
  <c r="I434" i="3"/>
  <c r="I439" i="3"/>
  <c r="I440" i="3"/>
  <c r="I446" i="3"/>
  <c r="I448" i="3"/>
  <c r="I451" i="3"/>
  <c r="I460" i="3"/>
  <c r="I461" i="3"/>
  <c r="I462" i="3"/>
  <c r="I463" i="3"/>
  <c r="I468" i="3"/>
  <c r="I474" i="3"/>
  <c r="I481" i="3"/>
  <c r="I482" i="3"/>
  <c r="I484" i="3"/>
  <c r="I488" i="3"/>
  <c r="I489" i="3"/>
  <c r="I490" i="3"/>
  <c r="I496" i="3"/>
  <c r="I502" i="3"/>
  <c r="I503" i="3"/>
  <c r="I504" i="3"/>
  <c r="I509" i="3"/>
  <c r="I510" i="3"/>
  <c r="I511" i="3"/>
  <c r="I517" i="3"/>
  <c r="I518" i="3"/>
  <c r="I523" i="3"/>
  <c r="I524" i="3"/>
  <c r="I526" i="3"/>
  <c r="I528" i="3"/>
  <c r="I537" i="3"/>
  <c r="I538" i="3"/>
  <c r="I539" i="3"/>
  <c r="I540" i="3"/>
  <c r="I545" i="3"/>
  <c r="I553" i="3"/>
  <c r="I556" i="3"/>
  <c r="I557" i="3"/>
  <c r="I561" i="3"/>
  <c r="I563" i="3"/>
  <c r="I565" i="3"/>
  <c r="I572" i="3"/>
  <c r="I574" i="3"/>
  <c r="I575" i="3"/>
  <c r="I579" i="3"/>
  <c r="I580" i="3"/>
  <c r="I586" i="3"/>
  <c r="I593" i="3"/>
  <c r="I595" i="3"/>
  <c r="I596" i="3"/>
  <c r="I602" i="3"/>
  <c r="I607" i="3"/>
  <c r="I614" i="3"/>
  <c r="I616" i="3"/>
  <c r="I622" i="3"/>
  <c r="I623" i="3"/>
  <c r="I628" i="3"/>
  <c r="I630" i="3"/>
  <c r="I634" i="3"/>
  <c r="I635" i="3"/>
  <c r="I642" i="3"/>
  <c r="I644" i="3"/>
  <c r="I645" i="3"/>
  <c r="I649" i="3"/>
  <c r="I658" i="3"/>
  <c r="I659" i="3"/>
  <c r="I663" i="3"/>
  <c r="I664" i="3"/>
  <c r="I670" i="3"/>
  <c r="I676" i="3"/>
  <c r="I677" i="3"/>
  <c r="I678" i="3"/>
  <c r="I682" i="3"/>
  <c r="I683" i="3"/>
  <c r="I684" i="3"/>
  <c r="I691" i="3"/>
  <c r="I692" i="3"/>
  <c r="I693" i="3"/>
  <c r="I698" i="3"/>
  <c r="I700" i="3"/>
  <c r="I701" i="3"/>
  <c r="I704" i="3"/>
  <c r="I705" i="3"/>
  <c r="I713" i="3"/>
  <c r="I714" i="3"/>
  <c r="I715" i="3"/>
  <c r="I719" i="3"/>
  <c r="I720" i="3"/>
  <c r="I721" i="3"/>
  <c r="I727" i="3"/>
  <c r="I734" i="3"/>
  <c r="I735" i="3"/>
  <c r="I739" i="3"/>
  <c r="I740" i="3"/>
  <c r="I741" i="3"/>
  <c r="I745" i="3"/>
  <c r="I747" i="3"/>
  <c r="I754" i="3"/>
  <c r="I755" i="3"/>
  <c r="I756" i="3"/>
  <c r="I757" i="3"/>
  <c r="I761" i="3"/>
  <c r="I762" i="3"/>
  <c r="I763" i="3"/>
  <c r="I764" i="3"/>
  <c r="I768" i="3"/>
  <c r="I769" i="3"/>
  <c r="I777" i="3"/>
  <c r="I778" i="3"/>
  <c r="I783" i="3"/>
  <c r="I784" i="3"/>
  <c r="I789" i="3"/>
  <c r="I790" i="3"/>
  <c r="I796" i="3"/>
  <c r="I797" i="3"/>
  <c r="I798" i="3"/>
  <c r="I801" i="3"/>
  <c r="I803" i="3"/>
  <c r="I804" i="3"/>
  <c r="I805" i="3"/>
  <c r="I817" i="3"/>
  <c r="I818" i="3"/>
  <c r="I819" i="3"/>
  <c r="I824" i="3"/>
  <c r="I831" i="3"/>
  <c r="I832" i="3"/>
  <c r="I833" i="3"/>
  <c r="I834" i="3"/>
  <c r="I835" i="3"/>
  <c r="I838" i="3"/>
  <c r="I839" i="3"/>
  <c r="I852" i="3"/>
  <c r="I853" i="3"/>
  <c r="I854" i="3"/>
  <c r="I860" i="3"/>
  <c r="I861" i="3"/>
  <c r="I862" i="3"/>
  <c r="I866" i="3"/>
  <c r="I867" i="3"/>
  <c r="I868" i="3"/>
  <c r="I870" i="3"/>
  <c r="I875" i="3"/>
  <c r="I878" i="3"/>
  <c r="I880" i="3"/>
  <c r="I890" i="3"/>
  <c r="I894" i="3"/>
  <c r="I895" i="3"/>
  <c r="I896" i="3"/>
  <c r="I902" i="3"/>
  <c r="I907" i="3"/>
  <c r="I908" i="3"/>
  <c r="I909" i="3"/>
  <c r="I911" i="3"/>
  <c r="I922" i="3"/>
  <c r="I923" i="3"/>
  <c r="I924" i="3"/>
  <c r="I925" i="3"/>
  <c r="I930" i="3"/>
  <c r="I931" i="3"/>
  <c r="I936" i="3"/>
  <c r="I937" i="3"/>
  <c r="I941" i="3"/>
  <c r="I944" i="3"/>
  <c r="I946" i="3"/>
  <c r="I950" i="3"/>
  <c r="I957" i="3"/>
  <c r="I958" i="3"/>
  <c r="I960" i="3"/>
  <c r="I962" i="3"/>
  <c r="I964" i="3"/>
  <c r="I967" i="3"/>
  <c r="I971" i="3"/>
  <c r="I972" i="3"/>
  <c r="I977" i="3"/>
  <c r="I978" i="3"/>
  <c r="I979" i="3"/>
  <c r="I985" i="3"/>
  <c r="I992" i="3"/>
  <c r="I993" i="3"/>
  <c r="I994" i="3"/>
  <c r="I995" i="3"/>
  <c r="I998" i="3"/>
  <c r="I1000" i="3"/>
  <c r="I1002" i="3"/>
  <c r="I1004" i="3"/>
  <c r="I1005" i="3"/>
  <c r="I1013" i="3"/>
  <c r="I1020" i="3"/>
  <c r="I1022" i="3"/>
  <c r="I1023" i="3"/>
  <c r="I1027" i="3"/>
  <c r="I1035" i="3"/>
  <c r="I1036" i="3"/>
  <c r="I1037" i="3"/>
  <c r="I1041" i="3"/>
  <c r="I1043" i="3"/>
  <c r="I1048" i="3"/>
  <c r="I1055" i="3"/>
  <c r="I1056" i="3"/>
  <c r="I1058" i="3"/>
  <c r="I1060" i="3"/>
  <c r="I1062" i="3"/>
  <c r="I1069" i="3"/>
  <c r="I1070" i="3"/>
  <c r="I1071" i="3"/>
  <c r="I1072" i="3"/>
  <c r="I1076" i="3"/>
  <c r="I1083" i="3"/>
  <c r="I1084" i="3"/>
  <c r="I1088" i="3"/>
  <c r="I1090" i="3"/>
  <c r="I1095" i="3"/>
  <c r="I1096" i="3"/>
  <c r="I1097" i="3"/>
  <c r="I1104" i="3"/>
  <c r="I1105" i="3"/>
  <c r="I1107" i="3"/>
  <c r="I1111" i="3"/>
  <c r="I1112" i="3"/>
  <c r="I1113" i="3"/>
  <c r="I1114" i="3"/>
  <c r="I1118" i="3"/>
  <c r="I1119" i="3"/>
  <c r="I1125" i="3"/>
  <c r="I1126" i="3"/>
  <c r="I1127" i="3"/>
  <c r="I1130" i="3"/>
  <c r="I1132" i="3"/>
  <c r="I1141" i="3"/>
  <c r="I1148" i="3"/>
  <c r="I1153" i="3"/>
  <c r="I1160" i="3"/>
  <c r="I1161" i="3"/>
  <c r="I1162" i="3"/>
  <c r="I1164" i="3"/>
  <c r="I1169" i="3"/>
  <c r="I1170" i="3"/>
  <c r="I1174" i="3"/>
  <c r="I1181" i="3"/>
  <c r="I1183" i="3"/>
  <c r="I1184" i="3"/>
  <c r="I1188" i="3"/>
  <c r="I1189" i="3"/>
  <c r="I1190" i="3"/>
  <c r="I1191" i="3"/>
  <c r="I1195" i="3"/>
  <c r="I5" i="3"/>
  <c r="I6" i="3"/>
  <c r="I12" i="3"/>
  <c r="I13" i="3"/>
  <c r="I76" i="3"/>
  <c r="I77" i="3"/>
  <c r="I202" i="3"/>
  <c r="I203" i="3"/>
  <c r="I223" i="3"/>
  <c r="I237" i="3"/>
  <c r="I238" i="3"/>
  <c r="I472" i="3"/>
  <c r="I494" i="3"/>
  <c r="I559" i="3"/>
  <c r="I615" i="3"/>
  <c r="I679" i="3"/>
  <c r="I775" i="3"/>
  <c r="I792" i="3"/>
  <c r="I845" i="3"/>
  <c r="I986" i="3"/>
  <c r="I999" i="3"/>
  <c r="I1006" i="3"/>
  <c r="I1146" i="3"/>
  <c r="I1147" i="3"/>
  <c r="I301" i="3"/>
  <c r="I3" i="3"/>
  <c r="I89" i="3"/>
  <c r="I110" i="3"/>
  <c r="I111" i="3"/>
  <c r="I134" i="3"/>
  <c r="I334" i="3"/>
  <c r="I335" i="3"/>
  <c r="I398" i="3"/>
  <c r="I477" i="3"/>
  <c r="I487" i="3"/>
  <c r="I499" i="3"/>
  <c r="I712" i="3"/>
  <c r="I724" i="3"/>
  <c r="I726" i="3"/>
  <c r="I733"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F1201" i="3"/>
  <c r="G1201" i="3" s="1" a="1"/>
  <c r="G1201" i="3" s="1"/>
  <c r="F1200" i="3"/>
  <c r="G1200" i="3" s="1" a="1"/>
  <c r="G1200" i="3" s="1"/>
  <c r="F1199" i="3"/>
  <c r="G1199" i="3" s="1" a="1"/>
  <c r="G1199" i="3" s="1"/>
  <c r="F1198" i="3"/>
  <c r="G1198" i="3" s="1" a="1"/>
  <c r="G1198" i="3" s="1"/>
  <c r="F1197" i="3"/>
  <c r="G1197" i="3" s="1" a="1"/>
  <c r="G1197" i="3" s="1"/>
  <c r="F1196" i="3"/>
  <c r="G1196" i="3" s="1" a="1"/>
  <c r="G1196" i="3" s="1"/>
  <c r="F1195" i="3"/>
  <c r="G1195" i="3" s="1" a="1"/>
  <c r="G1195" i="3" s="1"/>
  <c r="F1194" i="3"/>
  <c r="G1194" i="3" s="1" a="1"/>
  <c r="G1194" i="3" s="1"/>
  <c r="F1193" i="3"/>
  <c r="G1193" i="3" s="1" a="1"/>
  <c r="G1193" i="3" s="1"/>
  <c r="F1192" i="3"/>
  <c r="G1192" i="3" s="1" a="1"/>
  <c r="G1192" i="3" s="1"/>
  <c r="F1191" i="3"/>
  <c r="G1191" i="3" s="1" a="1"/>
  <c r="G1191" i="3" s="1"/>
  <c r="F1190" i="3"/>
  <c r="G1190" i="3" s="1" a="1"/>
  <c r="G1190" i="3" s="1"/>
  <c r="F1189" i="3"/>
  <c r="G1189" i="3" s="1" a="1"/>
  <c r="G1189" i="3" s="1"/>
  <c r="F1188" i="3"/>
  <c r="G1188" i="3" s="1" a="1"/>
  <c r="G1188" i="3" s="1"/>
  <c r="F1187" i="3"/>
  <c r="G1187" i="3" s="1" a="1"/>
  <c r="G1187" i="3" s="1"/>
  <c r="F1186" i="3"/>
  <c r="G1186" i="3" s="1" a="1"/>
  <c r="G1186" i="3" s="1"/>
  <c r="F1185" i="3"/>
  <c r="G1185" i="3" s="1" a="1"/>
  <c r="G1185" i="3" s="1"/>
  <c r="F1184" i="3"/>
  <c r="G1184" i="3" s="1" a="1"/>
  <c r="G1184" i="3" s="1"/>
  <c r="F1183" i="3"/>
  <c r="G1183" i="3" s="1" a="1"/>
  <c r="G1183" i="3" s="1"/>
  <c r="F1182" i="3"/>
  <c r="G1182" i="3" s="1" a="1"/>
  <c r="G1182" i="3" s="1"/>
  <c r="F1181" i="3"/>
  <c r="G1181" i="3" s="1" a="1"/>
  <c r="G1181" i="3" s="1"/>
  <c r="F1180" i="3"/>
  <c r="G1180" i="3" s="1" a="1"/>
  <c r="G1180" i="3" s="1"/>
  <c r="F1179" i="3"/>
  <c r="G1179" i="3" s="1" a="1"/>
  <c r="G1179" i="3" s="1"/>
  <c r="F1178" i="3"/>
  <c r="G1178" i="3" s="1" a="1"/>
  <c r="G1178" i="3" s="1"/>
  <c r="F1177" i="3"/>
  <c r="G1177" i="3" s="1" a="1"/>
  <c r="G1177" i="3" s="1"/>
  <c r="F1176" i="3"/>
  <c r="G1176" i="3" s="1" a="1"/>
  <c r="G1176" i="3" s="1"/>
  <c r="F1175" i="3"/>
  <c r="G1175" i="3" s="1" a="1"/>
  <c r="G1175" i="3" s="1"/>
  <c r="F1174" i="3"/>
  <c r="G1174" i="3" s="1" a="1"/>
  <c r="G1174" i="3" s="1"/>
  <c r="F1173" i="3"/>
  <c r="G1173" i="3" s="1" a="1"/>
  <c r="G1173" i="3" s="1"/>
  <c r="F1172" i="3"/>
  <c r="G1172" i="3" s="1" a="1"/>
  <c r="G1172" i="3" s="1"/>
  <c r="F1171" i="3"/>
  <c r="G1171" i="3" s="1" a="1"/>
  <c r="G1171" i="3" s="1"/>
  <c r="F1170" i="3"/>
  <c r="G1170" i="3" s="1" a="1"/>
  <c r="G1170" i="3" s="1"/>
  <c r="F1169" i="3"/>
  <c r="G1169" i="3" s="1" a="1"/>
  <c r="G1169" i="3" s="1"/>
  <c r="F1168" i="3"/>
  <c r="G1168" i="3" s="1" a="1"/>
  <c r="G1168" i="3" s="1"/>
  <c r="F1167" i="3"/>
  <c r="G1167" i="3" s="1" a="1"/>
  <c r="G1167" i="3" s="1"/>
  <c r="F1166" i="3"/>
  <c r="G1166" i="3" s="1" a="1"/>
  <c r="G1166" i="3" s="1"/>
  <c r="F1165" i="3"/>
  <c r="G1165" i="3" s="1" a="1"/>
  <c r="G1165" i="3" s="1"/>
  <c r="F1164" i="3"/>
  <c r="G1164" i="3" s="1" a="1"/>
  <c r="G1164" i="3" s="1"/>
  <c r="F1163" i="3"/>
  <c r="G1163" i="3" s="1" a="1"/>
  <c r="G1163" i="3" s="1"/>
  <c r="F1162" i="3"/>
  <c r="G1162" i="3" s="1" a="1"/>
  <c r="G1162" i="3" s="1"/>
  <c r="F1161" i="3"/>
  <c r="G1161" i="3" s="1" a="1"/>
  <c r="G1161" i="3" s="1"/>
  <c r="F1160" i="3"/>
  <c r="G1160" i="3" s="1" a="1"/>
  <c r="G1160" i="3" s="1"/>
  <c r="F1159" i="3"/>
  <c r="G1159" i="3" s="1" a="1"/>
  <c r="G1159" i="3" s="1"/>
  <c r="F1158" i="3"/>
  <c r="G1158" i="3" s="1" a="1"/>
  <c r="G1158" i="3" s="1"/>
  <c r="F1157" i="3"/>
  <c r="G1157" i="3" s="1" a="1"/>
  <c r="G1157" i="3" s="1"/>
  <c r="F1156" i="3"/>
  <c r="G1156" i="3" s="1" a="1"/>
  <c r="G1156" i="3" s="1"/>
  <c r="F1155" i="3"/>
  <c r="G1155" i="3" s="1" a="1"/>
  <c r="G1155" i="3" s="1"/>
  <c r="F1154" i="3"/>
  <c r="G1154" i="3" s="1" a="1"/>
  <c r="G1154" i="3" s="1"/>
  <c r="F1153" i="3"/>
  <c r="G1153" i="3" s="1" a="1"/>
  <c r="G1153" i="3" s="1"/>
  <c r="F1152" i="3"/>
  <c r="G1152" i="3" s="1" a="1"/>
  <c r="G1152" i="3" s="1"/>
  <c r="F1151" i="3"/>
  <c r="G1151" i="3" s="1" a="1"/>
  <c r="G1151" i="3" s="1"/>
  <c r="F1150" i="3"/>
  <c r="G1150" i="3" s="1" a="1"/>
  <c r="G1150" i="3" s="1"/>
  <c r="F1149" i="3"/>
  <c r="G1149" i="3" s="1" a="1"/>
  <c r="G1149" i="3" s="1"/>
  <c r="F1148" i="3"/>
  <c r="G1148" i="3" s="1" a="1"/>
  <c r="G1148" i="3" s="1"/>
  <c r="F1147" i="3"/>
  <c r="G1147" i="3" s="1" a="1"/>
  <c r="G1147" i="3" s="1"/>
  <c r="F1146" i="3"/>
  <c r="G1146" i="3" s="1" a="1"/>
  <c r="G1146" i="3" s="1"/>
  <c r="F1145" i="3"/>
  <c r="G1145" i="3" s="1" a="1"/>
  <c r="G1145" i="3" s="1"/>
  <c r="F1144" i="3"/>
  <c r="G1144" i="3" s="1" a="1"/>
  <c r="G1144" i="3" s="1"/>
  <c r="F1143" i="3"/>
  <c r="G1143" i="3" s="1" a="1"/>
  <c r="G1143" i="3" s="1"/>
  <c r="F1142" i="3"/>
  <c r="G1142" i="3" s="1" a="1"/>
  <c r="G1142" i="3" s="1"/>
  <c r="F1141" i="3"/>
  <c r="G1141" i="3" s="1" a="1"/>
  <c r="G1141" i="3" s="1"/>
  <c r="F1140" i="3"/>
  <c r="G1140" i="3" s="1" a="1"/>
  <c r="G1140" i="3" s="1"/>
  <c r="F1139" i="3"/>
  <c r="G1139" i="3" s="1" a="1"/>
  <c r="G1139" i="3" s="1"/>
  <c r="F1138" i="3"/>
  <c r="G1138" i="3" s="1" a="1"/>
  <c r="G1138" i="3" s="1"/>
  <c r="F1137" i="3"/>
  <c r="G1137" i="3" s="1" a="1"/>
  <c r="G1137" i="3" s="1"/>
  <c r="F1136" i="3"/>
  <c r="G1136" i="3" s="1" a="1"/>
  <c r="G1136" i="3" s="1"/>
  <c r="F1135" i="3"/>
  <c r="G1135" i="3" s="1" a="1"/>
  <c r="G1135" i="3" s="1"/>
  <c r="F1134" i="3"/>
  <c r="G1134" i="3" s="1" a="1"/>
  <c r="G1134" i="3" s="1"/>
  <c r="F1133" i="3"/>
  <c r="G1133" i="3" s="1" a="1"/>
  <c r="G1133" i="3" s="1"/>
  <c r="F1132" i="3"/>
  <c r="G1132" i="3" s="1" a="1"/>
  <c r="G1132" i="3" s="1"/>
  <c r="F1131" i="3"/>
  <c r="G1131" i="3" s="1" a="1"/>
  <c r="G1131" i="3" s="1"/>
  <c r="F1130" i="3"/>
  <c r="G1130" i="3" s="1" a="1"/>
  <c r="G1130" i="3" s="1"/>
  <c r="F1129" i="3"/>
  <c r="G1129" i="3" s="1" a="1"/>
  <c r="G1129" i="3" s="1"/>
  <c r="F1128" i="3"/>
  <c r="G1128" i="3" s="1" a="1"/>
  <c r="G1128" i="3" s="1"/>
  <c r="F1127" i="3"/>
  <c r="G1127" i="3" s="1" a="1"/>
  <c r="G1127" i="3" s="1"/>
  <c r="F1126" i="3"/>
  <c r="G1126" i="3" s="1" a="1"/>
  <c r="G1126" i="3" s="1"/>
  <c r="F1125" i="3"/>
  <c r="G1125" i="3" s="1" a="1"/>
  <c r="G1125" i="3" s="1"/>
  <c r="F1124" i="3"/>
  <c r="G1124" i="3" s="1" a="1"/>
  <c r="G1124" i="3" s="1"/>
  <c r="F1123" i="3"/>
  <c r="G1123" i="3" s="1" a="1"/>
  <c r="G1123" i="3" s="1"/>
  <c r="F1122" i="3"/>
  <c r="G1122" i="3" s="1" a="1"/>
  <c r="G1122" i="3" s="1"/>
  <c r="F1121" i="3"/>
  <c r="G1121" i="3" s="1" a="1"/>
  <c r="G1121" i="3" s="1"/>
  <c r="F1120" i="3"/>
  <c r="G1120" i="3" s="1" a="1"/>
  <c r="G1120" i="3" s="1"/>
  <c r="F1119" i="3"/>
  <c r="G1119" i="3" s="1" a="1"/>
  <c r="G1119" i="3" s="1"/>
  <c r="F1118" i="3"/>
  <c r="G1118" i="3" s="1" a="1"/>
  <c r="G1118" i="3" s="1"/>
  <c r="F1117" i="3"/>
  <c r="G1117" i="3" s="1" a="1"/>
  <c r="G1117" i="3" s="1"/>
  <c r="F1116" i="3"/>
  <c r="G1116" i="3" s="1" a="1"/>
  <c r="G1116" i="3" s="1"/>
  <c r="F1115" i="3"/>
  <c r="G1115" i="3" s="1" a="1"/>
  <c r="G1115" i="3" s="1"/>
  <c r="F1114" i="3"/>
  <c r="G1114" i="3" s="1" a="1"/>
  <c r="G1114" i="3" s="1"/>
  <c r="F1113" i="3"/>
  <c r="G1113" i="3" s="1" a="1"/>
  <c r="G1113" i="3" s="1"/>
  <c r="F1112" i="3"/>
  <c r="G1112" i="3" s="1" a="1"/>
  <c r="G1112" i="3" s="1"/>
  <c r="F1111" i="3"/>
  <c r="G1111" i="3" s="1" a="1"/>
  <c r="G1111" i="3" s="1"/>
  <c r="F1110" i="3"/>
  <c r="G1110" i="3" s="1" a="1"/>
  <c r="G1110" i="3" s="1"/>
  <c r="F1109" i="3"/>
  <c r="G1109" i="3" s="1" a="1"/>
  <c r="G1109" i="3" s="1"/>
  <c r="F1108" i="3"/>
  <c r="G1108" i="3" s="1" a="1"/>
  <c r="G1108" i="3" s="1"/>
  <c r="F1107" i="3"/>
  <c r="G1107" i="3" s="1" a="1"/>
  <c r="G1107" i="3" s="1"/>
  <c r="F1106" i="3"/>
  <c r="G1106" i="3" s="1" a="1"/>
  <c r="G1106" i="3" s="1"/>
  <c r="F1105" i="3"/>
  <c r="G1105" i="3" s="1" a="1"/>
  <c r="G1105" i="3" s="1"/>
  <c r="F1104" i="3"/>
  <c r="G1104" i="3" s="1" a="1"/>
  <c r="G1104" i="3" s="1"/>
  <c r="F1103" i="3"/>
  <c r="G1103" i="3" s="1" a="1"/>
  <c r="G1103" i="3" s="1"/>
  <c r="F1102" i="3"/>
  <c r="G1102" i="3" s="1" a="1"/>
  <c r="G1102" i="3" s="1"/>
  <c r="F1101" i="3"/>
  <c r="G1101" i="3" s="1" a="1"/>
  <c r="G1101" i="3" s="1"/>
  <c r="F1100" i="3"/>
  <c r="G1100" i="3" s="1" a="1"/>
  <c r="G1100" i="3" s="1"/>
  <c r="F1099" i="3"/>
  <c r="G1099" i="3" s="1" a="1"/>
  <c r="G1099" i="3" s="1"/>
  <c r="F1098" i="3"/>
  <c r="G1098" i="3" s="1" a="1"/>
  <c r="G1098" i="3" s="1"/>
  <c r="F1097" i="3"/>
  <c r="G1097" i="3" s="1" a="1"/>
  <c r="G1097" i="3" s="1"/>
  <c r="F1096" i="3"/>
  <c r="G1096" i="3" s="1" a="1"/>
  <c r="G1096" i="3" s="1"/>
  <c r="F1095" i="3"/>
  <c r="G1095" i="3" s="1" a="1"/>
  <c r="G1095" i="3" s="1"/>
  <c r="F1094" i="3"/>
  <c r="G1094" i="3" s="1" a="1"/>
  <c r="G1094" i="3" s="1"/>
  <c r="F1093" i="3"/>
  <c r="G1093" i="3" s="1" a="1"/>
  <c r="G1093" i="3" s="1"/>
  <c r="F1092" i="3"/>
  <c r="G1092" i="3" s="1" a="1"/>
  <c r="G1092" i="3" s="1"/>
  <c r="F1091" i="3"/>
  <c r="G1091" i="3" s="1" a="1"/>
  <c r="G1091" i="3" s="1"/>
  <c r="F1090" i="3"/>
  <c r="G1090" i="3" s="1" a="1"/>
  <c r="G1090" i="3" s="1"/>
  <c r="F1089" i="3"/>
  <c r="G1089" i="3" s="1" a="1"/>
  <c r="G1089" i="3" s="1"/>
  <c r="F1088" i="3"/>
  <c r="G1088" i="3" s="1" a="1"/>
  <c r="G1088" i="3" s="1"/>
  <c r="F1087" i="3"/>
  <c r="G1087" i="3" s="1" a="1"/>
  <c r="G1087" i="3" s="1"/>
  <c r="F1086" i="3"/>
  <c r="G1086" i="3" s="1" a="1"/>
  <c r="G1086" i="3" s="1"/>
  <c r="F1085" i="3"/>
  <c r="G1085" i="3" s="1" a="1"/>
  <c r="G1085" i="3" s="1"/>
  <c r="F1084" i="3"/>
  <c r="G1084" i="3" s="1" a="1"/>
  <c r="G1084" i="3" s="1"/>
  <c r="F1083" i="3"/>
  <c r="G1083" i="3" s="1" a="1"/>
  <c r="G1083" i="3" s="1"/>
  <c r="F1082" i="3"/>
  <c r="G1082" i="3" s="1" a="1"/>
  <c r="G1082" i="3" s="1"/>
  <c r="F1081" i="3"/>
  <c r="G1081" i="3" s="1" a="1"/>
  <c r="G1081" i="3" s="1"/>
  <c r="F1080" i="3"/>
  <c r="G1080" i="3" s="1" a="1"/>
  <c r="G1080" i="3" s="1"/>
  <c r="F1079" i="3"/>
  <c r="G1079" i="3" s="1" a="1"/>
  <c r="G1079" i="3" s="1"/>
  <c r="F1078" i="3"/>
  <c r="G1078" i="3" s="1" a="1"/>
  <c r="G1078" i="3" s="1"/>
  <c r="F1077" i="3"/>
  <c r="G1077" i="3" s="1" a="1"/>
  <c r="G1077" i="3" s="1"/>
  <c r="F1076" i="3"/>
  <c r="G1076" i="3" s="1" a="1"/>
  <c r="G1076" i="3" s="1"/>
  <c r="F1075" i="3"/>
  <c r="G1075" i="3" s="1" a="1"/>
  <c r="G1075" i="3" s="1"/>
  <c r="F1074" i="3"/>
  <c r="G1074" i="3" s="1" a="1"/>
  <c r="G1074" i="3" s="1"/>
  <c r="F1073" i="3"/>
  <c r="G1073" i="3" s="1" a="1"/>
  <c r="G1073" i="3" s="1"/>
  <c r="F1072" i="3"/>
  <c r="G1072" i="3" s="1" a="1"/>
  <c r="G1072" i="3" s="1"/>
  <c r="F1071" i="3"/>
  <c r="G1071" i="3" s="1" a="1"/>
  <c r="G1071" i="3" s="1"/>
  <c r="F1070" i="3"/>
  <c r="G1070" i="3" s="1" a="1"/>
  <c r="G1070" i="3" s="1"/>
  <c r="F1069" i="3"/>
  <c r="G1069" i="3" s="1" a="1"/>
  <c r="G1069" i="3" s="1"/>
  <c r="F1068" i="3"/>
  <c r="G1068" i="3" s="1" a="1"/>
  <c r="G1068" i="3" s="1"/>
  <c r="F1067" i="3"/>
  <c r="G1067" i="3" s="1" a="1"/>
  <c r="G1067" i="3" s="1"/>
  <c r="F1066" i="3"/>
  <c r="G1066" i="3" s="1" a="1"/>
  <c r="G1066" i="3" s="1"/>
  <c r="F1065" i="3"/>
  <c r="G1065" i="3" s="1" a="1"/>
  <c r="G1065" i="3" s="1"/>
  <c r="F1064" i="3"/>
  <c r="G1064" i="3" s="1" a="1"/>
  <c r="G1064" i="3" s="1"/>
  <c r="F1063" i="3"/>
  <c r="G1063" i="3" s="1" a="1"/>
  <c r="G1063" i="3" s="1"/>
  <c r="F1062" i="3"/>
  <c r="G1062" i="3" s="1" a="1"/>
  <c r="G1062" i="3" s="1"/>
  <c r="F1061" i="3"/>
  <c r="G1061" i="3" s="1" a="1"/>
  <c r="G1061" i="3" s="1"/>
  <c r="F1060" i="3"/>
  <c r="G1060" i="3" s="1" a="1"/>
  <c r="G1060" i="3" s="1"/>
  <c r="F1059" i="3"/>
  <c r="G1059" i="3" s="1" a="1"/>
  <c r="G1059" i="3" s="1"/>
  <c r="F1058" i="3"/>
  <c r="G1058" i="3" s="1" a="1"/>
  <c r="G1058" i="3" s="1"/>
  <c r="F1057" i="3"/>
  <c r="G1057" i="3" s="1" a="1"/>
  <c r="G1057" i="3" s="1"/>
  <c r="F1056" i="3"/>
  <c r="G1056" i="3" s="1" a="1"/>
  <c r="G1056" i="3" s="1"/>
  <c r="F1055" i="3"/>
  <c r="G1055" i="3" s="1" a="1"/>
  <c r="G1055" i="3" s="1"/>
  <c r="F1054" i="3"/>
  <c r="G1054" i="3" s="1" a="1"/>
  <c r="G1054" i="3" s="1"/>
  <c r="F1053" i="3"/>
  <c r="G1053" i="3" s="1" a="1"/>
  <c r="G1053" i="3" s="1"/>
  <c r="F1052" i="3"/>
  <c r="G1052" i="3" s="1" a="1"/>
  <c r="G1052" i="3" s="1"/>
  <c r="F1051" i="3"/>
  <c r="G1051" i="3" s="1" a="1"/>
  <c r="G1051" i="3" s="1"/>
  <c r="F1050" i="3"/>
  <c r="G1050" i="3" s="1" a="1"/>
  <c r="G1050" i="3" s="1"/>
  <c r="F1049" i="3"/>
  <c r="G1049" i="3" s="1" a="1"/>
  <c r="G1049" i="3" s="1"/>
  <c r="F1048" i="3"/>
  <c r="G1048" i="3" s="1" a="1"/>
  <c r="G1048" i="3" s="1"/>
  <c r="F1047" i="3"/>
  <c r="G1047" i="3" s="1" a="1"/>
  <c r="G1047" i="3" s="1"/>
  <c r="F1046" i="3"/>
  <c r="G1046" i="3" s="1" a="1"/>
  <c r="G1046" i="3" s="1"/>
  <c r="F1045" i="3"/>
  <c r="G1045" i="3" s="1" a="1"/>
  <c r="G1045" i="3" s="1"/>
  <c r="F1044" i="3"/>
  <c r="G1044" i="3" s="1" a="1"/>
  <c r="G1044" i="3" s="1"/>
  <c r="F1043" i="3"/>
  <c r="G1043" i="3" s="1" a="1"/>
  <c r="G1043" i="3" s="1"/>
  <c r="F1042" i="3"/>
  <c r="G1042" i="3" s="1" a="1"/>
  <c r="G1042" i="3" s="1"/>
  <c r="F1041" i="3"/>
  <c r="G1041" i="3" s="1" a="1"/>
  <c r="G1041" i="3" s="1"/>
  <c r="F1040" i="3"/>
  <c r="G1040" i="3" s="1" a="1"/>
  <c r="G1040" i="3" s="1"/>
  <c r="F1039" i="3"/>
  <c r="G1039" i="3" s="1" a="1"/>
  <c r="G1039" i="3" s="1"/>
  <c r="F1038" i="3"/>
  <c r="G1038" i="3" s="1" a="1"/>
  <c r="G1038" i="3" s="1"/>
  <c r="F1037" i="3"/>
  <c r="G1037" i="3" s="1" a="1"/>
  <c r="G1037" i="3" s="1"/>
  <c r="F1036" i="3"/>
  <c r="G1036" i="3" s="1" a="1"/>
  <c r="G1036" i="3" s="1"/>
  <c r="F1035" i="3"/>
  <c r="G1035" i="3" s="1" a="1"/>
  <c r="G1035" i="3" s="1"/>
  <c r="F1034" i="3"/>
  <c r="G1034" i="3" s="1" a="1"/>
  <c r="G1034" i="3" s="1"/>
  <c r="F1033" i="3"/>
  <c r="G1033" i="3" s="1" a="1"/>
  <c r="G1033" i="3" s="1"/>
  <c r="F1032" i="3"/>
  <c r="G1032" i="3" s="1" a="1"/>
  <c r="G1032" i="3" s="1"/>
  <c r="F1031" i="3"/>
  <c r="G1031" i="3" s="1" a="1"/>
  <c r="G1031" i="3" s="1"/>
  <c r="F1030" i="3"/>
  <c r="G1030" i="3" s="1" a="1"/>
  <c r="G1030" i="3" s="1"/>
  <c r="F1029" i="3"/>
  <c r="G1029" i="3" s="1" a="1"/>
  <c r="G1029" i="3" s="1"/>
  <c r="F1028" i="3"/>
  <c r="G1028" i="3" s="1" a="1"/>
  <c r="G1028" i="3" s="1"/>
  <c r="F1027" i="3"/>
  <c r="G1027" i="3" s="1" a="1"/>
  <c r="G1027" i="3" s="1"/>
  <c r="F1026" i="3"/>
  <c r="G1026" i="3" s="1" a="1"/>
  <c r="G1026" i="3" s="1"/>
  <c r="F1025" i="3"/>
  <c r="G1025" i="3" s="1" a="1"/>
  <c r="G1025" i="3" s="1"/>
  <c r="F1024" i="3"/>
  <c r="G1024" i="3" s="1" a="1"/>
  <c r="G1024" i="3" s="1"/>
  <c r="F1023" i="3"/>
  <c r="G1023" i="3" s="1" a="1"/>
  <c r="G1023" i="3" s="1"/>
  <c r="F1022" i="3"/>
  <c r="G1022" i="3" s="1" a="1"/>
  <c r="G1022" i="3" s="1"/>
  <c r="F1021" i="3"/>
  <c r="G1021" i="3" s="1" a="1"/>
  <c r="G1021" i="3" s="1"/>
  <c r="F1020" i="3"/>
  <c r="G1020" i="3" s="1" a="1"/>
  <c r="G1020" i="3" s="1"/>
  <c r="F1019" i="3"/>
  <c r="G1019" i="3" s="1" a="1"/>
  <c r="G1019" i="3" s="1"/>
  <c r="F1018" i="3"/>
  <c r="G1018" i="3" s="1" a="1"/>
  <c r="G1018" i="3" s="1"/>
  <c r="F1017" i="3"/>
  <c r="G1017" i="3" s="1" a="1"/>
  <c r="G1017" i="3" s="1"/>
  <c r="F1016" i="3"/>
  <c r="G1016" i="3" s="1" a="1"/>
  <c r="G1016" i="3" s="1"/>
  <c r="F1015" i="3"/>
  <c r="G1015" i="3" s="1" a="1"/>
  <c r="G1015" i="3" s="1"/>
  <c r="F1014" i="3"/>
  <c r="G1014" i="3" s="1" a="1"/>
  <c r="G1014" i="3" s="1"/>
  <c r="F1013" i="3"/>
  <c r="G1013" i="3" s="1" a="1"/>
  <c r="G1013" i="3" s="1"/>
  <c r="F1012" i="3"/>
  <c r="G1012" i="3" s="1" a="1"/>
  <c r="G1012" i="3" s="1"/>
  <c r="F1011" i="3"/>
  <c r="G1011" i="3" s="1" a="1"/>
  <c r="G1011" i="3" s="1"/>
  <c r="F1010" i="3"/>
  <c r="G1010" i="3" s="1" a="1"/>
  <c r="G1010" i="3" s="1"/>
  <c r="F1009" i="3"/>
  <c r="G1009" i="3" s="1" a="1"/>
  <c r="G1009" i="3" s="1"/>
  <c r="F1008" i="3"/>
  <c r="G1008" i="3" s="1" a="1"/>
  <c r="G1008" i="3" s="1"/>
  <c r="F1007" i="3"/>
  <c r="G1007" i="3" s="1" a="1"/>
  <c r="G1007" i="3" s="1"/>
  <c r="F1006" i="3"/>
  <c r="G1006" i="3" s="1" a="1"/>
  <c r="G1006" i="3" s="1"/>
  <c r="F1005" i="3"/>
  <c r="G1005" i="3" s="1" a="1"/>
  <c r="G1005" i="3" s="1"/>
  <c r="F1004" i="3"/>
  <c r="G1004" i="3" s="1" a="1"/>
  <c r="G1004" i="3" s="1"/>
  <c r="F1003" i="3"/>
  <c r="G1003" i="3" s="1" a="1"/>
  <c r="G1003" i="3" s="1"/>
  <c r="F1002" i="3"/>
  <c r="G1002" i="3" s="1" a="1"/>
  <c r="G1002" i="3" s="1"/>
  <c r="F1001" i="3"/>
  <c r="G1001" i="3" s="1" a="1"/>
  <c r="G1001" i="3" s="1"/>
  <c r="F1000" i="3"/>
  <c r="G1000" i="3" s="1" a="1"/>
  <c r="G1000" i="3" s="1"/>
  <c r="F999" i="3"/>
  <c r="G999" i="3" s="1" a="1"/>
  <c r="G999" i="3" s="1"/>
  <c r="F998" i="3"/>
  <c r="G998" i="3" s="1" a="1"/>
  <c r="G998" i="3" s="1"/>
  <c r="F997" i="3"/>
  <c r="G997" i="3" s="1" a="1"/>
  <c r="G997" i="3" s="1"/>
  <c r="F996" i="3"/>
  <c r="G996" i="3" s="1" a="1"/>
  <c r="G996" i="3" s="1"/>
  <c r="F995" i="3"/>
  <c r="G995" i="3" s="1" a="1"/>
  <c r="G995" i="3" s="1"/>
  <c r="F994" i="3"/>
  <c r="G994" i="3" s="1" a="1"/>
  <c r="G994" i="3" s="1"/>
  <c r="F993" i="3"/>
  <c r="G993" i="3" s="1" a="1"/>
  <c r="G993" i="3" s="1"/>
  <c r="F992" i="3"/>
  <c r="G992" i="3" s="1" a="1"/>
  <c r="G992" i="3" s="1"/>
  <c r="F991" i="3"/>
  <c r="G991" i="3" s="1" a="1"/>
  <c r="G991" i="3" s="1"/>
  <c r="F990" i="3"/>
  <c r="G990" i="3" s="1" a="1"/>
  <c r="G990" i="3" s="1"/>
  <c r="F989" i="3"/>
  <c r="G989" i="3" s="1" a="1"/>
  <c r="G989" i="3" s="1"/>
  <c r="F988" i="3"/>
  <c r="G988" i="3" s="1" a="1"/>
  <c r="G988" i="3" s="1"/>
  <c r="F987" i="3"/>
  <c r="G987" i="3" s="1" a="1"/>
  <c r="G987" i="3" s="1"/>
  <c r="F986" i="3"/>
  <c r="G986" i="3" s="1" a="1"/>
  <c r="G986" i="3" s="1"/>
  <c r="F985" i="3"/>
  <c r="G985" i="3" s="1" a="1"/>
  <c r="G985" i="3" s="1"/>
  <c r="F984" i="3"/>
  <c r="G984" i="3" s="1" a="1"/>
  <c r="G984" i="3" s="1"/>
  <c r="F983" i="3"/>
  <c r="G983" i="3" s="1" a="1"/>
  <c r="G983" i="3" s="1"/>
  <c r="F982" i="3"/>
  <c r="G982" i="3" s="1" a="1"/>
  <c r="G982" i="3" s="1"/>
  <c r="F981" i="3"/>
  <c r="G981" i="3" s="1" a="1"/>
  <c r="G981" i="3" s="1"/>
  <c r="F980" i="3"/>
  <c r="G980" i="3" s="1" a="1"/>
  <c r="G980" i="3" s="1"/>
  <c r="F979" i="3"/>
  <c r="G979" i="3" s="1" a="1"/>
  <c r="G979" i="3" s="1"/>
  <c r="F978" i="3"/>
  <c r="G978" i="3" s="1" a="1"/>
  <c r="G978" i="3" s="1"/>
  <c r="F977" i="3"/>
  <c r="G977" i="3" s="1" a="1"/>
  <c r="G977" i="3" s="1"/>
  <c r="F976" i="3"/>
  <c r="G976" i="3" s="1" a="1"/>
  <c r="G976" i="3" s="1"/>
  <c r="F975" i="3"/>
  <c r="G975" i="3" s="1" a="1"/>
  <c r="G975" i="3" s="1"/>
  <c r="F974" i="3"/>
  <c r="G974" i="3" s="1" a="1"/>
  <c r="G974" i="3" s="1"/>
  <c r="F973" i="3"/>
  <c r="G973" i="3" s="1" a="1"/>
  <c r="G973" i="3" s="1"/>
  <c r="F972" i="3"/>
  <c r="G972" i="3" s="1" a="1"/>
  <c r="G972" i="3" s="1"/>
  <c r="F971" i="3"/>
  <c r="G971" i="3" s="1" a="1"/>
  <c r="G971" i="3" s="1"/>
  <c r="F970" i="3"/>
  <c r="G970" i="3" s="1" a="1"/>
  <c r="G970" i="3" s="1"/>
  <c r="F969" i="3"/>
  <c r="G969" i="3" s="1" a="1"/>
  <c r="G969" i="3" s="1"/>
  <c r="F968" i="3"/>
  <c r="G968" i="3" s="1" a="1"/>
  <c r="G968" i="3" s="1"/>
  <c r="F967" i="3"/>
  <c r="G967" i="3" s="1" a="1"/>
  <c r="G967" i="3" s="1"/>
  <c r="F966" i="3"/>
  <c r="G966" i="3" s="1" a="1"/>
  <c r="G966" i="3" s="1"/>
  <c r="F965" i="3"/>
  <c r="G965" i="3" s="1" a="1"/>
  <c r="G965" i="3" s="1"/>
  <c r="F964" i="3"/>
  <c r="G964" i="3" s="1" a="1"/>
  <c r="G964" i="3" s="1"/>
  <c r="F963" i="3"/>
  <c r="G963" i="3" s="1" a="1"/>
  <c r="G963" i="3" s="1"/>
  <c r="F962" i="3"/>
  <c r="G962" i="3" s="1" a="1"/>
  <c r="G962" i="3" s="1"/>
  <c r="F961" i="3"/>
  <c r="G961" i="3" s="1" a="1"/>
  <c r="G961" i="3" s="1"/>
  <c r="F960" i="3"/>
  <c r="G960" i="3" s="1" a="1"/>
  <c r="G960" i="3" s="1"/>
  <c r="F959" i="3"/>
  <c r="G959" i="3" s="1" a="1"/>
  <c r="G959" i="3" s="1"/>
  <c r="F958" i="3"/>
  <c r="G958" i="3" s="1" a="1"/>
  <c r="G958" i="3" s="1"/>
  <c r="F957" i="3"/>
  <c r="G957" i="3" s="1" a="1"/>
  <c r="G957" i="3" s="1"/>
  <c r="F956" i="3"/>
  <c r="G956" i="3" s="1" a="1"/>
  <c r="G956" i="3" s="1"/>
  <c r="F955" i="3"/>
  <c r="G955" i="3" s="1" a="1"/>
  <c r="G955" i="3" s="1"/>
  <c r="F954" i="3"/>
  <c r="G954" i="3" s="1" a="1"/>
  <c r="G954" i="3" s="1"/>
  <c r="F953" i="3"/>
  <c r="G953" i="3" s="1" a="1"/>
  <c r="G953" i="3" s="1"/>
  <c r="F952" i="3"/>
  <c r="G952" i="3" s="1" a="1"/>
  <c r="G952" i="3" s="1"/>
  <c r="F951" i="3"/>
  <c r="G951" i="3" s="1" a="1"/>
  <c r="G951" i="3" s="1"/>
  <c r="F950" i="3"/>
  <c r="G950" i="3" s="1" a="1"/>
  <c r="G950" i="3" s="1"/>
  <c r="F949" i="3"/>
  <c r="G949" i="3" s="1" a="1"/>
  <c r="G949" i="3" s="1"/>
  <c r="F948" i="3"/>
  <c r="G948" i="3" s="1" a="1"/>
  <c r="G948" i="3" s="1"/>
  <c r="F947" i="3"/>
  <c r="G947" i="3" s="1" a="1"/>
  <c r="G947" i="3" s="1"/>
  <c r="F946" i="3"/>
  <c r="G946" i="3" s="1" a="1"/>
  <c r="G946" i="3" s="1"/>
  <c r="F945" i="3"/>
  <c r="G945" i="3" s="1" a="1"/>
  <c r="G945" i="3" s="1"/>
  <c r="F944" i="3"/>
  <c r="G944" i="3" s="1" a="1"/>
  <c r="G944" i="3" s="1"/>
  <c r="F943" i="3"/>
  <c r="G943" i="3" s="1" a="1"/>
  <c r="G943" i="3" s="1"/>
  <c r="F942" i="3"/>
  <c r="G942" i="3" s="1" a="1"/>
  <c r="G942" i="3" s="1"/>
  <c r="F941" i="3"/>
  <c r="G941" i="3" s="1" a="1"/>
  <c r="G941" i="3" s="1"/>
  <c r="F940" i="3"/>
  <c r="G940" i="3" s="1" a="1"/>
  <c r="G940" i="3" s="1"/>
  <c r="F939" i="3"/>
  <c r="G939" i="3" s="1" a="1"/>
  <c r="G939" i="3" s="1"/>
  <c r="F938" i="3"/>
  <c r="G938" i="3" s="1" a="1"/>
  <c r="G938" i="3" s="1"/>
  <c r="F937" i="3"/>
  <c r="G937" i="3" s="1" a="1"/>
  <c r="G937" i="3" s="1"/>
  <c r="F936" i="3"/>
  <c r="G936" i="3" s="1" a="1"/>
  <c r="G936" i="3" s="1"/>
  <c r="F935" i="3"/>
  <c r="G935" i="3" s="1" a="1"/>
  <c r="G935" i="3" s="1"/>
  <c r="F934" i="3"/>
  <c r="G934" i="3" s="1" a="1"/>
  <c r="G934" i="3" s="1"/>
  <c r="F933" i="3"/>
  <c r="G933" i="3" s="1" a="1"/>
  <c r="G933" i="3" s="1"/>
  <c r="F932" i="3"/>
  <c r="G932" i="3" s="1" a="1"/>
  <c r="G932" i="3" s="1"/>
  <c r="F931" i="3"/>
  <c r="G931" i="3" s="1" a="1"/>
  <c r="G931" i="3" s="1"/>
  <c r="F930" i="3"/>
  <c r="G930" i="3" s="1" a="1"/>
  <c r="G930" i="3" s="1"/>
  <c r="F929" i="3"/>
  <c r="G929" i="3" s="1" a="1"/>
  <c r="G929" i="3" s="1"/>
  <c r="F928" i="3"/>
  <c r="G928" i="3" s="1" a="1"/>
  <c r="G928" i="3" s="1"/>
  <c r="F927" i="3"/>
  <c r="G927" i="3" s="1" a="1"/>
  <c r="G927" i="3" s="1"/>
  <c r="F926" i="3"/>
  <c r="G926" i="3" s="1" a="1"/>
  <c r="G926" i="3" s="1"/>
  <c r="F925" i="3"/>
  <c r="G925" i="3" s="1" a="1"/>
  <c r="G925" i="3" s="1"/>
  <c r="F924" i="3"/>
  <c r="G924" i="3" s="1" a="1"/>
  <c r="G924" i="3" s="1"/>
  <c r="F923" i="3"/>
  <c r="G923" i="3" s="1" a="1"/>
  <c r="G923" i="3" s="1"/>
  <c r="F922" i="3"/>
  <c r="G922" i="3" s="1" a="1"/>
  <c r="G922" i="3" s="1"/>
  <c r="F921" i="3"/>
  <c r="G921" i="3" s="1" a="1"/>
  <c r="G921" i="3" s="1"/>
  <c r="F920" i="3"/>
  <c r="G920" i="3" s="1" a="1"/>
  <c r="G920" i="3" s="1"/>
  <c r="F919" i="3"/>
  <c r="G919" i="3" s="1" a="1"/>
  <c r="G919" i="3" s="1"/>
  <c r="F918" i="3"/>
  <c r="G918" i="3" s="1" a="1"/>
  <c r="G918" i="3" s="1"/>
  <c r="F917" i="3"/>
  <c r="G917" i="3" s="1" a="1"/>
  <c r="G917" i="3" s="1"/>
  <c r="F916" i="3"/>
  <c r="G916" i="3" s="1" a="1"/>
  <c r="G916" i="3" s="1"/>
  <c r="F915" i="3"/>
  <c r="G915" i="3" s="1" a="1"/>
  <c r="G915" i="3" s="1"/>
  <c r="F914" i="3"/>
  <c r="G914" i="3" s="1" a="1"/>
  <c r="G914" i="3" s="1"/>
  <c r="F913" i="3"/>
  <c r="G913" i="3" s="1" a="1"/>
  <c r="G913" i="3" s="1"/>
  <c r="F912" i="3"/>
  <c r="G912" i="3" s="1" a="1"/>
  <c r="G912" i="3" s="1"/>
  <c r="F911" i="3"/>
  <c r="G911" i="3" s="1" a="1"/>
  <c r="G911" i="3" s="1"/>
  <c r="F910" i="3"/>
  <c r="G910" i="3" s="1" a="1"/>
  <c r="G910" i="3" s="1"/>
  <c r="F909" i="3"/>
  <c r="G909" i="3" s="1" a="1"/>
  <c r="G909" i="3" s="1"/>
  <c r="F908" i="3"/>
  <c r="G908" i="3" s="1" a="1"/>
  <c r="G908" i="3" s="1"/>
  <c r="F907" i="3"/>
  <c r="G907" i="3" s="1" a="1"/>
  <c r="G907" i="3" s="1"/>
  <c r="F906" i="3"/>
  <c r="G906" i="3" s="1" a="1"/>
  <c r="G906" i="3" s="1"/>
  <c r="F905" i="3"/>
  <c r="G905" i="3" s="1" a="1"/>
  <c r="G905" i="3" s="1"/>
  <c r="F904" i="3"/>
  <c r="G904" i="3" s="1" a="1"/>
  <c r="G904" i="3" s="1"/>
  <c r="F903" i="3"/>
  <c r="G903" i="3" s="1" a="1"/>
  <c r="G903" i="3" s="1"/>
  <c r="F902" i="3"/>
  <c r="G902" i="3" s="1" a="1"/>
  <c r="G902" i="3" s="1"/>
  <c r="F901" i="3"/>
  <c r="G901" i="3" s="1" a="1"/>
  <c r="G901" i="3" s="1"/>
  <c r="F900" i="3"/>
  <c r="G900" i="3" s="1" a="1"/>
  <c r="G900" i="3" s="1"/>
  <c r="F899" i="3"/>
  <c r="G899" i="3" s="1" a="1"/>
  <c r="G899" i="3" s="1"/>
  <c r="F898" i="3"/>
  <c r="G898" i="3" s="1" a="1"/>
  <c r="G898" i="3" s="1"/>
  <c r="F897" i="3"/>
  <c r="G897" i="3" s="1" a="1"/>
  <c r="G897" i="3" s="1"/>
  <c r="F896" i="3"/>
  <c r="G896" i="3" s="1" a="1"/>
  <c r="G896" i="3" s="1"/>
  <c r="F895" i="3"/>
  <c r="G895" i="3" s="1" a="1"/>
  <c r="G895" i="3" s="1"/>
  <c r="F894" i="3"/>
  <c r="G894" i="3" s="1" a="1"/>
  <c r="G894" i="3" s="1"/>
  <c r="F893" i="3"/>
  <c r="G893" i="3" s="1" a="1"/>
  <c r="G893" i="3" s="1"/>
  <c r="F892" i="3"/>
  <c r="G892" i="3" s="1" a="1"/>
  <c r="G892" i="3" s="1"/>
  <c r="F891" i="3"/>
  <c r="G891" i="3" s="1" a="1"/>
  <c r="G891" i="3" s="1"/>
  <c r="F890" i="3"/>
  <c r="G890" i="3" s="1" a="1"/>
  <c r="G890" i="3" s="1"/>
  <c r="F889" i="3"/>
  <c r="G889" i="3" s="1" a="1"/>
  <c r="G889" i="3" s="1"/>
  <c r="F888" i="3"/>
  <c r="G888" i="3" s="1" a="1"/>
  <c r="G888" i="3" s="1"/>
  <c r="F887" i="3"/>
  <c r="G887" i="3" s="1" a="1"/>
  <c r="G887" i="3" s="1"/>
  <c r="F886" i="3"/>
  <c r="G886" i="3" s="1" a="1"/>
  <c r="G886" i="3" s="1"/>
  <c r="F885" i="3"/>
  <c r="G885" i="3" s="1" a="1"/>
  <c r="G885" i="3" s="1"/>
  <c r="F884" i="3"/>
  <c r="G884" i="3" s="1" a="1"/>
  <c r="G884" i="3" s="1"/>
  <c r="F883" i="3"/>
  <c r="G883" i="3" s="1" a="1"/>
  <c r="G883" i="3" s="1"/>
  <c r="F882" i="3"/>
  <c r="G882" i="3" s="1" a="1"/>
  <c r="G882" i="3" s="1"/>
  <c r="F881" i="3"/>
  <c r="G881" i="3" s="1" a="1"/>
  <c r="G881" i="3" s="1"/>
  <c r="F880" i="3"/>
  <c r="G880" i="3" s="1" a="1"/>
  <c r="G880" i="3" s="1"/>
  <c r="F879" i="3"/>
  <c r="G879" i="3" s="1" a="1"/>
  <c r="G879" i="3" s="1"/>
  <c r="F878" i="3"/>
  <c r="G878" i="3" s="1" a="1"/>
  <c r="G878" i="3" s="1"/>
  <c r="F877" i="3"/>
  <c r="G877" i="3" s="1" a="1"/>
  <c r="G877" i="3" s="1"/>
  <c r="F876" i="3"/>
  <c r="G876" i="3" s="1" a="1"/>
  <c r="G876" i="3" s="1"/>
  <c r="F875" i="3"/>
  <c r="G875" i="3" s="1" a="1"/>
  <c r="G875" i="3" s="1"/>
  <c r="F874" i="3"/>
  <c r="G874" i="3" s="1" a="1"/>
  <c r="G874" i="3" s="1"/>
  <c r="F873" i="3"/>
  <c r="G873" i="3" s="1" a="1"/>
  <c r="G873" i="3" s="1"/>
  <c r="F872" i="3"/>
  <c r="G872" i="3" s="1" a="1"/>
  <c r="G872" i="3" s="1"/>
  <c r="F871" i="3"/>
  <c r="G871" i="3" s="1" a="1"/>
  <c r="G871" i="3" s="1"/>
  <c r="F870" i="3"/>
  <c r="G870" i="3" s="1" a="1"/>
  <c r="G870" i="3" s="1"/>
  <c r="F869" i="3"/>
  <c r="G869" i="3" s="1" a="1"/>
  <c r="G869" i="3" s="1"/>
  <c r="F868" i="3"/>
  <c r="G868" i="3" s="1" a="1"/>
  <c r="G868" i="3" s="1"/>
  <c r="F867" i="3"/>
  <c r="G867" i="3" s="1" a="1"/>
  <c r="G867" i="3" s="1"/>
  <c r="F866" i="3"/>
  <c r="G866" i="3" s="1" a="1"/>
  <c r="G866" i="3" s="1"/>
  <c r="F865" i="3"/>
  <c r="G865" i="3" s="1" a="1"/>
  <c r="G865" i="3" s="1"/>
  <c r="F864" i="3"/>
  <c r="G864" i="3" s="1" a="1"/>
  <c r="G864" i="3" s="1"/>
  <c r="F863" i="3"/>
  <c r="G863" i="3" s="1" a="1"/>
  <c r="G863" i="3" s="1"/>
  <c r="F862" i="3"/>
  <c r="G862" i="3" s="1" a="1"/>
  <c r="G862" i="3" s="1"/>
  <c r="F861" i="3"/>
  <c r="G861" i="3" s="1" a="1"/>
  <c r="G861" i="3" s="1"/>
  <c r="F860" i="3"/>
  <c r="G860" i="3" s="1" a="1"/>
  <c r="G860" i="3" s="1"/>
  <c r="F859" i="3"/>
  <c r="G859" i="3" s="1" a="1"/>
  <c r="G859" i="3" s="1"/>
  <c r="F858" i="3"/>
  <c r="G858" i="3" s="1" a="1"/>
  <c r="G858" i="3" s="1"/>
  <c r="F857" i="3"/>
  <c r="G857" i="3" s="1" a="1"/>
  <c r="G857" i="3" s="1"/>
  <c r="F856" i="3"/>
  <c r="G856" i="3" s="1" a="1"/>
  <c r="G856" i="3" s="1"/>
  <c r="F855" i="3"/>
  <c r="G855" i="3" s="1" a="1"/>
  <c r="G855" i="3" s="1"/>
  <c r="F854" i="3"/>
  <c r="G854" i="3" s="1" a="1"/>
  <c r="G854" i="3" s="1"/>
  <c r="F853" i="3"/>
  <c r="G853" i="3" s="1" a="1"/>
  <c r="G853" i="3" s="1"/>
  <c r="F852" i="3"/>
  <c r="G852" i="3" s="1" a="1"/>
  <c r="G852" i="3" s="1"/>
  <c r="F851" i="3"/>
  <c r="G851" i="3" s="1" a="1"/>
  <c r="G851" i="3" s="1"/>
  <c r="F850" i="3"/>
  <c r="G850" i="3" s="1" a="1"/>
  <c r="G850" i="3" s="1"/>
  <c r="F849" i="3"/>
  <c r="G849" i="3" s="1" a="1"/>
  <c r="G849" i="3" s="1"/>
  <c r="F848" i="3"/>
  <c r="G848" i="3" s="1" a="1"/>
  <c r="G848" i="3" s="1"/>
  <c r="F847" i="3"/>
  <c r="G847" i="3" s="1" a="1"/>
  <c r="G847" i="3" s="1"/>
  <c r="F846" i="3"/>
  <c r="G846" i="3" s="1" a="1"/>
  <c r="G846" i="3" s="1"/>
  <c r="F845" i="3"/>
  <c r="G845" i="3" s="1" a="1"/>
  <c r="G845" i="3" s="1"/>
  <c r="F844" i="3"/>
  <c r="G844" i="3" s="1" a="1"/>
  <c r="G844" i="3" s="1"/>
  <c r="F843" i="3"/>
  <c r="G843" i="3" s="1" a="1"/>
  <c r="G843" i="3" s="1"/>
  <c r="F842" i="3"/>
  <c r="G842" i="3" s="1" a="1"/>
  <c r="G842" i="3" s="1"/>
  <c r="F841" i="3"/>
  <c r="G841" i="3" s="1" a="1"/>
  <c r="G841" i="3" s="1"/>
  <c r="F840" i="3"/>
  <c r="G840" i="3" s="1" a="1"/>
  <c r="G840" i="3" s="1"/>
  <c r="F839" i="3"/>
  <c r="G839" i="3" s="1" a="1"/>
  <c r="G839" i="3" s="1"/>
  <c r="F838" i="3"/>
  <c r="G838" i="3" s="1" a="1"/>
  <c r="G838" i="3" s="1"/>
  <c r="F837" i="3"/>
  <c r="G837" i="3" s="1" a="1"/>
  <c r="G837" i="3" s="1"/>
  <c r="F836" i="3"/>
  <c r="G836" i="3" s="1" a="1"/>
  <c r="G836" i="3" s="1"/>
  <c r="F835" i="3"/>
  <c r="G835" i="3" s="1" a="1"/>
  <c r="G835" i="3" s="1"/>
  <c r="F834" i="3"/>
  <c r="G834" i="3" s="1" a="1"/>
  <c r="G834" i="3" s="1"/>
  <c r="F833" i="3"/>
  <c r="G833" i="3" s="1" a="1"/>
  <c r="G833" i="3" s="1"/>
  <c r="F832" i="3"/>
  <c r="G832" i="3" s="1" a="1"/>
  <c r="G832" i="3" s="1"/>
  <c r="F831" i="3"/>
  <c r="G831" i="3" s="1" a="1"/>
  <c r="G831" i="3" s="1"/>
  <c r="F830" i="3"/>
  <c r="G830" i="3" s="1" a="1"/>
  <c r="G830" i="3" s="1"/>
  <c r="F829" i="3"/>
  <c r="G829" i="3" s="1" a="1"/>
  <c r="G829" i="3" s="1"/>
  <c r="F828" i="3"/>
  <c r="G828" i="3" s="1" a="1"/>
  <c r="G828" i="3" s="1"/>
  <c r="F827" i="3"/>
  <c r="G827" i="3" s="1" a="1"/>
  <c r="G827" i="3" s="1"/>
  <c r="F826" i="3"/>
  <c r="G826" i="3" s="1" a="1"/>
  <c r="G826" i="3" s="1"/>
  <c r="F825" i="3"/>
  <c r="G825" i="3" s="1" a="1"/>
  <c r="G825" i="3" s="1"/>
  <c r="F824" i="3"/>
  <c r="G824" i="3" s="1" a="1"/>
  <c r="G824" i="3" s="1"/>
  <c r="F823" i="3"/>
  <c r="G823" i="3" s="1" a="1"/>
  <c r="G823" i="3" s="1"/>
  <c r="F822" i="3"/>
  <c r="G822" i="3" s="1" a="1"/>
  <c r="G822" i="3" s="1"/>
  <c r="F821" i="3"/>
  <c r="G821" i="3" s="1" a="1"/>
  <c r="G821" i="3" s="1"/>
  <c r="F820" i="3"/>
  <c r="G820" i="3" s="1" a="1"/>
  <c r="G820" i="3" s="1"/>
  <c r="F819" i="3"/>
  <c r="G819" i="3" s="1" a="1"/>
  <c r="G819" i="3" s="1"/>
  <c r="F818" i="3"/>
  <c r="G818" i="3" s="1" a="1"/>
  <c r="G818" i="3" s="1"/>
  <c r="F817" i="3"/>
  <c r="G817" i="3" s="1" a="1"/>
  <c r="G817" i="3" s="1"/>
  <c r="F816" i="3"/>
  <c r="G816" i="3" s="1" a="1"/>
  <c r="G816" i="3" s="1"/>
  <c r="F815" i="3"/>
  <c r="G815" i="3" s="1" a="1"/>
  <c r="G815" i="3" s="1"/>
  <c r="F814" i="3"/>
  <c r="G814" i="3" s="1" a="1"/>
  <c r="G814" i="3" s="1"/>
  <c r="F813" i="3"/>
  <c r="G813" i="3" s="1" a="1"/>
  <c r="G813" i="3" s="1"/>
  <c r="F812" i="3"/>
  <c r="G812" i="3" s="1" a="1"/>
  <c r="G812" i="3" s="1"/>
  <c r="F811" i="3"/>
  <c r="G811" i="3" s="1" a="1"/>
  <c r="G811" i="3" s="1"/>
  <c r="F810" i="3"/>
  <c r="G810" i="3" s="1" a="1"/>
  <c r="G810" i="3" s="1"/>
  <c r="F809" i="3"/>
  <c r="G809" i="3" s="1" a="1"/>
  <c r="G809" i="3" s="1"/>
  <c r="F808" i="3"/>
  <c r="G808" i="3" s="1" a="1"/>
  <c r="G808" i="3" s="1"/>
  <c r="F807" i="3"/>
  <c r="G807" i="3" s="1" a="1"/>
  <c r="G807" i="3" s="1"/>
  <c r="F806" i="3"/>
  <c r="G806" i="3" s="1" a="1"/>
  <c r="G806" i="3" s="1"/>
  <c r="F805" i="3"/>
  <c r="G805" i="3" s="1" a="1"/>
  <c r="G805" i="3" s="1"/>
  <c r="F804" i="3"/>
  <c r="G804" i="3" s="1" a="1"/>
  <c r="G804" i="3" s="1"/>
  <c r="F803" i="3"/>
  <c r="G803" i="3" s="1" a="1"/>
  <c r="G803" i="3" s="1"/>
  <c r="F802" i="3"/>
  <c r="G802" i="3" s="1" a="1"/>
  <c r="G802" i="3" s="1"/>
  <c r="F801" i="3"/>
  <c r="G801" i="3" s="1" a="1"/>
  <c r="G801" i="3" s="1"/>
  <c r="F800" i="3"/>
  <c r="G800" i="3" s="1" a="1"/>
  <c r="G800" i="3" s="1"/>
  <c r="F799" i="3"/>
  <c r="G799" i="3" s="1" a="1"/>
  <c r="G799" i="3" s="1"/>
  <c r="F798" i="3"/>
  <c r="G798" i="3" s="1" a="1"/>
  <c r="G798" i="3" s="1"/>
  <c r="F797" i="3"/>
  <c r="G797" i="3" s="1" a="1"/>
  <c r="G797" i="3" s="1"/>
  <c r="F796" i="3"/>
  <c r="G796" i="3" s="1" a="1"/>
  <c r="G796" i="3" s="1"/>
  <c r="F795" i="3"/>
  <c r="G795" i="3" s="1" a="1"/>
  <c r="G795" i="3" s="1"/>
  <c r="F794" i="3"/>
  <c r="G794" i="3" s="1" a="1"/>
  <c r="G794" i="3" s="1"/>
  <c r="F793" i="3"/>
  <c r="G793" i="3" s="1" a="1"/>
  <c r="G793" i="3" s="1"/>
  <c r="F792" i="3"/>
  <c r="G792" i="3" s="1" a="1"/>
  <c r="G792" i="3" s="1"/>
  <c r="F791" i="3"/>
  <c r="G791" i="3" s="1" a="1"/>
  <c r="G791" i="3" s="1"/>
  <c r="F790" i="3"/>
  <c r="G790" i="3" s="1" a="1"/>
  <c r="G790" i="3" s="1"/>
  <c r="F789" i="3"/>
  <c r="G789" i="3" s="1" a="1"/>
  <c r="G789" i="3" s="1"/>
  <c r="F788" i="3"/>
  <c r="G788" i="3" s="1" a="1"/>
  <c r="G788" i="3" s="1"/>
  <c r="F787" i="3"/>
  <c r="G787" i="3" s="1" a="1"/>
  <c r="G787" i="3" s="1"/>
  <c r="F786" i="3"/>
  <c r="G786" i="3" s="1" a="1"/>
  <c r="G786" i="3" s="1"/>
  <c r="F785" i="3"/>
  <c r="G785" i="3" s="1" a="1"/>
  <c r="G785" i="3" s="1"/>
  <c r="F784" i="3"/>
  <c r="G784" i="3" s="1" a="1"/>
  <c r="G784" i="3" s="1"/>
  <c r="F783" i="3"/>
  <c r="G783" i="3" s="1" a="1"/>
  <c r="G783" i="3" s="1"/>
  <c r="F782" i="3"/>
  <c r="G782" i="3" s="1" a="1"/>
  <c r="G782" i="3" s="1"/>
  <c r="F781" i="3"/>
  <c r="G781" i="3" s="1" a="1"/>
  <c r="G781" i="3" s="1"/>
  <c r="F780" i="3"/>
  <c r="G780" i="3" s="1" a="1"/>
  <c r="G780" i="3" s="1"/>
  <c r="F779" i="3"/>
  <c r="G779" i="3" s="1" a="1"/>
  <c r="G779" i="3" s="1"/>
  <c r="F778" i="3"/>
  <c r="G778" i="3" s="1" a="1"/>
  <c r="G778" i="3" s="1"/>
  <c r="F777" i="3"/>
  <c r="G777" i="3" s="1" a="1"/>
  <c r="G777" i="3" s="1"/>
  <c r="F776" i="3"/>
  <c r="G776" i="3" s="1" a="1"/>
  <c r="G776" i="3" s="1"/>
  <c r="F775" i="3"/>
  <c r="G775" i="3" s="1" a="1"/>
  <c r="G775" i="3" s="1"/>
  <c r="F774" i="3"/>
  <c r="G774" i="3" s="1" a="1"/>
  <c r="G774" i="3" s="1"/>
  <c r="F773" i="3"/>
  <c r="G773" i="3" s="1" a="1"/>
  <c r="G773" i="3" s="1"/>
  <c r="F772" i="3"/>
  <c r="G772" i="3" s="1" a="1"/>
  <c r="G772" i="3" s="1"/>
  <c r="F771" i="3"/>
  <c r="G771" i="3" s="1" a="1"/>
  <c r="G771" i="3" s="1"/>
  <c r="F770" i="3"/>
  <c r="G770" i="3" s="1" a="1"/>
  <c r="G770" i="3" s="1"/>
  <c r="F769" i="3"/>
  <c r="G769" i="3" s="1" a="1"/>
  <c r="G769" i="3" s="1"/>
  <c r="F768" i="3"/>
  <c r="G768" i="3" s="1" a="1"/>
  <c r="G768" i="3" s="1"/>
  <c r="F767" i="3"/>
  <c r="G767" i="3" s="1" a="1"/>
  <c r="G767" i="3" s="1"/>
  <c r="F766" i="3"/>
  <c r="G766" i="3" s="1" a="1"/>
  <c r="G766" i="3" s="1"/>
  <c r="F765" i="3"/>
  <c r="G765" i="3" s="1" a="1"/>
  <c r="G765" i="3" s="1"/>
  <c r="F764" i="3"/>
  <c r="G764" i="3" s="1" a="1"/>
  <c r="G764" i="3" s="1"/>
  <c r="F763" i="3"/>
  <c r="G763" i="3" s="1" a="1"/>
  <c r="G763" i="3" s="1"/>
  <c r="F762" i="3"/>
  <c r="G762" i="3" s="1" a="1"/>
  <c r="G762" i="3" s="1"/>
  <c r="F761" i="3"/>
  <c r="G761" i="3" s="1" a="1"/>
  <c r="G761" i="3" s="1"/>
  <c r="F760" i="3"/>
  <c r="G760" i="3" s="1" a="1"/>
  <c r="G760" i="3" s="1"/>
  <c r="F759" i="3"/>
  <c r="G759" i="3" s="1" a="1"/>
  <c r="G759" i="3" s="1"/>
  <c r="F758" i="3"/>
  <c r="G758" i="3" s="1" a="1"/>
  <c r="G758" i="3" s="1"/>
  <c r="F757" i="3"/>
  <c r="G757" i="3" s="1" a="1"/>
  <c r="G757" i="3" s="1"/>
  <c r="F756" i="3"/>
  <c r="G756" i="3" s="1" a="1"/>
  <c r="G756" i="3" s="1"/>
  <c r="F755" i="3"/>
  <c r="G755" i="3" s="1" a="1"/>
  <c r="G755" i="3" s="1"/>
  <c r="F754" i="3"/>
  <c r="G754" i="3" s="1" a="1"/>
  <c r="G754" i="3" s="1"/>
  <c r="F753" i="3"/>
  <c r="G753" i="3" s="1" a="1"/>
  <c r="G753" i="3" s="1"/>
  <c r="F752" i="3"/>
  <c r="G752" i="3" s="1" a="1"/>
  <c r="G752" i="3" s="1"/>
  <c r="F751" i="3"/>
  <c r="G751" i="3" s="1" a="1"/>
  <c r="G751" i="3" s="1"/>
  <c r="F750" i="3"/>
  <c r="G750" i="3" s="1" a="1"/>
  <c r="G750" i="3" s="1"/>
  <c r="F749" i="3"/>
  <c r="G749" i="3" s="1" a="1"/>
  <c r="G749" i="3" s="1"/>
  <c r="F748" i="3"/>
  <c r="G748" i="3" s="1" a="1"/>
  <c r="G748" i="3" s="1"/>
  <c r="F747" i="3"/>
  <c r="G747" i="3" s="1" a="1"/>
  <c r="G747" i="3" s="1"/>
  <c r="F746" i="3"/>
  <c r="G746" i="3" s="1" a="1"/>
  <c r="G746" i="3" s="1"/>
  <c r="F745" i="3"/>
  <c r="G745" i="3" s="1" a="1"/>
  <c r="G745" i="3" s="1"/>
  <c r="F744" i="3"/>
  <c r="G744" i="3" s="1" a="1"/>
  <c r="G744" i="3" s="1"/>
  <c r="F743" i="3"/>
  <c r="G743" i="3" s="1" a="1"/>
  <c r="G743" i="3" s="1"/>
  <c r="F742" i="3"/>
  <c r="G742" i="3" s="1" a="1"/>
  <c r="G742" i="3" s="1"/>
  <c r="F741" i="3"/>
  <c r="G741" i="3" s="1" a="1"/>
  <c r="G741" i="3" s="1"/>
  <c r="F740" i="3"/>
  <c r="G740" i="3" s="1" a="1"/>
  <c r="G740" i="3" s="1"/>
  <c r="F739" i="3"/>
  <c r="G739" i="3" s="1" a="1"/>
  <c r="G739" i="3" s="1"/>
  <c r="F738" i="3"/>
  <c r="G738" i="3" s="1" a="1"/>
  <c r="G738" i="3" s="1"/>
  <c r="F737" i="3"/>
  <c r="G737" i="3" s="1" a="1"/>
  <c r="G737" i="3" s="1"/>
  <c r="F736" i="3"/>
  <c r="G736" i="3" s="1" a="1"/>
  <c r="G736" i="3" s="1"/>
  <c r="F735" i="3"/>
  <c r="G735" i="3" s="1" a="1"/>
  <c r="G735" i="3" s="1"/>
  <c r="F734" i="3"/>
  <c r="G734" i="3" s="1" a="1"/>
  <c r="G734" i="3" s="1"/>
  <c r="F733" i="3"/>
  <c r="G733" i="3" s="1" a="1"/>
  <c r="G733" i="3" s="1"/>
  <c r="F732" i="3"/>
  <c r="G732" i="3" s="1" a="1"/>
  <c r="G732" i="3" s="1"/>
  <c r="F731" i="3"/>
  <c r="G731" i="3" s="1" a="1"/>
  <c r="G731" i="3" s="1"/>
  <c r="F730" i="3"/>
  <c r="G730" i="3" s="1" a="1"/>
  <c r="G730" i="3" s="1"/>
  <c r="F729" i="3"/>
  <c r="G729" i="3" s="1" a="1"/>
  <c r="G729" i="3" s="1"/>
  <c r="F728" i="3"/>
  <c r="G728" i="3" s="1" a="1"/>
  <c r="G728" i="3" s="1"/>
  <c r="F727" i="3"/>
  <c r="G727" i="3" s="1" a="1"/>
  <c r="G727" i="3" s="1"/>
  <c r="F726" i="3"/>
  <c r="G726" i="3" s="1" a="1"/>
  <c r="G726" i="3" s="1"/>
  <c r="F725" i="3"/>
  <c r="G725" i="3" s="1" a="1"/>
  <c r="G725" i="3" s="1"/>
  <c r="F724" i="3"/>
  <c r="G724" i="3" s="1" a="1"/>
  <c r="G724" i="3" s="1"/>
  <c r="F723" i="3"/>
  <c r="G723" i="3" s="1" a="1"/>
  <c r="G723" i="3" s="1"/>
  <c r="F722" i="3"/>
  <c r="G722" i="3" s="1" a="1"/>
  <c r="G722" i="3" s="1"/>
  <c r="F721" i="3"/>
  <c r="G721" i="3" s="1" a="1"/>
  <c r="G721" i="3" s="1"/>
  <c r="F720" i="3"/>
  <c r="G720" i="3" s="1" a="1"/>
  <c r="G720" i="3" s="1"/>
  <c r="F719" i="3"/>
  <c r="G719" i="3" s="1" a="1"/>
  <c r="G719" i="3" s="1"/>
  <c r="F718" i="3"/>
  <c r="G718" i="3" s="1" a="1"/>
  <c r="G718" i="3" s="1"/>
  <c r="F717" i="3"/>
  <c r="G717" i="3" s="1" a="1"/>
  <c r="G717" i="3" s="1"/>
  <c r="F716" i="3"/>
  <c r="G716" i="3" s="1" a="1"/>
  <c r="G716" i="3" s="1"/>
  <c r="F715" i="3"/>
  <c r="G715" i="3" s="1" a="1"/>
  <c r="G715" i="3" s="1"/>
  <c r="F714" i="3"/>
  <c r="G714" i="3" s="1" a="1"/>
  <c r="G714" i="3" s="1"/>
  <c r="F713" i="3"/>
  <c r="G713" i="3" s="1" a="1"/>
  <c r="G713" i="3" s="1"/>
  <c r="F712" i="3"/>
  <c r="G712" i="3" s="1" a="1"/>
  <c r="G712" i="3" s="1"/>
  <c r="F711" i="3"/>
  <c r="G711" i="3" s="1" a="1"/>
  <c r="G711" i="3" s="1"/>
  <c r="F710" i="3"/>
  <c r="G710" i="3" s="1" a="1"/>
  <c r="G710" i="3" s="1"/>
  <c r="F709" i="3"/>
  <c r="G709" i="3" s="1" a="1"/>
  <c r="G709" i="3" s="1"/>
  <c r="F708" i="3"/>
  <c r="G708" i="3" s="1" a="1"/>
  <c r="G708" i="3" s="1"/>
  <c r="F707" i="3"/>
  <c r="G707" i="3" s="1" a="1"/>
  <c r="G707" i="3" s="1"/>
  <c r="F706" i="3"/>
  <c r="G706" i="3" s="1" a="1"/>
  <c r="G706" i="3" s="1"/>
  <c r="F705" i="3"/>
  <c r="G705" i="3" s="1" a="1"/>
  <c r="G705" i="3" s="1"/>
  <c r="F704" i="3"/>
  <c r="G704" i="3" s="1" a="1"/>
  <c r="G704" i="3" s="1"/>
  <c r="F703" i="3"/>
  <c r="G703" i="3" s="1" a="1"/>
  <c r="G703" i="3" s="1"/>
  <c r="F702" i="3"/>
  <c r="G702" i="3" s="1" a="1"/>
  <c r="G702" i="3" s="1"/>
  <c r="F701" i="3"/>
  <c r="G701" i="3" s="1" a="1"/>
  <c r="G701" i="3" s="1"/>
  <c r="F700" i="3"/>
  <c r="G700" i="3" s="1" a="1"/>
  <c r="G700" i="3" s="1"/>
  <c r="F699" i="3"/>
  <c r="G699" i="3" s="1" a="1"/>
  <c r="G699" i="3" s="1"/>
  <c r="F698" i="3"/>
  <c r="G698" i="3" s="1" a="1"/>
  <c r="G698" i="3" s="1"/>
  <c r="F697" i="3"/>
  <c r="G697" i="3" s="1" a="1"/>
  <c r="G697" i="3" s="1"/>
  <c r="F696" i="3"/>
  <c r="G696" i="3" s="1" a="1"/>
  <c r="G696" i="3" s="1"/>
  <c r="F695" i="3"/>
  <c r="G695" i="3" s="1" a="1"/>
  <c r="G695" i="3" s="1"/>
  <c r="F694" i="3"/>
  <c r="G694" i="3" s="1" a="1"/>
  <c r="G694" i="3" s="1"/>
  <c r="F693" i="3"/>
  <c r="G693" i="3" s="1" a="1"/>
  <c r="G693" i="3" s="1"/>
  <c r="F692" i="3"/>
  <c r="G692" i="3" s="1" a="1"/>
  <c r="G692" i="3" s="1"/>
  <c r="F691" i="3"/>
  <c r="G691" i="3" s="1" a="1"/>
  <c r="G691" i="3" s="1"/>
  <c r="F690" i="3"/>
  <c r="G690" i="3" s="1" a="1"/>
  <c r="G690" i="3" s="1"/>
  <c r="F689" i="3"/>
  <c r="G689" i="3" s="1" a="1"/>
  <c r="G689" i="3" s="1"/>
  <c r="F688" i="3"/>
  <c r="G688" i="3" s="1" a="1"/>
  <c r="G688" i="3" s="1"/>
  <c r="F687" i="3"/>
  <c r="G687" i="3" s="1" a="1"/>
  <c r="G687" i="3" s="1"/>
  <c r="F686" i="3"/>
  <c r="G686" i="3" s="1" a="1"/>
  <c r="G686" i="3" s="1"/>
  <c r="F685" i="3"/>
  <c r="G685" i="3" s="1" a="1"/>
  <c r="G685" i="3" s="1"/>
  <c r="F684" i="3"/>
  <c r="G684" i="3" s="1" a="1"/>
  <c r="G684" i="3" s="1"/>
  <c r="F683" i="3"/>
  <c r="G683" i="3" s="1" a="1"/>
  <c r="G683" i="3" s="1"/>
  <c r="F682" i="3"/>
  <c r="G682" i="3" s="1" a="1"/>
  <c r="G682" i="3" s="1"/>
  <c r="F681" i="3"/>
  <c r="G681" i="3" s="1" a="1"/>
  <c r="G681" i="3" s="1"/>
  <c r="F680" i="3"/>
  <c r="G680" i="3" s="1" a="1"/>
  <c r="G680" i="3" s="1"/>
  <c r="F679" i="3"/>
  <c r="G679" i="3" s="1" a="1"/>
  <c r="G679" i="3" s="1"/>
  <c r="F678" i="3"/>
  <c r="G678" i="3" s="1" a="1"/>
  <c r="G678" i="3" s="1"/>
  <c r="F677" i="3"/>
  <c r="G677" i="3" s="1" a="1"/>
  <c r="G677" i="3" s="1"/>
  <c r="F676" i="3"/>
  <c r="G676" i="3" s="1" a="1"/>
  <c r="G676" i="3" s="1"/>
  <c r="F675" i="3"/>
  <c r="G675" i="3" s="1" a="1"/>
  <c r="G675" i="3" s="1"/>
  <c r="F674" i="3"/>
  <c r="G674" i="3" s="1" a="1"/>
  <c r="G674" i="3" s="1"/>
  <c r="F673" i="3"/>
  <c r="G673" i="3" s="1" a="1"/>
  <c r="G673" i="3" s="1"/>
  <c r="F672" i="3"/>
  <c r="G672" i="3" s="1" a="1"/>
  <c r="G672" i="3" s="1"/>
  <c r="F671" i="3"/>
  <c r="G671" i="3" s="1" a="1"/>
  <c r="G671" i="3" s="1"/>
  <c r="F670" i="3"/>
  <c r="G670" i="3" s="1" a="1"/>
  <c r="G670" i="3" s="1"/>
  <c r="F669" i="3"/>
  <c r="G669" i="3" s="1" a="1"/>
  <c r="G669" i="3" s="1"/>
  <c r="F668" i="3"/>
  <c r="G668" i="3" s="1" a="1"/>
  <c r="G668" i="3" s="1"/>
  <c r="F667" i="3"/>
  <c r="G667" i="3" s="1" a="1"/>
  <c r="G667" i="3" s="1"/>
  <c r="F666" i="3"/>
  <c r="G666" i="3" s="1" a="1"/>
  <c r="G666" i="3" s="1"/>
  <c r="F665" i="3"/>
  <c r="G665" i="3" s="1" a="1"/>
  <c r="G665" i="3" s="1"/>
  <c r="F664" i="3"/>
  <c r="G664" i="3" s="1" a="1"/>
  <c r="G664" i="3" s="1"/>
  <c r="F663" i="3"/>
  <c r="G663" i="3" s="1" a="1"/>
  <c r="G663" i="3" s="1"/>
  <c r="F662" i="3"/>
  <c r="G662" i="3" s="1" a="1"/>
  <c r="G662" i="3" s="1"/>
  <c r="F661" i="3"/>
  <c r="G661" i="3" s="1" a="1"/>
  <c r="G661" i="3" s="1"/>
  <c r="F660" i="3"/>
  <c r="G660" i="3" s="1" a="1"/>
  <c r="G660" i="3" s="1"/>
  <c r="F659" i="3"/>
  <c r="G659" i="3" s="1" a="1"/>
  <c r="G659" i="3" s="1"/>
  <c r="F658" i="3"/>
  <c r="G658" i="3" s="1" a="1"/>
  <c r="G658" i="3" s="1"/>
  <c r="F657" i="3"/>
  <c r="G657" i="3" s="1" a="1"/>
  <c r="G657" i="3" s="1"/>
  <c r="F656" i="3"/>
  <c r="G656" i="3" s="1" a="1"/>
  <c r="G656" i="3" s="1"/>
  <c r="F655" i="3"/>
  <c r="G655" i="3" s="1" a="1"/>
  <c r="G655" i="3" s="1"/>
  <c r="F654" i="3"/>
  <c r="G654" i="3" s="1" a="1"/>
  <c r="G654" i="3" s="1"/>
  <c r="F653" i="3"/>
  <c r="G653" i="3" s="1" a="1"/>
  <c r="G653" i="3" s="1"/>
  <c r="F652" i="3"/>
  <c r="G652" i="3" s="1" a="1"/>
  <c r="G652" i="3" s="1"/>
  <c r="F651" i="3"/>
  <c r="G651" i="3" s="1" a="1"/>
  <c r="G651" i="3" s="1"/>
  <c r="F650" i="3"/>
  <c r="G650" i="3" s="1" a="1"/>
  <c r="G650" i="3" s="1"/>
  <c r="F649" i="3"/>
  <c r="G649" i="3" s="1" a="1"/>
  <c r="G649" i="3" s="1"/>
  <c r="F648" i="3"/>
  <c r="G648" i="3" s="1" a="1"/>
  <c r="G648" i="3" s="1"/>
  <c r="F647" i="3"/>
  <c r="G647" i="3" s="1" a="1"/>
  <c r="G647" i="3" s="1"/>
  <c r="F646" i="3"/>
  <c r="G646" i="3" s="1" a="1"/>
  <c r="G646" i="3" s="1"/>
  <c r="F645" i="3"/>
  <c r="G645" i="3" s="1" a="1"/>
  <c r="G645" i="3" s="1"/>
  <c r="F644" i="3"/>
  <c r="G644" i="3" s="1" a="1"/>
  <c r="G644" i="3" s="1"/>
  <c r="F643" i="3"/>
  <c r="G643" i="3" s="1" a="1"/>
  <c r="G643" i="3" s="1"/>
  <c r="F642" i="3"/>
  <c r="G642" i="3" s="1" a="1"/>
  <c r="G642" i="3" s="1"/>
  <c r="F641" i="3"/>
  <c r="G641" i="3" s="1" a="1"/>
  <c r="G641" i="3" s="1"/>
  <c r="F640" i="3"/>
  <c r="G640" i="3" s="1" a="1"/>
  <c r="G640" i="3" s="1"/>
  <c r="F639" i="3"/>
  <c r="G639" i="3" s="1" a="1"/>
  <c r="G639" i="3" s="1"/>
  <c r="F638" i="3"/>
  <c r="G638" i="3" s="1" a="1"/>
  <c r="G638" i="3" s="1"/>
  <c r="F637" i="3"/>
  <c r="G637" i="3" s="1" a="1"/>
  <c r="G637" i="3" s="1"/>
  <c r="F636" i="3"/>
  <c r="G636" i="3" s="1" a="1"/>
  <c r="G636" i="3" s="1"/>
  <c r="F635" i="3"/>
  <c r="G635" i="3" s="1" a="1"/>
  <c r="G635" i="3" s="1"/>
  <c r="F634" i="3"/>
  <c r="G634" i="3" s="1" a="1"/>
  <c r="G634" i="3" s="1"/>
  <c r="F633" i="3"/>
  <c r="G633" i="3" s="1" a="1"/>
  <c r="G633" i="3" s="1"/>
  <c r="F632" i="3"/>
  <c r="G632" i="3" s="1" a="1"/>
  <c r="G632" i="3" s="1"/>
  <c r="F631" i="3"/>
  <c r="G631" i="3" s="1" a="1"/>
  <c r="G631" i="3" s="1"/>
  <c r="F630" i="3"/>
  <c r="G630" i="3" s="1" a="1"/>
  <c r="G630" i="3" s="1"/>
  <c r="F629" i="3"/>
  <c r="G629" i="3" s="1" a="1"/>
  <c r="G629" i="3" s="1"/>
  <c r="F628" i="3"/>
  <c r="G628" i="3" s="1" a="1"/>
  <c r="G628" i="3" s="1"/>
  <c r="F627" i="3"/>
  <c r="G627" i="3" s="1" a="1"/>
  <c r="G627" i="3" s="1"/>
  <c r="F626" i="3"/>
  <c r="G626" i="3" s="1" a="1"/>
  <c r="G626" i="3" s="1"/>
  <c r="F625" i="3"/>
  <c r="G625" i="3" s="1" a="1"/>
  <c r="G625" i="3" s="1"/>
  <c r="F624" i="3"/>
  <c r="G624" i="3" s="1" a="1"/>
  <c r="G624" i="3" s="1"/>
  <c r="F623" i="3"/>
  <c r="G623" i="3" s="1" a="1"/>
  <c r="G623" i="3" s="1"/>
  <c r="F622" i="3"/>
  <c r="G622" i="3" s="1" a="1"/>
  <c r="G622" i="3" s="1"/>
  <c r="F621" i="3"/>
  <c r="G621" i="3" s="1" a="1"/>
  <c r="G621" i="3" s="1"/>
  <c r="F620" i="3"/>
  <c r="G620" i="3" s="1" a="1"/>
  <c r="G620" i="3" s="1"/>
  <c r="F619" i="3"/>
  <c r="G619" i="3" s="1" a="1"/>
  <c r="G619" i="3" s="1"/>
  <c r="F618" i="3"/>
  <c r="G618" i="3" s="1" a="1"/>
  <c r="G618" i="3" s="1"/>
  <c r="F617" i="3"/>
  <c r="G617" i="3" s="1" a="1"/>
  <c r="G617" i="3" s="1"/>
  <c r="F616" i="3"/>
  <c r="G616" i="3" s="1" a="1"/>
  <c r="G616" i="3" s="1"/>
  <c r="F615" i="3"/>
  <c r="G615" i="3" s="1" a="1"/>
  <c r="G615" i="3" s="1"/>
  <c r="F614" i="3"/>
  <c r="G614" i="3" s="1" a="1"/>
  <c r="G614" i="3" s="1"/>
  <c r="F613" i="3"/>
  <c r="G613" i="3" s="1" a="1"/>
  <c r="G613" i="3" s="1"/>
  <c r="F612" i="3"/>
  <c r="G612" i="3" s="1" a="1"/>
  <c r="G612" i="3" s="1"/>
  <c r="F611" i="3"/>
  <c r="G611" i="3" s="1" a="1"/>
  <c r="G611" i="3" s="1"/>
  <c r="F610" i="3"/>
  <c r="G610" i="3" s="1" a="1"/>
  <c r="G610" i="3" s="1"/>
  <c r="F609" i="3"/>
  <c r="G609" i="3" s="1" a="1"/>
  <c r="G609" i="3" s="1"/>
  <c r="F608" i="3"/>
  <c r="G608" i="3" s="1" a="1"/>
  <c r="G608" i="3" s="1"/>
  <c r="F607" i="3"/>
  <c r="G607" i="3" s="1" a="1"/>
  <c r="G607" i="3" s="1"/>
  <c r="F606" i="3"/>
  <c r="G606" i="3" s="1" a="1"/>
  <c r="G606" i="3" s="1"/>
  <c r="F605" i="3"/>
  <c r="G605" i="3" s="1" a="1"/>
  <c r="G605" i="3" s="1"/>
  <c r="F604" i="3"/>
  <c r="G604" i="3" s="1" a="1"/>
  <c r="G604" i="3" s="1"/>
  <c r="F603" i="3"/>
  <c r="G603" i="3" s="1" a="1"/>
  <c r="G603" i="3" s="1"/>
  <c r="F602" i="3"/>
  <c r="G602" i="3" s="1" a="1"/>
  <c r="G602" i="3" s="1"/>
  <c r="F601" i="3"/>
  <c r="G601" i="3" s="1" a="1"/>
  <c r="G601" i="3" s="1"/>
  <c r="F600" i="3"/>
  <c r="G600" i="3" s="1" a="1"/>
  <c r="G600" i="3" s="1"/>
  <c r="F599" i="3"/>
  <c r="G599" i="3" s="1" a="1"/>
  <c r="G599" i="3" s="1"/>
  <c r="F598" i="3"/>
  <c r="G598" i="3" s="1" a="1"/>
  <c r="G598" i="3" s="1"/>
  <c r="F597" i="3"/>
  <c r="G597" i="3" s="1" a="1"/>
  <c r="G597" i="3" s="1"/>
  <c r="F596" i="3"/>
  <c r="G596" i="3" s="1" a="1"/>
  <c r="G596" i="3" s="1"/>
  <c r="F595" i="3"/>
  <c r="G595" i="3" s="1" a="1"/>
  <c r="G595" i="3" s="1"/>
  <c r="F594" i="3"/>
  <c r="G594" i="3" s="1" a="1"/>
  <c r="G594" i="3" s="1"/>
  <c r="F593" i="3"/>
  <c r="G593" i="3" s="1" a="1"/>
  <c r="G593" i="3" s="1"/>
  <c r="F592" i="3"/>
  <c r="G592" i="3" s="1" a="1"/>
  <c r="G592" i="3" s="1"/>
  <c r="F591" i="3"/>
  <c r="G591" i="3" s="1" a="1"/>
  <c r="G591" i="3" s="1"/>
  <c r="F590" i="3"/>
  <c r="G590" i="3" s="1" a="1"/>
  <c r="G590" i="3" s="1"/>
  <c r="F589" i="3"/>
  <c r="G589" i="3" s="1" a="1"/>
  <c r="G589" i="3" s="1"/>
  <c r="F588" i="3"/>
  <c r="G588" i="3" s="1" a="1"/>
  <c r="G588" i="3" s="1"/>
  <c r="F587" i="3"/>
  <c r="G587" i="3" s="1" a="1"/>
  <c r="G587" i="3" s="1"/>
  <c r="F586" i="3"/>
  <c r="G586" i="3" s="1" a="1"/>
  <c r="G586" i="3" s="1"/>
  <c r="F585" i="3"/>
  <c r="G585" i="3" s="1" a="1"/>
  <c r="G585" i="3" s="1"/>
  <c r="F584" i="3"/>
  <c r="G584" i="3" s="1" a="1"/>
  <c r="G584" i="3" s="1"/>
  <c r="F583" i="3"/>
  <c r="G583" i="3" s="1" a="1"/>
  <c r="G583" i="3" s="1"/>
  <c r="F582" i="3"/>
  <c r="G582" i="3" s="1" a="1"/>
  <c r="G582" i="3" s="1"/>
  <c r="F581" i="3"/>
  <c r="G581" i="3" s="1" a="1"/>
  <c r="G581" i="3" s="1"/>
  <c r="F580" i="3"/>
  <c r="G580" i="3" s="1" a="1"/>
  <c r="G580" i="3" s="1"/>
  <c r="F579" i="3"/>
  <c r="G579" i="3" s="1" a="1"/>
  <c r="G579" i="3" s="1"/>
  <c r="F578" i="3"/>
  <c r="G578" i="3" s="1" a="1"/>
  <c r="G578" i="3" s="1"/>
  <c r="F577" i="3"/>
  <c r="G577" i="3" s="1" a="1"/>
  <c r="G577" i="3" s="1"/>
  <c r="F576" i="3"/>
  <c r="G576" i="3" s="1" a="1"/>
  <c r="G576" i="3" s="1"/>
  <c r="F575" i="3"/>
  <c r="G575" i="3" s="1" a="1"/>
  <c r="G575" i="3" s="1"/>
  <c r="F574" i="3"/>
  <c r="G574" i="3" s="1" a="1"/>
  <c r="G574" i="3" s="1"/>
  <c r="F573" i="3"/>
  <c r="G573" i="3" s="1" a="1"/>
  <c r="G573" i="3" s="1"/>
  <c r="F572" i="3"/>
  <c r="G572" i="3" s="1" a="1"/>
  <c r="G572" i="3" s="1"/>
  <c r="F571" i="3"/>
  <c r="G571" i="3" s="1" a="1"/>
  <c r="G571" i="3" s="1"/>
  <c r="F570" i="3"/>
  <c r="G570" i="3" s="1" a="1"/>
  <c r="G570" i="3" s="1"/>
  <c r="F569" i="3"/>
  <c r="G569" i="3" s="1" a="1"/>
  <c r="G569" i="3" s="1"/>
  <c r="F568" i="3"/>
  <c r="G568" i="3" s="1" a="1"/>
  <c r="G568" i="3" s="1"/>
  <c r="F567" i="3"/>
  <c r="G567" i="3" s="1" a="1"/>
  <c r="G567" i="3" s="1"/>
  <c r="F566" i="3"/>
  <c r="G566" i="3" s="1" a="1"/>
  <c r="G566" i="3" s="1"/>
  <c r="F565" i="3"/>
  <c r="G565" i="3" s="1" a="1"/>
  <c r="G565" i="3" s="1"/>
  <c r="F564" i="3"/>
  <c r="G564" i="3" s="1" a="1"/>
  <c r="G564" i="3" s="1"/>
  <c r="F563" i="3"/>
  <c r="G563" i="3" s="1" a="1"/>
  <c r="G563" i="3" s="1"/>
  <c r="F562" i="3"/>
  <c r="G562" i="3" s="1" a="1"/>
  <c r="G562" i="3" s="1"/>
  <c r="F561" i="3"/>
  <c r="G561" i="3" s="1" a="1"/>
  <c r="G561" i="3" s="1"/>
  <c r="F560" i="3"/>
  <c r="G560" i="3" s="1" a="1"/>
  <c r="G560" i="3" s="1"/>
  <c r="F559" i="3"/>
  <c r="G559" i="3" s="1" a="1"/>
  <c r="G559" i="3" s="1"/>
  <c r="F558" i="3"/>
  <c r="G558" i="3" s="1" a="1"/>
  <c r="G558" i="3" s="1"/>
  <c r="F557" i="3"/>
  <c r="G557" i="3" s="1" a="1"/>
  <c r="G557" i="3" s="1"/>
  <c r="F556" i="3"/>
  <c r="G556" i="3" s="1" a="1"/>
  <c r="G556" i="3" s="1"/>
  <c r="F555" i="3"/>
  <c r="G555" i="3" s="1" a="1"/>
  <c r="G555" i="3" s="1"/>
  <c r="F554" i="3"/>
  <c r="G554" i="3" s="1" a="1"/>
  <c r="G554" i="3" s="1"/>
  <c r="F553" i="3"/>
  <c r="G553" i="3" s="1" a="1"/>
  <c r="G553" i="3" s="1"/>
  <c r="F552" i="3"/>
  <c r="G552" i="3" s="1" a="1"/>
  <c r="G552" i="3" s="1"/>
  <c r="F551" i="3"/>
  <c r="G551" i="3" s="1" a="1"/>
  <c r="G551" i="3" s="1"/>
  <c r="F550" i="3"/>
  <c r="G550" i="3" s="1" a="1"/>
  <c r="G550" i="3" s="1"/>
  <c r="F549" i="3"/>
  <c r="G549" i="3" s="1" a="1"/>
  <c r="G549" i="3" s="1"/>
  <c r="F548" i="3"/>
  <c r="G548" i="3" s="1" a="1"/>
  <c r="G548" i="3" s="1"/>
  <c r="F547" i="3"/>
  <c r="G547" i="3" s="1" a="1"/>
  <c r="G547" i="3" s="1"/>
  <c r="F546" i="3"/>
  <c r="G546" i="3" s="1" a="1"/>
  <c r="G546" i="3" s="1"/>
  <c r="F545" i="3"/>
  <c r="G545" i="3" s="1" a="1"/>
  <c r="G545" i="3" s="1"/>
  <c r="F544" i="3"/>
  <c r="G544" i="3" s="1" a="1"/>
  <c r="G544" i="3" s="1"/>
  <c r="F543" i="3"/>
  <c r="G543" i="3" s="1" a="1"/>
  <c r="G543" i="3" s="1"/>
  <c r="F542" i="3"/>
  <c r="G542" i="3" s="1" a="1"/>
  <c r="G542" i="3" s="1"/>
  <c r="F541" i="3"/>
  <c r="G541" i="3" s="1" a="1"/>
  <c r="G541" i="3" s="1"/>
  <c r="F540" i="3"/>
  <c r="G540" i="3" s="1" a="1"/>
  <c r="G540" i="3" s="1"/>
  <c r="F539" i="3"/>
  <c r="G539" i="3" s="1" a="1"/>
  <c r="G539" i="3" s="1"/>
  <c r="F538" i="3"/>
  <c r="G538" i="3" s="1" a="1"/>
  <c r="G538" i="3" s="1"/>
  <c r="F537" i="3"/>
  <c r="G537" i="3" s="1" a="1"/>
  <c r="G537" i="3" s="1"/>
  <c r="F536" i="3"/>
  <c r="G536" i="3" s="1" a="1"/>
  <c r="G536" i="3" s="1"/>
  <c r="F535" i="3"/>
  <c r="G535" i="3" s="1" a="1"/>
  <c r="G535" i="3" s="1"/>
  <c r="F534" i="3"/>
  <c r="G534" i="3" s="1" a="1"/>
  <c r="G534" i="3" s="1"/>
  <c r="F533" i="3"/>
  <c r="G533" i="3" s="1" a="1"/>
  <c r="G533" i="3" s="1"/>
  <c r="F532" i="3"/>
  <c r="G532" i="3" s="1" a="1"/>
  <c r="G532" i="3" s="1"/>
  <c r="F531" i="3"/>
  <c r="G531" i="3" s="1" a="1"/>
  <c r="G531" i="3" s="1"/>
  <c r="F530" i="3"/>
  <c r="G530" i="3" s="1" a="1"/>
  <c r="G530" i="3" s="1"/>
  <c r="F529" i="3"/>
  <c r="G529" i="3" s="1" a="1"/>
  <c r="G529" i="3" s="1"/>
  <c r="F528" i="3"/>
  <c r="G528" i="3" s="1" a="1"/>
  <c r="G528" i="3" s="1"/>
  <c r="F527" i="3"/>
  <c r="G527" i="3" s="1" a="1"/>
  <c r="G527" i="3" s="1"/>
  <c r="F526" i="3"/>
  <c r="G526" i="3" s="1" a="1"/>
  <c r="G526" i="3" s="1"/>
  <c r="F525" i="3"/>
  <c r="G525" i="3" s="1" a="1"/>
  <c r="G525" i="3" s="1"/>
  <c r="F524" i="3"/>
  <c r="G524" i="3" s="1" a="1"/>
  <c r="G524" i="3" s="1"/>
  <c r="F523" i="3"/>
  <c r="G523" i="3" s="1" a="1"/>
  <c r="G523" i="3" s="1"/>
  <c r="F522" i="3"/>
  <c r="G522" i="3" s="1" a="1"/>
  <c r="G522" i="3" s="1"/>
  <c r="F521" i="3"/>
  <c r="G521" i="3" s="1" a="1"/>
  <c r="G521" i="3" s="1"/>
  <c r="F520" i="3"/>
  <c r="G520" i="3" s="1" a="1"/>
  <c r="G520" i="3" s="1"/>
  <c r="F519" i="3"/>
  <c r="G519" i="3" s="1" a="1"/>
  <c r="G519" i="3" s="1"/>
  <c r="F518" i="3"/>
  <c r="G518" i="3" s="1" a="1"/>
  <c r="G518" i="3" s="1"/>
  <c r="F517" i="3"/>
  <c r="G517" i="3" s="1" a="1"/>
  <c r="G517" i="3" s="1"/>
  <c r="F516" i="3"/>
  <c r="G516" i="3" s="1" a="1"/>
  <c r="G516" i="3" s="1"/>
  <c r="F515" i="3"/>
  <c r="G515" i="3" s="1" a="1"/>
  <c r="G515" i="3" s="1"/>
  <c r="F514" i="3"/>
  <c r="G514" i="3" s="1" a="1"/>
  <c r="G514" i="3" s="1"/>
  <c r="F513" i="3"/>
  <c r="G513" i="3" s="1" a="1"/>
  <c r="G513" i="3" s="1"/>
  <c r="F512" i="3"/>
  <c r="G512" i="3" s="1" a="1"/>
  <c r="G512" i="3" s="1"/>
  <c r="F511" i="3"/>
  <c r="G511" i="3" s="1" a="1"/>
  <c r="G511" i="3" s="1"/>
  <c r="F510" i="3"/>
  <c r="G510" i="3" s="1" a="1"/>
  <c r="G510" i="3" s="1"/>
  <c r="F509" i="3"/>
  <c r="G509" i="3" s="1" a="1"/>
  <c r="G509" i="3" s="1"/>
  <c r="F508" i="3"/>
  <c r="G508" i="3" s="1" a="1"/>
  <c r="G508" i="3" s="1"/>
  <c r="F507" i="3"/>
  <c r="G507" i="3" s="1" a="1"/>
  <c r="G507" i="3" s="1"/>
  <c r="F506" i="3"/>
  <c r="G506" i="3" s="1" a="1"/>
  <c r="G506" i="3" s="1"/>
  <c r="F505" i="3"/>
  <c r="G505" i="3" s="1" a="1"/>
  <c r="G505" i="3" s="1"/>
  <c r="F504" i="3"/>
  <c r="G504" i="3" s="1" a="1"/>
  <c r="G504" i="3" s="1"/>
  <c r="F503" i="3"/>
  <c r="G503" i="3" s="1" a="1"/>
  <c r="G503" i="3" s="1"/>
  <c r="F502" i="3"/>
  <c r="G502" i="3" s="1" a="1"/>
  <c r="G502" i="3" s="1"/>
  <c r="F501" i="3"/>
  <c r="G501" i="3" s="1" a="1"/>
  <c r="G501" i="3" s="1"/>
  <c r="F500" i="3"/>
  <c r="G500" i="3" s="1" a="1"/>
  <c r="G500" i="3" s="1"/>
  <c r="F499" i="3"/>
  <c r="G499" i="3" s="1" a="1"/>
  <c r="G499" i="3" s="1"/>
  <c r="F498" i="3"/>
  <c r="G498" i="3" s="1" a="1"/>
  <c r="G498" i="3" s="1"/>
  <c r="F497" i="3"/>
  <c r="G497" i="3" s="1" a="1"/>
  <c r="G497" i="3" s="1"/>
  <c r="F496" i="3"/>
  <c r="G496" i="3" s="1" a="1"/>
  <c r="G496" i="3" s="1"/>
  <c r="F495" i="3"/>
  <c r="G495" i="3" s="1" a="1"/>
  <c r="G495" i="3" s="1"/>
  <c r="F494" i="3"/>
  <c r="G494" i="3" s="1" a="1"/>
  <c r="G494" i="3" s="1"/>
  <c r="F493" i="3"/>
  <c r="G493" i="3" s="1" a="1"/>
  <c r="G493" i="3" s="1"/>
  <c r="F492" i="3"/>
  <c r="G492" i="3" s="1" a="1"/>
  <c r="G492" i="3" s="1"/>
  <c r="F491" i="3"/>
  <c r="G491" i="3" s="1" a="1"/>
  <c r="G491" i="3" s="1"/>
  <c r="F490" i="3"/>
  <c r="G490" i="3" s="1" a="1"/>
  <c r="G490" i="3" s="1"/>
  <c r="F489" i="3"/>
  <c r="G489" i="3" s="1" a="1"/>
  <c r="G489" i="3" s="1"/>
  <c r="F488" i="3"/>
  <c r="G488" i="3" s="1" a="1"/>
  <c r="G488" i="3" s="1"/>
  <c r="F487" i="3"/>
  <c r="G487" i="3" s="1" a="1"/>
  <c r="G487" i="3" s="1"/>
  <c r="F486" i="3"/>
  <c r="G486" i="3" s="1" a="1"/>
  <c r="G486" i="3" s="1"/>
  <c r="F485" i="3"/>
  <c r="G485" i="3" s="1" a="1"/>
  <c r="G485" i="3" s="1"/>
  <c r="F484" i="3"/>
  <c r="G484" i="3" s="1" a="1"/>
  <c r="G484" i="3" s="1"/>
  <c r="F483" i="3"/>
  <c r="G483" i="3" s="1" a="1"/>
  <c r="G483" i="3" s="1"/>
  <c r="F482" i="3"/>
  <c r="G482" i="3" s="1" a="1"/>
  <c r="G482" i="3" s="1"/>
  <c r="F481" i="3"/>
  <c r="G481" i="3" s="1" a="1"/>
  <c r="G481" i="3" s="1"/>
  <c r="F480" i="3"/>
  <c r="G480" i="3" s="1" a="1"/>
  <c r="G480" i="3" s="1"/>
  <c r="F479" i="3"/>
  <c r="G479" i="3" s="1" a="1"/>
  <c r="G479" i="3" s="1"/>
  <c r="F478" i="3"/>
  <c r="G478" i="3" s="1" a="1"/>
  <c r="G478" i="3" s="1"/>
  <c r="F477" i="3"/>
  <c r="G477" i="3" s="1" a="1"/>
  <c r="G477" i="3" s="1"/>
  <c r="F476" i="3"/>
  <c r="G476" i="3" s="1" a="1"/>
  <c r="G476" i="3" s="1"/>
  <c r="F475" i="3"/>
  <c r="G475" i="3" s="1" a="1"/>
  <c r="G475" i="3" s="1"/>
  <c r="F474" i="3"/>
  <c r="G474" i="3" s="1" a="1"/>
  <c r="G474" i="3" s="1"/>
  <c r="F473" i="3"/>
  <c r="G473" i="3" s="1" a="1"/>
  <c r="G473" i="3" s="1"/>
  <c r="F472" i="3"/>
  <c r="G472" i="3" s="1" a="1"/>
  <c r="G472" i="3" s="1"/>
  <c r="F471" i="3"/>
  <c r="G471" i="3" s="1" a="1"/>
  <c r="G471" i="3" s="1"/>
  <c r="F470" i="3"/>
  <c r="G470" i="3" s="1" a="1"/>
  <c r="G470" i="3" s="1"/>
  <c r="F469" i="3"/>
  <c r="G469" i="3" s="1" a="1"/>
  <c r="G469" i="3" s="1"/>
  <c r="F468" i="3"/>
  <c r="G468" i="3" s="1" a="1"/>
  <c r="G468" i="3" s="1"/>
  <c r="F467" i="3"/>
  <c r="G467" i="3" s="1" a="1"/>
  <c r="G467" i="3" s="1"/>
  <c r="F466" i="3"/>
  <c r="G466" i="3" s="1" a="1"/>
  <c r="G466" i="3" s="1"/>
  <c r="F465" i="3"/>
  <c r="G465" i="3" s="1" a="1"/>
  <c r="G465" i="3" s="1"/>
  <c r="F464" i="3"/>
  <c r="G464" i="3" s="1" a="1"/>
  <c r="G464" i="3" s="1"/>
  <c r="F463" i="3"/>
  <c r="G463" i="3" s="1" a="1"/>
  <c r="G463" i="3" s="1"/>
  <c r="F462" i="3"/>
  <c r="G462" i="3" s="1" a="1"/>
  <c r="G462" i="3" s="1"/>
  <c r="F461" i="3"/>
  <c r="G461" i="3" s="1" a="1"/>
  <c r="G461" i="3" s="1"/>
  <c r="F460" i="3"/>
  <c r="G460" i="3" s="1" a="1"/>
  <c r="G460" i="3" s="1"/>
  <c r="F459" i="3"/>
  <c r="G459" i="3" s="1" a="1"/>
  <c r="G459" i="3" s="1"/>
  <c r="F458" i="3"/>
  <c r="G458" i="3" s="1" a="1"/>
  <c r="G458" i="3" s="1"/>
  <c r="F457" i="3"/>
  <c r="G457" i="3" s="1" a="1"/>
  <c r="G457" i="3" s="1"/>
  <c r="F456" i="3"/>
  <c r="G456" i="3" s="1" a="1"/>
  <c r="G456" i="3" s="1"/>
  <c r="F455" i="3"/>
  <c r="G455" i="3" s="1" a="1"/>
  <c r="G455" i="3" s="1"/>
  <c r="F454" i="3"/>
  <c r="G454" i="3" s="1" a="1"/>
  <c r="G454" i="3" s="1"/>
  <c r="F453" i="3"/>
  <c r="G453" i="3" s="1" a="1"/>
  <c r="G453" i="3" s="1"/>
  <c r="F452" i="3"/>
  <c r="G452" i="3" s="1" a="1"/>
  <c r="G452" i="3" s="1"/>
  <c r="F451" i="3"/>
  <c r="G451" i="3" s="1" a="1"/>
  <c r="G451" i="3" s="1"/>
  <c r="F450" i="3"/>
  <c r="G450" i="3" s="1" a="1"/>
  <c r="G450" i="3" s="1"/>
  <c r="F449" i="3"/>
  <c r="G449" i="3" s="1" a="1"/>
  <c r="G449" i="3" s="1"/>
  <c r="F448" i="3"/>
  <c r="G448" i="3" s="1" a="1"/>
  <c r="G448" i="3" s="1"/>
  <c r="F447" i="3"/>
  <c r="G447" i="3" s="1" a="1"/>
  <c r="G447" i="3" s="1"/>
  <c r="F446" i="3"/>
  <c r="G446" i="3" s="1" a="1"/>
  <c r="G446" i="3" s="1"/>
  <c r="F445" i="3"/>
  <c r="G445" i="3" s="1" a="1"/>
  <c r="G445" i="3" s="1"/>
  <c r="F444" i="3"/>
  <c r="G444" i="3" s="1" a="1"/>
  <c r="G444" i="3" s="1"/>
  <c r="F443" i="3"/>
  <c r="G443" i="3" s="1" a="1"/>
  <c r="G443" i="3" s="1"/>
  <c r="F442" i="3"/>
  <c r="G442" i="3" s="1" a="1"/>
  <c r="G442" i="3" s="1"/>
  <c r="F441" i="3"/>
  <c r="G441" i="3" s="1" a="1"/>
  <c r="G441" i="3" s="1"/>
  <c r="F440" i="3"/>
  <c r="G440" i="3" s="1" a="1"/>
  <c r="G440" i="3" s="1"/>
  <c r="F439" i="3"/>
  <c r="G439" i="3" s="1" a="1"/>
  <c r="G439" i="3" s="1"/>
  <c r="F438" i="3"/>
  <c r="G438" i="3" s="1" a="1"/>
  <c r="G438" i="3" s="1"/>
  <c r="F437" i="3"/>
  <c r="G437" i="3" s="1" a="1"/>
  <c r="G437" i="3" s="1"/>
  <c r="F436" i="3"/>
  <c r="G436" i="3" s="1" a="1"/>
  <c r="G436" i="3" s="1"/>
  <c r="F435" i="3"/>
  <c r="G435" i="3" s="1" a="1"/>
  <c r="G435" i="3" s="1"/>
  <c r="F434" i="3"/>
  <c r="G434" i="3" s="1" a="1"/>
  <c r="G434" i="3" s="1"/>
  <c r="F433" i="3"/>
  <c r="G433" i="3" s="1" a="1"/>
  <c r="G433" i="3" s="1"/>
  <c r="F432" i="3"/>
  <c r="G432" i="3" s="1" a="1"/>
  <c r="G432" i="3" s="1"/>
  <c r="F431" i="3"/>
  <c r="G431" i="3" s="1" a="1"/>
  <c r="G431" i="3" s="1"/>
  <c r="F430" i="3"/>
  <c r="G430" i="3" s="1" a="1"/>
  <c r="G430" i="3" s="1"/>
  <c r="F429" i="3"/>
  <c r="G429" i="3" s="1" a="1"/>
  <c r="G429" i="3" s="1"/>
  <c r="F428" i="3"/>
  <c r="G428" i="3" s="1" a="1"/>
  <c r="G428" i="3" s="1"/>
  <c r="F427" i="3"/>
  <c r="G427" i="3" s="1" a="1"/>
  <c r="G427" i="3" s="1"/>
  <c r="F426" i="3"/>
  <c r="G426" i="3" s="1" a="1"/>
  <c r="G426" i="3" s="1"/>
  <c r="F425" i="3"/>
  <c r="G425" i="3" s="1" a="1"/>
  <c r="G425" i="3" s="1"/>
  <c r="F424" i="3"/>
  <c r="G424" i="3" s="1" a="1"/>
  <c r="G424" i="3" s="1"/>
  <c r="F423" i="3"/>
  <c r="G423" i="3" s="1" a="1"/>
  <c r="G423" i="3" s="1"/>
  <c r="F422" i="3"/>
  <c r="G422" i="3" s="1" a="1"/>
  <c r="G422" i="3" s="1"/>
  <c r="F421" i="3"/>
  <c r="G421" i="3" s="1" a="1"/>
  <c r="G421" i="3" s="1"/>
  <c r="F420" i="3"/>
  <c r="G420" i="3" s="1" a="1"/>
  <c r="G420" i="3" s="1"/>
  <c r="F419" i="3"/>
  <c r="G419" i="3" s="1" a="1"/>
  <c r="G419" i="3" s="1"/>
  <c r="F418" i="3"/>
  <c r="G418" i="3" s="1" a="1"/>
  <c r="G418" i="3" s="1"/>
  <c r="F417" i="3"/>
  <c r="G417" i="3" s="1" a="1"/>
  <c r="G417" i="3" s="1"/>
  <c r="F416" i="3"/>
  <c r="G416" i="3" s="1" a="1"/>
  <c r="G416" i="3" s="1"/>
  <c r="F415" i="3"/>
  <c r="G415" i="3" s="1" a="1"/>
  <c r="G415" i="3" s="1"/>
  <c r="F414" i="3"/>
  <c r="G414" i="3" s="1" a="1"/>
  <c r="G414" i="3" s="1"/>
  <c r="F413" i="3"/>
  <c r="G413" i="3" s="1" a="1"/>
  <c r="G413" i="3" s="1"/>
  <c r="F412" i="3"/>
  <c r="G412" i="3" s="1" a="1"/>
  <c r="G412" i="3" s="1"/>
  <c r="F411" i="3"/>
  <c r="G411" i="3" s="1" a="1"/>
  <c r="G411" i="3" s="1"/>
  <c r="F410" i="3"/>
  <c r="G410" i="3" s="1" a="1"/>
  <c r="G410" i="3" s="1"/>
  <c r="F409" i="3"/>
  <c r="G409" i="3" s="1" a="1"/>
  <c r="G409" i="3" s="1"/>
  <c r="F408" i="3"/>
  <c r="G408" i="3" s="1" a="1"/>
  <c r="G408" i="3" s="1"/>
  <c r="F407" i="3"/>
  <c r="G407" i="3" s="1" a="1"/>
  <c r="G407" i="3" s="1"/>
  <c r="F406" i="3"/>
  <c r="G406" i="3" s="1" a="1"/>
  <c r="G406" i="3" s="1"/>
  <c r="F405" i="3"/>
  <c r="G405" i="3" s="1" a="1"/>
  <c r="G405" i="3" s="1"/>
  <c r="F404" i="3"/>
  <c r="G404" i="3" s="1" a="1"/>
  <c r="G404" i="3" s="1"/>
  <c r="F403" i="3"/>
  <c r="G403" i="3" s="1" a="1"/>
  <c r="G403" i="3" s="1"/>
  <c r="F402" i="3"/>
  <c r="G402" i="3" s="1" a="1"/>
  <c r="G402" i="3" s="1"/>
  <c r="F401" i="3"/>
  <c r="G401" i="3" s="1" a="1"/>
  <c r="G401" i="3" s="1"/>
  <c r="F400" i="3"/>
  <c r="G400" i="3" s="1" a="1"/>
  <c r="G400" i="3" s="1"/>
  <c r="F399" i="3"/>
  <c r="G399" i="3" s="1" a="1"/>
  <c r="G399" i="3" s="1"/>
  <c r="F398" i="3"/>
  <c r="G398" i="3" s="1" a="1"/>
  <c r="G398" i="3" s="1"/>
  <c r="F397" i="3"/>
  <c r="G397" i="3" s="1" a="1"/>
  <c r="G397" i="3" s="1"/>
  <c r="F396" i="3"/>
  <c r="G396" i="3" s="1" a="1"/>
  <c r="G396" i="3" s="1"/>
  <c r="F395" i="3"/>
  <c r="G395" i="3" s="1" a="1"/>
  <c r="G395" i="3" s="1"/>
  <c r="F394" i="3"/>
  <c r="G394" i="3" s="1" a="1"/>
  <c r="G394" i="3" s="1"/>
  <c r="F393" i="3"/>
  <c r="G393" i="3" s="1" a="1"/>
  <c r="G393" i="3" s="1"/>
  <c r="F392" i="3"/>
  <c r="G392" i="3" s="1" a="1"/>
  <c r="G392" i="3" s="1"/>
  <c r="F391" i="3"/>
  <c r="G391" i="3" s="1" a="1"/>
  <c r="G391" i="3" s="1"/>
  <c r="F390" i="3"/>
  <c r="G390" i="3" s="1" a="1"/>
  <c r="G390" i="3" s="1"/>
  <c r="F389" i="3"/>
  <c r="G389" i="3" s="1" a="1"/>
  <c r="G389" i="3" s="1"/>
  <c r="F388" i="3"/>
  <c r="G388" i="3" s="1" a="1"/>
  <c r="G388" i="3" s="1"/>
  <c r="F387" i="3"/>
  <c r="G387" i="3" s="1" a="1"/>
  <c r="G387" i="3" s="1"/>
  <c r="F386" i="3"/>
  <c r="G386" i="3" s="1" a="1"/>
  <c r="G386" i="3" s="1"/>
  <c r="F385" i="3"/>
  <c r="G385" i="3" s="1" a="1"/>
  <c r="G385" i="3" s="1"/>
  <c r="F384" i="3"/>
  <c r="G384" i="3" s="1" a="1"/>
  <c r="G384" i="3" s="1"/>
  <c r="F383" i="3"/>
  <c r="G383" i="3" s="1" a="1"/>
  <c r="G383" i="3" s="1"/>
  <c r="F382" i="3"/>
  <c r="G382" i="3" s="1" a="1"/>
  <c r="G382" i="3" s="1"/>
  <c r="F381" i="3"/>
  <c r="G381" i="3" s="1" a="1"/>
  <c r="G381" i="3" s="1"/>
  <c r="F380" i="3"/>
  <c r="G380" i="3" s="1" a="1"/>
  <c r="G380" i="3" s="1"/>
  <c r="F379" i="3"/>
  <c r="G379" i="3" s="1" a="1"/>
  <c r="G379" i="3" s="1"/>
  <c r="F378" i="3"/>
  <c r="G378" i="3" s="1" a="1"/>
  <c r="G378" i="3" s="1"/>
  <c r="F377" i="3"/>
  <c r="G377" i="3" s="1" a="1"/>
  <c r="G377" i="3" s="1"/>
  <c r="F376" i="3"/>
  <c r="G376" i="3" s="1" a="1"/>
  <c r="G376" i="3" s="1"/>
  <c r="F375" i="3"/>
  <c r="G375" i="3" s="1" a="1"/>
  <c r="G375" i="3" s="1"/>
  <c r="F374" i="3"/>
  <c r="G374" i="3" s="1" a="1"/>
  <c r="G374" i="3" s="1"/>
  <c r="F373" i="3"/>
  <c r="G373" i="3" s="1" a="1"/>
  <c r="G373" i="3" s="1"/>
  <c r="F372" i="3"/>
  <c r="G372" i="3" s="1" a="1"/>
  <c r="G372" i="3" s="1"/>
  <c r="F371" i="3"/>
  <c r="G371" i="3" s="1" a="1"/>
  <c r="G371" i="3" s="1"/>
  <c r="F370" i="3"/>
  <c r="G370" i="3" s="1" a="1"/>
  <c r="G370" i="3" s="1"/>
  <c r="F369" i="3"/>
  <c r="G369" i="3" s="1" a="1"/>
  <c r="G369" i="3" s="1"/>
  <c r="F368" i="3"/>
  <c r="G368" i="3" s="1" a="1"/>
  <c r="G368" i="3" s="1"/>
  <c r="F367" i="3"/>
  <c r="G367" i="3" s="1" a="1"/>
  <c r="G367" i="3" s="1"/>
  <c r="F366" i="3"/>
  <c r="G366" i="3" s="1" a="1"/>
  <c r="G366" i="3" s="1"/>
  <c r="F365" i="3"/>
  <c r="G365" i="3" s="1" a="1"/>
  <c r="G365" i="3" s="1"/>
  <c r="F364" i="3"/>
  <c r="G364" i="3" s="1" a="1"/>
  <c r="G364" i="3" s="1"/>
  <c r="F363" i="3"/>
  <c r="G363" i="3" s="1" a="1"/>
  <c r="G363" i="3" s="1"/>
  <c r="F362" i="3"/>
  <c r="G362" i="3" s="1" a="1"/>
  <c r="G362" i="3" s="1"/>
  <c r="F361" i="3"/>
  <c r="G361" i="3" s="1" a="1"/>
  <c r="G361" i="3" s="1"/>
  <c r="F360" i="3"/>
  <c r="G360" i="3" s="1" a="1"/>
  <c r="G360" i="3" s="1"/>
  <c r="F359" i="3"/>
  <c r="G359" i="3" s="1" a="1"/>
  <c r="G359" i="3" s="1"/>
  <c r="F358" i="3"/>
  <c r="G358" i="3" s="1" a="1"/>
  <c r="G358" i="3" s="1"/>
  <c r="F357" i="3"/>
  <c r="G357" i="3" s="1" a="1"/>
  <c r="G357" i="3" s="1"/>
  <c r="F356" i="3"/>
  <c r="G356" i="3" s="1" a="1"/>
  <c r="G356" i="3" s="1"/>
  <c r="F355" i="3"/>
  <c r="G355" i="3" s="1" a="1"/>
  <c r="G355" i="3" s="1"/>
  <c r="F354" i="3"/>
  <c r="G354" i="3" s="1" a="1"/>
  <c r="G354" i="3" s="1"/>
  <c r="F353" i="3"/>
  <c r="G353" i="3" s="1" a="1"/>
  <c r="G353" i="3" s="1"/>
  <c r="F352" i="3"/>
  <c r="G352" i="3" s="1" a="1"/>
  <c r="G352" i="3" s="1"/>
  <c r="F351" i="3"/>
  <c r="G351" i="3" s="1" a="1"/>
  <c r="G351" i="3" s="1"/>
  <c r="F350" i="3"/>
  <c r="G350" i="3" s="1" a="1"/>
  <c r="G350" i="3" s="1"/>
  <c r="F349" i="3"/>
  <c r="G349" i="3" s="1" a="1"/>
  <c r="G349" i="3" s="1"/>
  <c r="F348" i="3"/>
  <c r="G348" i="3" s="1" a="1"/>
  <c r="G348" i="3" s="1"/>
  <c r="F347" i="3"/>
  <c r="G347" i="3" s="1" a="1"/>
  <c r="G347" i="3" s="1"/>
  <c r="F346" i="3"/>
  <c r="G346" i="3" s="1" a="1"/>
  <c r="G346" i="3" s="1"/>
  <c r="F345" i="3"/>
  <c r="G345" i="3" s="1" a="1"/>
  <c r="G345" i="3" s="1"/>
  <c r="F344" i="3"/>
  <c r="G344" i="3" s="1" a="1"/>
  <c r="G344" i="3" s="1"/>
  <c r="F343" i="3"/>
  <c r="G343" i="3" s="1" a="1"/>
  <c r="G343" i="3" s="1"/>
  <c r="F342" i="3"/>
  <c r="G342" i="3" s="1" a="1"/>
  <c r="G342" i="3" s="1"/>
  <c r="F341" i="3"/>
  <c r="G341" i="3" s="1" a="1"/>
  <c r="G341" i="3" s="1"/>
  <c r="F340" i="3"/>
  <c r="G340" i="3" s="1" a="1"/>
  <c r="G340" i="3" s="1"/>
  <c r="F339" i="3"/>
  <c r="G339" i="3" s="1" a="1"/>
  <c r="G339" i="3" s="1"/>
  <c r="F338" i="3"/>
  <c r="G338" i="3" s="1" a="1"/>
  <c r="G338" i="3" s="1"/>
  <c r="F337" i="3"/>
  <c r="G337" i="3" s="1" a="1"/>
  <c r="G337" i="3" s="1"/>
  <c r="F336" i="3"/>
  <c r="G336" i="3" s="1" a="1"/>
  <c r="G336" i="3" s="1"/>
  <c r="F335" i="3"/>
  <c r="G335" i="3" s="1" a="1"/>
  <c r="G335" i="3" s="1"/>
  <c r="F334" i="3"/>
  <c r="G334" i="3" s="1" a="1"/>
  <c r="G334" i="3" s="1"/>
  <c r="F333" i="3"/>
  <c r="G333" i="3" s="1" a="1"/>
  <c r="G333" i="3" s="1"/>
  <c r="F332" i="3"/>
  <c r="G332" i="3" s="1" a="1"/>
  <c r="G332" i="3" s="1"/>
  <c r="F331" i="3"/>
  <c r="G331" i="3" s="1" a="1"/>
  <c r="G331" i="3" s="1"/>
  <c r="F330" i="3"/>
  <c r="G330" i="3" s="1" a="1"/>
  <c r="G330" i="3" s="1"/>
  <c r="F329" i="3"/>
  <c r="G329" i="3" s="1" a="1"/>
  <c r="G329" i="3" s="1"/>
  <c r="F328" i="3"/>
  <c r="G328" i="3" s="1" a="1"/>
  <c r="G328" i="3" s="1"/>
  <c r="F327" i="3"/>
  <c r="G327" i="3" s="1" a="1"/>
  <c r="G327" i="3" s="1"/>
  <c r="F326" i="3"/>
  <c r="G326" i="3" s="1" a="1"/>
  <c r="G326" i="3" s="1"/>
  <c r="F325" i="3"/>
  <c r="G325" i="3" s="1" a="1"/>
  <c r="G325" i="3" s="1"/>
  <c r="F324" i="3"/>
  <c r="G324" i="3" s="1" a="1"/>
  <c r="G324" i="3" s="1"/>
  <c r="F323" i="3"/>
  <c r="G323" i="3" s="1" a="1"/>
  <c r="G323" i="3" s="1"/>
  <c r="F322" i="3"/>
  <c r="G322" i="3" s="1" a="1"/>
  <c r="G322" i="3" s="1"/>
  <c r="F321" i="3"/>
  <c r="G321" i="3" s="1" a="1"/>
  <c r="G321" i="3" s="1"/>
  <c r="F320" i="3"/>
  <c r="G320" i="3" s="1" a="1"/>
  <c r="G320" i="3" s="1"/>
  <c r="F319" i="3"/>
  <c r="G319" i="3" s="1" a="1"/>
  <c r="G319" i="3" s="1"/>
  <c r="F318" i="3"/>
  <c r="G318" i="3" s="1" a="1"/>
  <c r="G318" i="3" s="1"/>
  <c r="F317" i="3"/>
  <c r="G317" i="3" s="1" a="1"/>
  <c r="G317" i="3" s="1"/>
  <c r="F316" i="3"/>
  <c r="G316" i="3" s="1" a="1"/>
  <c r="G316" i="3" s="1"/>
  <c r="F315" i="3"/>
  <c r="G315" i="3" s="1" a="1"/>
  <c r="G315" i="3" s="1"/>
  <c r="F314" i="3"/>
  <c r="G314" i="3" s="1" a="1"/>
  <c r="G314" i="3" s="1"/>
  <c r="F313" i="3"/>
  <c r="G313" i="3" s="1" a="1"/>
  <c r="G313" i="3" s="1"/>
  <c r="F312" i="3"/>
  <c r="G312" i="3" s="1" a="1"/>
  <c r="G312" i="3" s="1"/>
  <c r="F311" i="3"/>
  <c r="G311" i="3" s="1" a="1"/>
  <c r="G311" i="3" s="1"/>
  <c r="F310" i="3"/>
  <c r="G310" i="3" s="1" a="1"/>
  <c r="G310" i="3" s="1"/>
  <c r="F309" i="3"/>
  <c r="G309" i="3" s="1" a="1"/>
  <c r="G309" i="3" s="1"/>
  <c r="F308" i="3"/>
  <c r="G308" i="3" s="1" a="1"/>
  <c r="G308" i="3" s="1"/>
  <c r="F307" i="3"/>
  <c r="G307" i="3" s="1" a="1"/>
  <c r="G307" i="3" s="1"/>
  <c r="F306" i="3"/>
  <c r="G306" i="3" s="1" a="1"/>
  <c r="G306" i="3" s="1"/>
  <c r="F305" i="3"/>
  <c r="G305" i="3" s="1" a="1"/>
  <c r="G305" i="3" s="1"/>
  <c r="F304" i="3"/>
  <c r="G304" i="3" s="1" a="1"/>
  <c r="G304" i="3" s="1"/>
  <c r="F303" i="3"/>
  <c r="G303" i="3" s="1" a="1"/>
  <c r="G303" i="3" s="1"/>
  <c r="F302" i="3"/>
  <c r="G302" i="3" s="1" a="1"/>
  <c r="G302" i="3" s="1"/>
  <c r="F301" i="3"/>
  <c r="G301" i="3" s="1" a="1"/>
  <c r="G301" i="3" s="1"/>
  <c r="F300" i="3"/>
  <c r="G300" i="3" s="1" a="1"/>
  <c r="G300" i="3" s="1"/>
  <c r="F299" i="3"/>
  <c r="G299" i="3" s="1" a="1"/>
  <c r="G299" i="3" s="1"/>
  <c r="F298" i="3"/>
  <c r="G298" i="3" s="1" a="1"/>
  <c r="G298" i="3" s="1"/>
  <c r="F297" i="3"/>
  <c r="G297" i="3" s="1" a="1"/>
  <c r="G297" i="3" s="1"/>
  <c r="F296" i="3"/>
  <c r="G296" i="3" s="1" a="1"/>
  <c r="G296" i="3" s="1"/>
  <c r="F295" i="3"/>
  <c r="G295" i="3" s="1" a="1"/>
  <c r="G295" i="3" s="1"/>
  <c r="F294" i="3"/>
  <c r="G294" i="3" s="1" a="1"/>
  <c r="G294" i="3" s="1"/>
  <c r="F293" i="3"/>
  <c r="G293" i="3" s="1" a="1"/>
  <c r="G293" i="3" s="1"/>
  <c r="F292" i="3"/>
  <c r="G292" i="3" s="1" a="1"/>
  <c r="G292" i="3" s="1"/>
  <c r="F291" i="3"/>
  <c r="G291" i="3" s="1" a="1"/>
  <c r="G291" i="3" s="1"/>
  <c r="F290" i="3"/>
  <c r="G290" i="3" s="1" a="1"/>
  <c r="G290" i="3" s="1"/>
  <c r="F289" i="3"/>
  <c r="G289" i="3" s="1" a="1"/>
  <c r="G289" i="3" s="1"/>
  <c r="F288" i="3"/>
  <c r="G288" i="3" s="1" a="1"/>
  <c r="G288" i="3" s="1"/>
  <c r="F287" i="3"/>
  <c r="G287" i="3" s="1" a="1"/>
  <c r="G287" i="3" s="1"/>
  <c r="F286" i="3"/>
  <c r="G286" i="3" s="1" a="1"/>
  <c r="G286" i="3" s="1"/>
  <c r="F285" i="3"/>
  <c r="G285" i="3" s="1" a="1"/>
  <c r="G285" i="3" s="1"/>
  <c r="F284" i="3"/>
  <c r="G284" i="3" s="1" a="1"/>
  <c r="G284" i="3" s="1"/>
  <c r="F283" i="3"/>
  <c r="G283" i="3" s="1" a="1"/>
  <c r="G283" i="3" s="1"/>
  <c r="F282" i="3"/>
  <c r="G282" i="3" s="1" a="1"/>
  <c r="G282" i="3" s="1"/>
  <c r="F281" i="3"/>
  <c r="G281" i="3" s="1" a="1"/>
  <c r="G281" i="3" s="1"/>
  <c r="F280" i="3"/>
  <c r="G280" i="3" s="1" a="1"/>
  <c r="G280" i="3" s="1"/>
  <c r="F279" i="3"/>
  <c r="G279" i="3" s="1" a="1"/>
  <c r="G279" i="3" s="1"/>
  <c r="F278" i="3"/>
  <c r="G278" i="3" s="1" a="1"/>
  <c r="G278" i="3" s="1"/>
  <c r="F277" i="3"/>
  <c r="G277" i="3" s="1" a="1"/>
  <c r="G277" i="3" s="1"/>
  <c r="F276" i="3"/>
  <c r="G276" i="3" s="1" a="1"/>
  <c r="G276" i="3" s="1"/>
  <c r="F275" i="3"/>
  <c r="G275" i="3" s="1" a="1"/>
  <c r="G275" i="3" s="1"/>
  <c r="F274" i="3"/>
  <c r="G274" i="3" s="1" a="1"/>
  <c r="G274" i="3" s="1"/>
  <c r="F273" i="3"/>
  <c r="G273" i="3" s="1" a="1"/>
  <c r="G273" i="3" s="1"/>
  <c r="F272" i="3"/>
  <c r="G272" i="3" s="1" a="1"/>
  <c r="G272" i="3" s="1"/>
  <c r="F271" i="3"/>
  <c r="G271" i="3" s="1" a="1"/>
  <c r="G271" i="3" s="1"/>
  <c r="F270" i="3"/>
  <c r="G270" i="3" s="1" a="1"/>
  <c r="G270" i="3" s="1"/>
  <c r="F269" i="3"/>
  <c r="G269" i="3" s="1" a="1"/>
  <c r="G269" i="3" s="1"/>
  <c r="F268" i="3"/>
  <c r="G268" i="3" s="1" a="1"/>
  <c r="G268" i="3" s="1"/>
  <c r="F267" i="3"/>
  <c r="G267" i="3" s="1" a="1"/>
  <c r="G267" i="3" s="1"/>
  <c r="F266" i="3"/>
  <c r="G266" i="3" s="1" a="1"/>
  <c r="G266" i="3" s="1"/>
  <c r="F265" i="3"/>
  <c r="G265" i="3" s="1" a="1"/>
  <c r="G265" i="3" s="1"/>
  <c r="F264" i="3"/>
  <c r="G264" i="3" s="1" a="1"/>
  <c r="G264" i="3" s="1"/>
  <c r="F263" i="3"/>
  <c r="G263" i="3" s="1" a="1"/>
  <c r="G263" i="3" s="1"/>
  <c r="F262" i="3"/>
  <c r="G262" i="3" s="1" a="1"/>
  <c r="G262" i="3" s="1"/>
  <c r="F261" i="3"/>
  <c r="G261" i="3" s="1" a="1"/>
  <c r="G261" i="3" s="1"/>
  <c r="F260" i="3"/>
  <c r="G260" i="3" s="1" a="1"/>
  <c r="G260" i="3" s="1"/>
  <c r="F259" i="3"/>
  <c r="G259" i="3" s="1" a="1"/>
  <c r="G259" i="3" s="1"/>
  <c r="F258" i="3"/>
  <c r="G258" i="3" s="1" a="1"/>
  <c r="G258" i="3" s="1"/>
  <c r="F257" i="3"/>
  <c r="G257" i="3" s="1" a="1"/>
  <c r="G257" i="3" s="1"/>
  <c r="F256" i="3"/>
  <c r="G256" i="3" s="1" a="1"/>
  <c r="G256" i="3" s="1"/>
  <c r="F255" i="3"/>
  <c r="G255" i="3" s="1" a="1"/>
  <c r="G255" i="3" s="1"/>
  <c r="F254" i="3"/>
  <c r="G254" i="3" s="1" a="1"/>
  <c r="G254" i="3" s="1"/>
  <c r="F253" i="3"/>
  <c r="G253" i="3" s="1" a="1"/>
  <c r="G253" i="3" s="1"/>
  <c r="F252" i="3"/>
  <c r="G252" i="3" s="1" a="1"/>
  <c r="G252" i="3" s="1"/>
  <c r="F251" i="3"/>
  <c r="G251" i="3" s="1" a="1"/>
  <c r="G251" i="3" s="1"/>
  <c r="F250" i="3"/>
  <c r="G250" i="3" s="1" a="1"/>
  <c r="G250" i="3" s="1"/>
  <c r="F249" i="3"/>
  <c r="G249" i="3" s="1" a="1"/>
  <c r="G249" i="3" s="1"/>
  <c r="F248" i="3"/>
  <c r="G248" i="3" s="1" a="1"/>
  <c r="G248" i="3" s="1"/>
  <c r="F247" i="3"/>
  <c r="G247" i="3" s="1" a="1"/>
  <c r="G247" i="3" s="1"/>
  <c r="F246" i="3"/>
  <c r="G246" i="3" s="1" a="1"/>
  <c r="G246" i="3" s="1"/>
  <c r="F245" i="3"/>
  <c r="G245" i="3" s="1" a="1"/>
  <c r="G245" i="3" s="1"/>
  <c r="F244" i="3"/>
  <c r="G244" i="3" s="1" a="1"/>
  <c r="G244" i="3" s="1"/>
  <c r="F243" i="3"/>
  <c r="G243" i="3" s="1" a="1"/>
  <c r="G243" i="3" s="1"/>
  <c r="F242" i="3"/>
  <c r="G242" i="3" s="1" a="1"/>
  <c r="G242" i="3" s="1"/>
  <c r="F241" i="3"/>
  <c r="G241" i="3" s="1" a="1"/>
  <c r="G241" i="3" s="1"/>
  <c r="F240" i="3"/>
  <c r="G240" i="3" s="1" a="1"/>
  <c r="G240" i="3" s="1"/>
  <c r="F239" i="3"/>
  <c r="G239" i="3" s="1" a="1"/>
  <c r="G239" i="3" s="1"/>
  <c r="F238" i="3"/>
  <c r="G238" i="3" s="1" a="1"/>
  <c r="G238" i="3" s="1"/>
  <c r="F237" i="3"/>
  <c r="G237" i="3" s="1" a="1"/>
  <c r="G237" i="3" s="1"/>
  <c r="F236" i="3"/>
  <c r="G236" i="3" s="1" a="1"/>
  <c r="G236" i="3" s="1"/>
  <c r="F235" i="3"/>
  <c r="G235" i="3" s="1" a="1"/>
  <c r="G235" i="3" s="1"/>
  <c r="F234" i="3"/>
  <c r="G234" i="3" s="1" a="1"/>
  <c r="G234" i="3" s="1"/>
  <c r="F233" i="3"/>
  <c r="G233" i="3" s="1" a="1"/>
  <c r="G233" i="3" s="1"/>
  <c r="F232" i="3"/>
  <c r="G232" i="3" s="1" a="1"/>
  <c r="G232" i="3" s="1"/>
  <c r="F231" i="3"/>
  <c r="G231" i="3" s="1" a="1"/>
  <c r="G231" i="3" s="1"/>
  <c r="F230" i="3"/>
  <c r="G230" i="3" s="1" a="1"/>
  <c r="G230" i="3" s="1"/>
  <c r="F229" i="3"/>
  <c r="G229" i="3" s="1" a="1"/>
  <c r="G229" i="3" s="1"/>
  <c r="F228" i="3"/>
  <c r="G228" i="3" s="1" a="1"/>
  <c r="G228" i="3" s="1"/>
  <c r="F227" i="3"/>
  <c r="G227" i="3" s="1" a="1"/>
  <c r="G227" i="3" s="1"/>
  <c r="F226" i="3"/>
  <c r="G226" i="3" s="1" a="1"/>
  <c r="G226" i="3" s="1"/>
  <c r="F225" i="3"/>
  <c r="G225" i="3" s="1" a="1"/>
  <c r="G225" i="3" s="1"/>
  <c r="F224" i="3"/>
  <c r="G224" i="3" s="1" a="1"/>
  <c r="G224" i="3" s="1"/>
  <c r="F223" i="3"/>
  <c r="G223" i="3" s="1" a="1"/>
  <c r="G223" i="3" s="1"/>
  <c r="F222" i="3"/>
  <c r="G222" i="3" s="1" a="1"/>
  <c r="G222" i="3" s="1"/>
  <c r="F221" i="3"/>
  <c r="G221" i="3" s="1" a="1"/>
  <c r="G221" i="3" s="1"/>
  <c r="F220" i="3"/>
  <c r="G220" i="3" s="1" a="1"/>
  <c r="G220" i="3" s="1"/>
  <c r="F219" i="3"/>
  <c r="G219" i="3" s="1" a="1"/>
  <c r="G219" i="3" s="1"/>
  <c r="F218" i="3"/>
  <c r="G218" i="3" s="1" a="1"/>
  <c r="G218" i="3" s="1"/>
  <c r="F217" i="3"/>
  <c r="G217" i="3" s="1" a="1"/>
  <c r="G217" i="3" s="1"/>
  <c r="F216" i="3"/>
  <c r="G216" i="3" s="1" a="1"/>
  <c r="G216" i="3" s="1"/>
  <c r="F215" i="3"/>
  <c r="G215" i="3" s="1" a="1"/>
  <c r="G215" i="3" s="1"/>
  <c r="F214" i="3"/>
  <c r="G214" i="3" s="1" a="1"/>
  <c r="G214" i="3" s="1"/>
  <c r="F213" i="3"/>
  <c r="G213" i="3" s="1" a="1"/>
  <c r="G213" i="3" s="1"/>
  <c r="F212" i="3"/>
  <c r="G212" i="3" s="1" a="1"/>
  <c r="G212" i="3" s="1"/>
  <c r="F211" i="3"/>
  <c r="G211" i="3" s="1" a="1"/>
  <c r="G211" i="3" s="1"/>
  <c r="F210" i="3"/>
  <c r="G210" i="3" s="1" a="1"/>
  <c r="G210" i="3" s="1"/>
  <c r="F209" i="3"/>
  <c r="G209" i="3" s="1" a="1"/>
  <c r="G209" i="3" s="1"/>
  <c r="F208" i="3"/>
  <c r="G208" i="3" s="1" a="1"/>
  <c r="G208" i="3" s="1"/>
  <c r="F207" i="3"/>
  <c r="G207" i="3" s="1" a="1"/>
  <c r="G207" i="3" s="1"/>
  <c r="F206" i="3"/>
  <c r="G206" i="3" s="1" a="1"/>
  <c r="G206" i="3" s="1"/>
  <c r="F205" i="3"/>
  <c r="G205" i="3" s="1" a="1"/>
  <c r="G205" i="3" s="1"/>
  <c r="F204" i="3"/>
  <c r="G204" i="3" s="1" a="1"/>
  <c r="G204" i="3" s="1"/>
  <c r="F203" i="3"/>
  <c r="G203" i="3" s="1" a="1"/>
  <c r="G203" i="3" s="1"/>
  <c r="F202" i="3"/>
  <c r="G202" i="3" s="1" a="1"/>
  <c r="G202" i="3" s="1"/>
  <c r="F201" i="3"/>
  <c r="G201" i="3" s="1" a="1"/>
  <c r="G201" i="3" s="1"/>
  <c r="F200" i="3"/>
  <c r="G200" i="3" s="1" a="1"/>
  <c r="G200" i="3" s="1"/>
  <c r="F199" i="3"/>
  <c r="G199" i="3" s="1" a="1"/>
  <c r="G199" i="3" s="1"/>
  <c r="F198" i="3"/>
  <c r="G198" i="3" s="1" a="1"/>
  <c r="G198" i="3" s="1"/>
  <c r="F197" i="3"/>
  <c r="G197" i="3" s="1" a="1"/>
  <c r="G197" i="3" s="1"/>
  <c r="F196" i="3"/>
  <c r="G196" i="3" s="1" a="1"/>
  <c r="G196" i="3" s="1"/>
  <c r="F195" i="3"/>
  <c r="G195" i="3" s="1" a="1"/>
  <c r="G195" i="3" s="1"/>
  <c r="F194" i="3"/>
  <c r="G194" i="3" s="1" a="1"/>
  <c r="G194" i="3" s="1"/>
  <c r="F193" i="3"/>
  <c r="G193" i="3" s="1" a="1"/>
  <c r="G193" i="3" s="1"/>
  <c r="F192" i="3"/>
  <c r="G192" i="3" s="1" a="1"/>
  <c r="G192" i="3" s="1"/>
  <c r="F191" i="3"/>
  <c r="G191" i="3" s="1" a="1"/>
  <c r="G191" i="3" s="1"/>
  <c r="F190" i="3"/>
  <c r="G190" i="3" s="1" a="1"/>
  <c r="G190" i="3" s="1"/>
  <c r="F189" i="3"/>
  <c r="G189" i="3" s="1" a="1"/>
  <c r="G189" i="3" s="1"/>
  <c r="F188" i="3"/>
  <c r="G188" i="3" s="1" a="1"/>
  <c r="G188" i="3" s="1"/>
  <c r="F187" i="3"/>
  <c r="G187" i="3" s="1" a="1"/>
  <c r="G187" i="3" s="1"/>
  <c r="F186" i="3"/>
  <c r="G186" i="3" s="1" a="1"/>
  <c r="G186" i="3" s="1"/>
  <c r="F185" i="3"/>
  <c r="G185" i="3" s="1" a="1"/>
  <c r="G185" i="3" s="1"/>
  <c r="F184" i="3"/>
  <c r="G184" i="3" s="1" a="1"/>
  <c r="G184" i="3" s="1"/>
  <c r="F183" i="3"/>
  <c r="G183" i="3" s="1" a="1"/>
  <c r="G183" i="3" s="1"/>
  <c r="F182" i="3"/>
  <c r="G182" i="3" s="1" a="1"/>
  <c r="G182" i="3" s="1"/>
  <c r="F181" i="3"/>
  <c r="G181" i="3" s="1" a="1"/>
  <c r="G181" i="3" s="1"/>
  <c r="F180" i="3"/>
  <c r="G180" i="3" s="1" a="1"/>
  <c r="G180" i="3" s="1"/>
  <c r="F179" i="3"/>
  <c r="G179" i="3" s="1" a="1"/>
  <c r="G179" i="3" s="1"/>
  <c r="F178" i="3"/>
  <c r="G178" i="3" s="1" a="1"/>
  <c r="G178" i="3" s="1"/>
  <c r="F177" i="3"/>
  <c r="G177" i="3" s="1" a="1"/>
  <c r="G177" i="3" s="1"/>
  <c r="F176" i="3"/>
  <c r="G176" i="3" s="1" a="1"/>
  <c r="G176" i="3" s="1"/>
  <c r="F175" i="3"/>
  <c r="G175" i="3" s="1" a="1"/>
  <c r="G175" i="3" s="1"/>
  <c r="F174" i="3"/>
  <c r="G174" i="3" s="1" a="1"/>
  <c r="G174" i="3" s="1"/>
  <c r="F173" i="3"/>
  <c r="G173" i="3" s="1" a="1"/>
  <c r="G173" i="3" s="1"/>
  <c r="F172" i="3"/>
  <c r="G172" i="3" s="1" a="1"/>
  <c r="G172" i="3" s="1"/>
  <c r="F171" i="3"/>
  <c r="G171" i="3" s="1" a="1"/>
  <c r="G171" i="3" s="1"/>
  <c r="F170" i="3"/>
  <c r="G170" i="3" s="1" a="1"/>
  <c r="G170" i="3" s="1"/>
  <c r="F169" i="3"/>
  <c r="G169" i="3" s="1" a="1"/>
  <c r="G169" i="3" s="1"/>
  <c r="F168" i="3"/>
  <c r="G168" i="3" s="1" a="1"/>
  <c r="G168" i="3" s="1"/>
  <c r="F167" i="3"/>
  <c r="G167" i="3" s="1" a="1"/>
  <c r="G167" i="3" s="1"/>
  <c r="F166" i="3"/>
  <c r="G166" i="3" s="1" a="1"/>
  <c r="G166" i="3" s="1"/>
  <c r="F165" i="3"/>
  <c r="G165" i="3" s="1" a="1"/>
  <c r="G165" i="3" s="1"/>
  <c r="F164" i="3"/>
  <c r="G164" i="3" s="1" a="1"/>
  <c r="G164" i="3" s="1"/>
  <c r="F163" i="3"/>
  <c r="G163" i="3" s="1" a="1"/>
  <c r="G163" i="3" s="1"/>
  <c r="F162" i="3"/>
  <c r="G162" i="3" s="1" a="1"/>
  <c r="G162" i="3" s="1"/>
  <c r="F161" i="3"/>
  <c r="G161" i="3" s="1" a="1"/>
  <c r="G161" i="3" s="1"/>
  <c r="F160" i="3"/>
  <c r="G160" i="3" s="1" a="1"/>
  <c r="G160" i="3" s="1"/>
  <c r="F159" i="3"/>
  <c r="G159" i="3" s="1" a="1"/>
  <c r="G159" i="3" s="1"/>
  <c r="F158" i="3"/>
  <c r="G158" i="3" s="1" a="1"/>
  <c r="G158" i="3" s="1"/>
  <c r="F157" i="3"/>
  <c r="G157" i="3" s="1" a="1"/>
  <c r="G157" i="3" s="1"/>
  <c r="F156" i="3"/>
  <c r="G156" i="3" s="1" a="1"/>
  <c r="G156" i="3" s="1"/>
  <c r="F155" i="3"/>
  <c r="G155" i="3" s="1" a="1"/>
  <c r="G155" i="3" s="1"/>
  <c r="F154" i="3"/>
  <c r="G154" i="3" s="1" a="1"/>
  <c r="G154" i="3" s="1"/>
  <c r="F153" i="3"/>
  <c r="G153" i="3" s="1" a="1"/>
  <c r="G153" i="3" s="1"/>
  <c r="F152" i="3"/>
  <c r="G152" i="3" s="1" a="1"/>
  <c r="G152" i="3" s="1"/>
  <c r="F151" i="3"/>
  <c r="G151" i="3" s="1" a="1"/>
  <c r="G151" i="3" s="1"/>
  <c r="F150" i="3"/>
  <c r="G150" i="3" s="1" a="1"/>
  <c r="G150" i="3" s="1"/>
  <c r="F149" i="3"/>
  <c r="G149" i="3" s="1" a="1"/>
  <c r="G149" i="3" s="1"/>
  <c r="F148" i="3"/>
  <c r="G148" i="3" s="1" a="1"/>
  <c r="G148" i="3" s="1"/>
  <c r="F147" i="3"/>
  <c r="G147" i="3" s="1" a="1"/>
  <c r="G147" i="3" s="1"/>
  <c r="F146" i="3"/>
  <c r="G146" i="3" s="1" a="1"/>
  <c r="G146" i="3" s="1"/>
  <c r="F145" i="3"/>
  <c r="G145" i="3" s="1" a="1"/>
  <c r="G145" i="3" s="1"/>
  <c r="F144" i="3"/>
  <c r="G144" i="3" s="1" a="1"/>
  <c r="G144" i="3" s="1"/>
  <c r="F143" i="3"/>
  <c r="G143" i="3" s="1" a="1"/>
  <c r="G143" i="3" s="1"/>
  <c r="F142" i="3"/>
  <c r="G142" i="3" s="1" a="1"/>
  <c r="G142" i="3" s="1"/>
  <c r="F141" i="3"/>
  <c r="G141" i="3" s="1" a="1"/>
  <c r="G141" i="3" s="1"/>
  <c r="F140" i="3"/>
  <c r="G140" i="3" s="1" a="1"/>
  <c r="G140" i="3" s="1"/>
  <c r="F139" i="3"/>
  <c r="G139" i="3" s="1" a="1"/>
  <c r="G139" i="3" s="1"/>
  <c r="F138" i="3"/>
  <c r="G138" i="3" s="1" a="1"/>
  <c r="G138" i="3" s="1"/>
  <c r="F137" i="3"/>
  <c r="G137" i="3" s="1" a="1"/>
  <c r="G137" i="3" s="1"/>
  <c r="F136" i="3"/>
  <c r="G136" i="3" s="1" a="1"/>
  <c r="G136" i="3" s="1"/>
  <c r="F135" i="3"/>
  <c r="G135" i="3" s="1" a="1"/>
  <c r="G135" i="3" s="1"/>
  <c r="F134" i="3"/>
  <c r="G134" i="3" s="1" a="1"/>
  <c r="G134" i="3" s="1"/>
  <c r="F133" i="3"/>
  <c r="G133" i="3" s="1" a="1"/>
  <c r="G133" i="3" s="1"/>
  <c r="F132" i="3"/>
  <c r="G132" i="3" s="1" a="1"/>
  <c r="G132" i="3" s="1"/>
  <c r="F131" i="3"/>
  <c r="G131" i="3" s="1" a="1"/>
  <c r="G131" i="3" s="1"/>
  <c r="F130" i="3"/>
  <c r="G130" i="3" s="1" a="1"/>
  <c r="G130" i="3" s="1"/>
  <c r="F129" i="3"/>
  <c r="G129" i="3" s="1" a="1"/>
  <c r="G129" i="3" s="1"/>
  <c r="F128" i="3"/>
  <c r="G128" i="3" s="1" a="1"/>
  <c r="G128" i="3" s="1"/>
  <c r="F127" i="3"/>
  <c r="G127" i="3" s="1" a="1"/>
  <c r="G127" i="3" s="1"/>
  <c r="F126" i="3"/>
  <c r="G126" i="3" s="1" a="1"/>
  <c r="G126" i="3" s="1"/>
  <c r="F125" i="3"/>
  <c r="G125" i="3" s="1" a="1"/>
  <c r="G125" i="3" s="1"/>
  <c r="F124" i="3"/>
  <c r="G124" i="3" s="1" a="1"/>
  <c r="G124" i="3" s="1"/>
  <c r="F123" i="3"/>
  <c r="G123" i="3" s="1" a="1"/>
  <c r="G123" i="3" s="1"/>
  <c r="F122" i="3"/>
  <c r="G122" i="3" s="1" a="1"/>
  <c r="G122" i="3" s="1"/>
  <c r="F121" i="3"/>
  <c r="G121" i="3" s="1" a="1"/>
  <c r="G121" i="3" s="1"/>
  <c r="F120" i="3"/>
  <c r="G120" i="3" s="1" a="1"/>
  <c r="G120" i="3" s="1"/>
  <c r="F119" i="3"/>
  <c r="G119" i="3" s="1" a="1"/>
  <c r="G119" i="3" s="1"/>
  <c r="F118" i="3"/>
  <c r="G118" i="3" s="1" a="1"/>
  <c r="G118" i="3" s="1"/>
  <c r="F117" i="3"/>
  <c r="G117" i="3" s="1" a="1"/>
  <c r="G117" i="3" s="1"/>
  <c r="F116" i="3"/>
  <c r="G116" i="3" s="1" a="1"/>
  <c r="G116" i="3" s="1"/>
  <c r="F115" i="3"/>
  <c r="G115" i="3" s="1" a="1"/>
  <c r="G115" i="3" s="1"/>
  <c r="F114" i="3"/>
  <c r="G114" i="3" s="1" a="1"/>
  <c r="G114" i="3" s="1"/>
  <c r="F113" i="3"/>
  <c r="G113" i="3" s="1" a="1"/>
  <c r="G113" i="3" s="1"/>
  <c r="F112" i="3"/>
  <c r="G112" i="3" s="1" a="1"/>
  <c r="G112" i="3" s="1"/>
  <c r="F111" i="3"/>
  <c r="G111" i="3" s="1" a="1"/>
  <c r="G111" i="3" s="1"/>
  <c r="F110" i="3"/>
  <c r="G110" i="3" s="1" a="1"/>
  <c r="G110" i="3" s="1"/>
  <c r="F109" i="3"/>
  <c r="G109" i="3" s="1" a="1"/>
  <c r="G109" i="3" s="1"/>
  <c r="F108" i="3"/>
  <c r="G108" i="3" s="1" a="1"/>
  <c r="G108" i="3" s="1"/>
  <c r="F107" i="3"/>
  <c r="G107" i="3" s="1" a="1"/>
  <c r="G107" i="3" s="1"/>
  <c r="F106" i="3"/>
  <c r="G106" i="3" s="1" a="1"/>
  <c r="G106" i="3" s="1"/>
  <c r="F105" i="3"/>
  <c r="G105" i="3" s="1" a="1"/>
  <c r="G105" i="3" s="1"/>
  <c r="F104" i="3"/>
  <c r="G104" i="3" s="1" a="1"/>
  <c r="G104" i="3" s="1"/>
  <c r="F103" i="3"/>
  <c r="G103" i="3" s="1" a="1"/>
  <c r="G103" i="3" s="1"/>
  <c r="F102" i="3"/>
  <c r="G102" i="3" s="1" a="1"/>
  <c r="G102" i="3" s="1"/>
  <c r="F101" i="3"/>
  <c r="G101" i="3" s="1" a="1"/>
  <c r="G101" i="3" s="1"/>
  <c r="F100" i="3"/>
  <c r="G100" i="3" s="1" a="1"/>
  <c r="G100" i="3" s="1"/>
  <c r="F99" i="3"/>
  <c r="G99" i="3" s="1" a="1"/>
  <c r="G99" i="3" s="1"/>
  <c r="F98" i="3"/>
  <c r="G98" i="3" s="1" a="1"/>
  <c r="G98" i="3" s="1"/>
  <c r="F97" i="3"/>
  <c r="G97" i="3" s="1" a="1"/>
  <c r="G97" i="3" s="1"/>
  <c r="F96" i="3"/>
  <c r="G96" i="3" s="1" a="1"/>
  <c r="G96" i="3" s="1"/>
  <c r="F95" i="3"/>
  <c r="G95" i="3" s="1" a="1"/>
  <c r="G95" i="3" s="1"/>
  <c r="F94" i="3"/>
  <c r="G94" i="3" s="1" a="1"/>
  <c r="G94" i="3" s="1"/>
  <c r="F93" i="3"/>
  <c r="G93" i="3" s="1" a="1"/>
  <c r="G93" i="3" s="1"/>
  <c r="F92" i="3"/>
  <c r="G92" i="3" s="1" a="1"/>
  <c r="G92" i="3" s="1"/>
  <c r="F91" i="3"/>
  <c r="G91" i="3" s="1" a="1"/>
  <c r="G91" i="3" s="1"/>
  <c r="F90" i="3"/>
  <c r="G90" i="3" s="1" a="1"/>
  <c r="G90" i="3" s="1"/>
  <c r="F89" i="3"/>
  <c r="G89" i="3" s="1" a="1"/>
  <c r="G89" i="3" s="1"/>
  <c r="F88" i="3"/>
  <c r="G88" i="3" s="1" a="1"/>
  <c r="G88" i="3" s="1"/>
  <c r="F87" i="3"/>
  <c r="G87" i="3" s="1" a="1"/>
  <c r="G87" i="3" s="1"/>
  <c r="F86" i="3"/>
  <c r="G86" i="3" s="1" a="1"/>
  <c r="G86" i="3" s="1"/>
  <c r="F85" i="3"/>
  <c r="G85" i="3" s="1" a="1"/>
  <c r="G85" i="3" s="1"/>
  <c r="F84" i="3"/>
  <c r="G84" i="3" s="1" a="1"/>
  <c r="G84" i="3" s="1"/>
  <c r="F83" i="3"/>
  <c r="G83" i="3" s="1" a="1"/>
  <c r="G83" i="3" s="1"/>
  <c r="F82" i="3"/>
  <c r="G82" i="3" s="1" a="1"/>
  <c r="G82" i="3" s="1"/>
  <c r="F81" i="3"/>
  <c r="G81" i="3" s="1" a="1"/>
  <c r="G81" i="3" s="1"/>
  <c r="F80" i="3"/>
  <c r="G80" i="3" s="1" a="1"/>
  <c r="G80" i="3" s="1"/>
  <c r="F79" i="3"/>
  <c r="G79" i="3" s="1" a="1"/>
  <c r="G79" i="3" s="1"/>
  <c r="F78" i="3"/>
  <c r="G78" i="3" s="1" a="1"/>
  <c r="G78" i="3" s="1"/>
  <c r="F77" i="3"/>
  <c r="G77" i="3" s="1" a="1"/>
  <c r="G77" i="3" s="1"/>
  <c r="F76" i="3"/>
  <c r="G76" i="3" s="1" a="1"/>
  <c r="G76" i="3" s="1"/>
  <c r="F75" i="3"/>
  <c r="G75" i="3" s="1" a="1"/>
  <c r="G75" i="3" s="1"/>
  <c r="F74" i="3"/>
  <c r="G74" i="3" s="1" a="1"/>
  <c r="G74" i="3" s="1"/>
  <c r="F73" i="3"/>
  <c r="G73" i="3" s="1" a="1"/>
  <c r="G73" i="3" s="1"/>
  <c r="F72" i="3"/>
  <c r="G72" i="3" s="1" a="1"/>
  <c r="G72" i="3" s="1"/>
  <c r="F71" i="3"/>
  <c r="G71" i="3" s="1" a="1"/>
  <c r="G71" i="3" s="1"/>
  <c r="F70" i="3"/>
  <c r="G70" i="3" s="1" a="1"/>
  <c r="G70" i="3" s="1"/>
  <c r="F69" i="3"/>
  <c r="G69" i="3" s="1" a="1"/>
  <c r="G69" i="3" s="1"/>
  <c r="F68" i="3"/>
  <c r="G68" i="3" s="1" a="1"/>
  <c r="G68" i="3" s="1"/>
  <c r="F67" i="3"/>
  <c r="G67" i="3" s="1" a="1"/>
  <c r="G67" i="3" s="1"/>
  <c r="F66" i="3"/>
  <c r="G66" i="3" s="1" a="1"/>
  <c r="G66" i="3" s="1"/>
  <c r="F65" i="3"/>
  <c r="G65" i="3" s="1" a="1"/>
  <c r="G65" i="3" s="1"/>
  <c r="F64" i="3"/>
  <c r="G64" i="3" s="1" a="1"/>
  <c r="G64" i="3" s="1"/>
  <c r="F63" i="3"/>
  <c r="G63" i="3" s="1" a="1"/>
  <c r="G63" i="3" s="1"/>
  <c r="F62" i="3"/>
  <c r="G62" i="3" s="1" a="1"/>
  <c r="G62" i="3" s="1"/>
  <c r="F61" i="3"/>
  <c r="G61" i="3" s="1" a="1"/>
  <c r="G61" i="3" s="1"/>
  <c r="F60" i="3"/>
  <c r="G60" i="3" s="1" a="1"/>
  <c r="G60" i="3" s="1"/>
  <c r="F59" i="3"/>
  <c r="G59" i="3" s="1" a="1"/>
  <c r="G59" i="3" s="1"/>
  <c r="F58" i="3"/>
  <c r="G58" i="3" s="1" a="1"/>
  <c r="G58" i="3" s="1"/>
  <c r="F57" i="3"/>
  <c r="G57" i="3" s="1" a="1"/>
  <c r="G57" i="3" s="1"/>
  <c r="F56" i="3"/>
  <c r="G56" i="3" s="1" a="1"/>
  <c r="G56" i="3" s="1"/>
  <c r="F55" i="3"/>
  <c r="G55" i="3" s="1" a="1"/>
  <c r="G55" i="3" s="1"/>
  <c r="F54" i="3"/>
  <c r="G54" i="3" s="1" a="1"/>
  <c r="G54" i="3" s="1"/>
  <c r="F53" i="3"/>
  <c r="G53" i="3" s="1" a="1"/>
  <c r="G53" i="3" s="1"/>
  <c r="F52" i="3"/>
  <c r="G52" i="3" s="1" a="1"/>
  <c r="G52" i="3" s="1"/>
  <c r="F51" i="3"/>
  <c r="G51" i="3" s="1" a="1"/>
  <c r="G51" i="3" s="1"/>
  <c r="F50" i="3"/>
  <c r="G50" i="3" s="1" a="1"/>
  <c r="G50" i="3" s="1"/>
  <c r="F49" i="3"/>
  <c r="G49" i="3" s="1" a="1"/>
  <c r="G49" i="3" s="1"/>
  <c r="F48" i="3"/>
  <c r="G48" i="3" s="1" a="1"/>
  <c r="G48" i="3" s="1"/>
  <c r="F47" i="3"/>
  <c r="G47" i="3" s="1" a="1"/>
  <c r="G47" i="3" s="1"/>
  <c r="F46" i="3"/>
  <c r="G46" i="3" s="1" a="1"/>
  <c r="G46" i="3" s="1"/>
  <c r="F45" i="3"/>
  <c r="G45" i="3" s="1" a="1"/>
  <c r="G45" i="3" s="1"/>
  <c r="F44" i="3"/>
  <c r="G44" i="3" s="1" a="1"/>
  <c r="G44" i="3" s="1"/>
  <c r="F43" i="3"/>
  <c r="G43" i="3" s="1" a="1"/>
  <c r="G43" i="3" s="1"/>
  <c r="F42" i="3"/>
  <c r="G42" i="3" s="1" a="1"/>
  <c r="G42" i="3" s="1"/>
  <c r="F41" i="3"/>
  <c r="G41" i="3" s="1" a="1"/>
  <c r="G41" i="3" s="1"/>
  <c r="F40" i="3"/>
  <c r="G40" i="3" s="1" a="1"/>
  <c r="G40" i="3" s="1"/>
  <c r="F39" i="3"/>
  <c r="G39" i="3" s="1" a="1"/>
  <c r="G39" i="3" s="1"/>
  <c r="F38" i="3"/>
  <c r="G38" i="3" s="1" a="1"/>
  <c r="G38" i="3" s="1"/>
  <c r="F37" i="3"/>
  <c r="G37" i="3" s="1" a="1"/>
  <c r="G37" i="3" s="1"/>
  <c r="F36" i="3"/>
  <c r="G36" i="3" s="1" a="1"/>
  <c r="G36" i="3" s="1"/>
  <c r="F35" i="3"/>
  <c r="G35" i="3" s="1" a="1"/>
  <c r="G35" i="3" s="1"/>
  <c r="F34" i="3"/>
  <c r="G34" i="3" s="1" a="1"/>
  <c r="G34" i="3" s="1"/>
  <c r="F33" i="3"/>
  <c r="G33" i="3" s="1" a="1"/>
  <c r="G33" i="3" s="1"/>
  <c r="F32" i="3"/>
  <c r="G32" i="3" s="1" a="1"/>
  <c r="G32" i="3" s="1"/>
  <c r="F31" i="3"/>
  <c r="G31" i="3" s="1" a="1"/>
  <c r="G31" i="3" s="1"/>
  <c r="F30" i="3"/>
  <c r="G30" i="3" s="1" a="1"/>
  <c r="G30" i="3" s="1"/>
  <c r="F29" i="3"/>
  <c r="G29" i="3" s="1" a="1"/>
  <c r="G29" i="3" s="1"/>
  <c r="F28" i="3"/>
  <c r="G28" i="3" s="1" a="1"/>
  <c r="G28" i="3" s="1"/>
  <c r="F27" i="3"/>
  <c r="G27" i="3" s="1" a="1"/>
  <c r="G27" i="3" s="1"/>
  <c r="F26" i="3"/>
  <c r="G26" i="3" s="1" a="1"/>
  <c r="G26" i="3" s="1"/>
  <c r="F25" i="3"/>
  <c r="G25" i="3" s="1" a="1"/>
  <c r="G25" i="3" s="1"/>
  <c r="F24" i="3"/>
  <c r="G24" i="3" s="1" a="1"/>
  <c r="G24" i="3" s="1"/>
  <c r="F23" i="3"/>
  <c r="G23" i="3" s="1" a="1"/>
  <c r="G23" i="3" s="1"/>
  <c r="F22" i="3"/>
  <c r="G22" i="3" s="1" a="1"/>
  <c r="G22" i="3" s="1"/>
  <c r="F21" i="3"/>
  <c r="G21" i="3" s="1" a="1"/>
  <c r="G21" i="3" s="1"/>
  <c r="F20" i="3"/>
  <c r="G20" i="3" s="1" a="1"/>
  <c r="G20" i="3" s="1"/>
  <c r="F19" i="3"/>
  <c r="G19" i="3" s="1" a="1"/>
  <c r="G19" i="3" s="1"/>
  <c r="F18" i="3"/>
  <c r="G18" i="3" s="1" a="1"/>
  <c r="G18" i="3" s="1"/>
  <c r="F17" i="3"/>
  <c r="G17" i="3" s="1" a="1"/>
  <c r="G17" i="3" s="1"/>
  <c r="F16" i="3"/>
  <c r="G16" i="3" s="1" a="1"/>
  <c r="G16" i="3" s="1"/>
  <c r="F15" i="3"/>
  <c r="G15" i="3" s="1" a="1"/>
  <c r="G15" i="3" s="1"/>
  <c r="F14" i="3"/>
  <c r="G14" i="3" s="1" a="1"/>
  <c r="G14" i="3" s="1"/>
  <c r="F13" i="3"/>
  <c r="G13" i="3" s="1" a="1"/>
  <c r="G13" i="3" s="1"/>
  <c r="F12" i="3"/>
  <c r="G12" i="3" s="1" a="1"/>
  <c r="G12" i="3" s="1"/>
  <c r="F11" i="3"/>
  <c r="G11" i="3" s="1" a="1"/>
  <c r="G11" i="3" s="1"/>
  <c r="F10" i="3"/>
  <c r="G10" i="3" s="1" a="1"/>
  <c r="G10" i="3" s="1"/>
  <c r="F9" i="3"/>
  <c r="G9" i="3" s="1" a="1"/>
  <c r="G9" i="3" s="1"/>
  <c r="F8" i="3"/>
  <c r="G8" i="3" s="1" a="1"/>
  <c r="G8" i="3" s="1"/>
  <c r="F7" i="3"/>
  <c r="G7" i="3" s="1" a="1"/>
  <c r="G7" i="3" s="1"/>
  <c r="F6" i="3"/>
  <c r="G6" i="3" s="1" a="1"/>
  <c r="G6" i="3" s="1"/>
  <c r="F5" i="3"/>
  <c r="G5" i="3" s="1" a="1"/>
  <c r="G5" i="3" s="1"/>
  <c r="F4" i="3"/>
  <c r="G4" i="3" s="1" a="1"/>
  <c r="G4" i="3" s="1"/>
  <c r="F3" i="3"/>
  <c r="G3" i="3" s="1" a="1"/>
  <c r="G3" i="3" s="1"/>
  <c r="D1201" i="3"/>
  <c r="E1201" i="3" s="1"/>
  <c r="D1200" i="3"/>
  <c r="E1200" i="3" s="1"/>
  <c r="D1199" i="3"/>
  <c r="E1199" i="3" s="1"/>
  <c r="D1198" i="3"/>
  <c r="E1198" i="3" s="1"/>
  <c r="D1197" i="3"/>
  <c r="E1197" i="3" s="1"/>
  <c r="D1196" i="3"/>
  <c r="E1196" i="3" s="1"/>
  <c r="D1195" i="3"/>
  <c r="E1195" i="3" s="1"/>
  <c r="D1194" i="3"/>
  <c r="E1194" i="3" s="1"/>
  <c r="D1193" i="3"/>
  <c r="E1193" i="3" s="1"/>
  <c r="D1192" i="3"/>
  <c r="E1192" i="3" s="1"/>
  <c r="D1191" i="3"/>
  <c r="E1191" i="3" s="1"/>
  <c r="D1190" i="3"/>
  <c r="E1190" i="3" s="1"/>
  <c r="D1189" i="3"/>
  <c r="E1189" i="3" s="1"/>
  <c r="D1188" i="3"/>
  <c r="E1188" i="3" s="1"/>
  <c r="D1187" i="3"/>
  <c r="E1187" i="3" s="1"/>
  <c r="D1186" i="3"/>
  <c r="E1186" i="3" s="1"/>
  <c r="D1185" i="3"/>
  <c r="E1185" i="3" s="1"/>
  <c r="D1184" i="3"/>
  <c r="E1184" i="3" s="1"/>
  <c r="D1183" i="3"/>
  <c r="E1183" i="3" s="1"/>
  <c r="D1182" i="3"/>
  <c r="E1182" i="3" s="1"/>
  <c r="D1181" i="3"/>
  <c r="E1181" i="3" s="1"/>
  <c r="D1180" i="3"/>
  <c r="E1180" i="3" s="1"/>
  <c r="D1179" i="3"/>
  <c r="E1179" i="3" s="1"/>
  <c r="D1178" i="3"/>
  <c r="E1178" i="3" s="1"/>
  <c r="D1177" i="3"/>
  <c r="E1177" i="3" s="1"/>
  <c r="D1176" i="3"/>
  <c r="E1176" i="3" s="1"/>
  <c r="D1175" i="3"/>
  <c r="E1175" i="3" s="1"/>
  <c r="D1174" i="3"/>
  <c r="E1174" i="3" s="1"/>
  <c r="D1173" i="3"/>
  <c r="E1173" i="3" s="1"/>
  <c r="D1172" i="3"/>
  <c r="E1172" i="3" s="1"/>
  <c r="D1171" i="3"/>
  <c r="E1171" i="3" s="1"/>
  <c r="D1170" i="3"/>
  <c r="E1170" i="3" s="1"/>
  <c r="D1169" i="3"/>
  <c r="E1169" i="3" s="1"/>
  <c r="D1168" i="3"/>
  <c r="E1168" i="3" s="1"/>
  <c r="D1167" i="3"/>
  <c r="E1167" i="3" s="1"/>
  <c r="D1166" i="3"/>
  <c r="E1166" i="3" s="1"/>
  <c r="D1165" i="3"/>
  <c r="E1165" i="3" s="1"/>
  <c r="D1164" i="3"/>
  <c r="E1164" i="3" s="1"/>
  <c r="D1163" i="3"/>
  <c r="E1163" i="3" s="1"/>
  <c r="D1162" i="3"/>
  <c r="E1162" i="3" s="1"/>
  <c r="D1161" i="3"/>
  <c r="E1161" i="3" s="1"/>
  <c r="D1160" i="3"/>
  <c r="E1160" i="3" s="1"/>
  <c r="D1159" i="3"/>
  <c r="E1159" i="3" s="1"/>
  <c r="D1158" i="3"/>
  <c r="E1158" i="3" s="1"/>
  <c r="D1157" i="3"/>
  <c r="E1157" i="3" s="1"/>
  <c r="D1156" i="3"/>
  <c r="E1156" i="3" s="1"/>
  <c r="D1155" i="3"/>
  <c r="E1155" i="3" s="1"/>
  <c r="D1154" i="3"/>
  <c r="E1154" i="3" s="1"/>
  <c r="D1153" i="3"/>
  <c r="E1153" i="3" s="1"/>
  <c r="D1152" i="3"/>
  <c r="E1152" i="3" s="1"/>
  <c r="D1151" i="3"/>
  <c r="E1151" i="3" s="1"/>
  <c r="D1150" i="3"/>
  <c r="E1150" i="3" s="1"/>
  <c r="D1149" i="3"/>
  <c r="E1149" i="3" s="1"/>
  <c r="D1148" i="3"/>
  <c r="E1148" i="3" s="1"/>
  <c r="D1147" i="3"/>
  <c r="E1147" i="3" s="1"/>
  <c r="D1146" i="3"/>
  <c r="E1146" i="3" s="1"/>
  <c r="D1145" i="3"/>
  <c r="E1145" i="3" s="1"/>
  <c r="D1144" i="3"/>
  <c r="E1144" i="3" s="1"/>
  <c r="D1143" i="3"/>
  <c r="E1143" i="3" s="1"/>
  <c r="D1142" i="3"/>
  <c r="E1142" i="3" s="1"/>
  <c r="D1141" i="3"/>
  <c r="E1141" i="3" s="1"/>
  <c r="D1140" i="3"/>
  <c r="E1140" i="3" s="1"/>
  <c r="D1139" i="3"/>
  <c r="E1139" i="3" s="1"/>
  <c r="D1138" i="3"/>
  <c r="E1138" i="3" s="1"/>
  <c r="D1137" i="3"/>
  <c r="E1137" i="3" s="1"/>
  <c r="D1136" i="3"/>
  <c r="E1136" i="3" s="1"/>
  <c r="D1135" i="3"/>
  <c r="E1135" i="3" s="1"/>
  <c r="D1134" i="3"/>
  <c r="E1134" i="3" s="1"/>
  <c r="D1133" i="3"/>
  <c r="E1133" i="3" s="1"/>
  <c r="D1132" i="3"/>
  <c r="E1132" i="3" s="1"/>
  <c r="D1131" i="3"/>
  <c r="E1131" i="3" s="1"/>
  <c r="D1130" i="3"/>
  <c r="E1130" i="3" s="1"/>
  <c r="D1129" i="3"/>
  <c r="E1129" i="3" s="1"/>
  <c r="D1128" i="3"/>
  <c r="E1128" i="3" s="1"/>
  <c r="D1127" i="3"/>
  <c r="E1127" i="3" s="1"/>
  <c r="D1126" i="3"/>
  <c r="E1126" i="3" s="1"/>
  <c r="D1125" i="3"/>
  <c r="E1125" i="3" s="1"/>
  <c r="D1124" i="3"/>
  <c r="E1124" i="3" s="1"/>
  <c r="D1123" i="3"/>
  <c r="E1123" i="3" s="1"/>
  <c r="D1122" i="3"/>
  <c r="E1122" i="3" s="1"/>
  <c r="D1121" i="3"/>
  <c r="E1121" i="3" s="1"/>
  <c r="D1120" i="3"/>
  <c r="E1120" i="3" s="1"/>
  <c r="D1119" i="3"/>
  <c r="E1119" i="3" s="1"/>
  <c r="D1118" i="3"/>
  <c r="E1118" i="3" s="1"/>
  <c r="D1117" i="3"/>
  <c r="E1117" i="3" s="1"/>
  <c r="D1116" i="3"/>
  <c r="E1116" i="3" s="1"/>
  <c r="D1115" i="3"/>
  <c r="E1115" i="3" s="1"/>
  <c r="D1114" i="3"/>
  <c r="E1114" i="3" s="1"/>
  <c r="D1113" i="3"/>
  <c r="E1113" i="3" s="1"/>
  <c r="D1112" i="3"/>
  <c r="E1112" i="3" s="1"/>
  <c r="D1111" i="3"/>
  <c r="E1111" i="3" s="1"/>
  <c r="D1110" i="3"/>
  <c r="E1110" i="3" s="1"/>
  <c r="D1109" i="3"/>
  <c r="E1109" i="3" s="1"/>
  <c r="D1108" i="3"/>
  <c r="E1108" i="3" s="1"/>
  <c r="D1107" i="3"/>
  <c r="E1107" i="3" s="1"/>
  <c r="D1106" i="3"/>
  <c r="E1106" i="3" s="1"/>
  <c r="D1105" i="3"/>
  <c r="E1105" i="3" s="1"/>
  <c r="D1104" i="3"/>
  <c r="E1104" i="3" s="1"/>
  <c r="D1103" i="3"/>
  <c r="E1103" i="3" s="1"/>
  <c r="D1102" i="3"/>
  <c r="E1102" i="3" s="1"/>
  <c r="D1101" i="3"/>
  <c r="E1101" i="3" s="1"/>
  <c r="D1100" i="3"/>
  <c r="E1100" i="3" s="1"/>
  <c r="D1099" i="3"/>
  <c r="E1099" i="3" s="1"/>
  <c r="D1098" i="3"/>
  <c r="E1098" i="3" s="1"/>
  <c r="D1097" i="3"/>
  <c r="E1097" i="3" s="1"/>
  <c r="D1096" i="3"/>
  <c r="E1096" i="3" s="1"/>
  <c r="D1095" i="3"/>
  <c r="E1095" i="3" s="1"/>
  <c r="D1094" i="3"/>
  <c r="E1094" i="3" s="1"/>
  <c r="D1093" i="3"/>
  <c r="E1093" i="3" s="1"/>
  <c r="D1092" i="3"/>
  <c r="E1092" i="3" s="1"/>
  <c r="D1091" i="3"/>
  <c r="E1091" i="3" s="1"/>
  <c r="D1090" i="3"/>
  <c r="E1090" i="3" s="1"/>
  <c r="D1089" i="3"/>
  <c r="E1089" i="3" s="1"/>
  <c r="D1088" i="3"/>
  <c r="E1088" i="3" s="1"/>
  <c r="D1087" i="3"/>
  <c r="E1087" i="3" s="1"/>
  <c r="D1086" i="3"/>
  <c r="E1086" i="3" s="1"/>
  <c r="D1085" i="3"/>
  <c r="E1085" i="3" s="1"/>
  <c r="D1084" i="3"/>
  <c r="E1084" i="3" s="1"/>
  <c r="D1083" i="3"/>
  <c r="E1083" i="3" s="1"/>
  <c r="D1082" i="3"/>
  <c r="E1082" i="3" s="1"/>
  <c r="D1081" i="3"/>
  <c r="E1081" i="3" s="1"/>
  <c r="D1080" i="3"/>
  <c r="E1080" i="3" s="1"/>
  <c r="D1079" i="3"/>
  <c r="E1079" i="3" s="1"/>
  <c r="D1078" i="3"/>
  <c r="E1078" i="3" s="1"/>
  <c r="D1077" i="3"/>
  <c r="E1077" i="3" s="1"/>
  <c r="D1076" i="3"/>
  <c r="E1076" i="3" s="1"/>
  <c r="D1075" i="3"/>
  <c r="E1075" i="3" s="1"/>
  <c r="D1074" i="3"/>
  <c r="E1074" i="3" s="1"/>
  <c r="D1073" i="3"/>
  <c r="E1073" i="3" s="1"/>
  <c r="D1072" i="3"/>
  <c r="E1072" i="3" s="1"/>
  <c r="D1071" i="3"/>
  <c r="E1071" i="3" s="1"/>
  <c r="D1070" i="3"/>
  <c r="E1070" i="3" s="1"/>
  <c r="D1069" i="3"/>
  <c r="E1069" i="3" s="1"/>
  <c r="D1068" i="3"/>
  <c r="E1068" i="3" s="1"/>
  <c r="D1067" i="3"/>
  <c r="E1067" i="3" s="1"/>
  <c r="D1066" i="3"/>
  <c r="E1066" i="3" s="1"/>
  <c r="D1065" i="3"/>
  <c r="E1065" i="3" s="1"/>
  <c r="D1064" i="3"/>
  <c r="E1064" i="3" s="1"/>
  <c r="D1063" i="3"/>
  <c r="E1063" i="3" s="1"/>
  <c r="D1062" i="3"/>
  <c r="E1062" i="3" s="1"/>
  <c r="D1061" i="3"/>
  <c r="E1061" i="3" s="1"/>
  <c r="D1060" i="3"/>
  <c r="E1060" i="3" s="1"/>
  <c r="D1059" i="3"/>
  <c r="E1059" i="3" s="1"/>
  <c r="D1058" i="3"/>
  <c r="E1058" i="3" s="1"/>
  <c r="D1057" i="3"/>
  <c r="E1057" i="3" s="1"/>
  <c r="D1056" i="3"/>
  <c r="E1056" i="3" s="1"/>
  <c r="D1055" i="3"/>
  <c r="E1055" i="3" s="1"/>
  <c r="D1054" i="3"/>
  <c r="E1054" i="3" s="1"/>
  <c r="D1053" i="3"/>
  <c r="E1053" i="3" s="1"/>
  <c r="D1052" i="3"/>
  <c r="E1052" i="3" s="1"/>
  <c r="D1051" i="3"/>
  <c r="E1051" i="3" s="1"/>
  <c r="D1050" i="3"/>
  <c r="E1050" i="3" s="1"/>
  <c r="D1049" i="3"/>
  <c r="E1049" i="3" s="1"/>
  <c r="D1048" i="3"/>
  <c r="E1048" i="3" s="1"/>
  <c r="D1047" i="3"/>
  <c r="E1047" i="3" s="1"/>
  <c r="D1046" i="3"/>
  <c r="E1046" i="3" s="1"/>
  <c r="D1045" i="3"/>
  <c r="E1045" i="3" s="1"/>
  <c r="D1044" i="3"/>
  <c r="E1044" i="3" s="1"/>
  <c r="D1043" i="3"/>
  <c r="E1043" i="3" s="1"/>
  <c r="D1042" i="3"/>
  <c r="E1042" i="3" s="1"/>
  <c r="D1041" i="3"/>
  <c r="E1041" i="3" s="1"/>
  <c r="D1040" i="3"/>
  <c r="E1040" i="3" s="1"/>
  <c r="D1039" i="3"/>
  <c r="E1039" i="3" s="1"/>
  <c r="D1038" i="3"/>
  <c r="E1038" i="3" s="1"/>
  <c r="D1037" i="3"/>
  <c r="E1037" i="3" s="1"/>
  <c r="D1036" i="3"/>
  <c r="E1036" i="3" s="1"/>
  <c r="D1035" i="3"/>
  <c r="E1035" i="3" s="1"/>
  <c r="D1034" i="3"/>
  <c r="E1034" i="3" s="1"/>
  <c r="D1033" i="3"/>
  <c r="E1033" i="3" s="1"/>
  <c r="D1032" i="3"/>
  <c r="E1032" i="3" s="1"/>
  <c r="D1031" i="3"/>
  <c r="E1031" i="3" s="1"/>
  <c r="D1030" i="3"/>
  <c r="E1030" i="3" s="1"/>
  <c r="D1029" i="3"/>
  <c r="E1029" i="3" s="1"/>
  <c r="D1028" i="3"/>
  <c r="E1028" i="3" s="1"/>
  <c r="D1027" i="3"/>
  <c r="E1027" i="3" s="1"/>
  <c r="D1026" i="3"/>
  <c r="E1026" i="3" s="1"/>
  <c r="D1025" i="3"/>
  <c r="E1025" i="3" s="1"/>
  <c r="D1024" i="3"/>
  <c r="E1024" i="3" s="1"/>
  <c r="D1023" i="3"/>
  <c r="E1023" i="3" s="1"/>
  <c r="D1022" i="3"/>
  <c r="E1022" i="3" s="1"/>
  <c r="D1021" i="3"/>
  <c r="E1021" i="3" s="1"/>
  <c r="D1020" i="3"/>
  <c r="E1020" i="3" s="1"/>
  <c r="D1019" i="3"/>
  <c r="E1019" i="3" s="1"/>
  <c r="D1018" i="3"/>
  <c r="E1018" i="3" s="1"/>
  <c r="D1017" i="3"/>
  <c r="E1017" i="3" s="1"/>
  <c r="D1016" i="3"/>
  <c r="E1016" i="3" s="1"/>
  <c r="D1015" i="3"/>
  <c r="E1015" i="3" s="1"/>
  <c r="D1014" i="3"/>
  <c r="E1014" i="3" s="1"/>
  <c r="D1013" i="3"/>
  <c r="E1013" i="3" s="1"/>
  <c r="D1012" i="3"/>
  <c r="E1012" i="3" s="1"/>
  <c r="D1011" i="3"/>
  <c r="E1011" i="3" s="1"/>
  <c r="D1010" i="3"/>
  <c r="E1010" i="3" s="1"/>
  <c r="D1009" i="3"/>
  <c r="E1009" i="3" s="1"/>
  <c r="D1008" i="3"/>
  <c r="E1008" i="3" s="1"/>
  <c r="D1007" i="3"/>
  <c r="E1007" i="3" s="1"/>
  <c r="D1006" i="3"/>
  <c r="E1006" i="3" s="1"/>
  <c r="D1005" i="3"/>
  <c r="E1005" i="3" s="1"/>
  <c r="D1004" i="3"/>
  <c r="E1004" i="3" s="1"/>
  <c r="D1003" i="3"/>
  <c r="E1003" i="3" s="1"/>
  <c r="D1002" i="3"/>
  <c r="E1002" i="3" s="1"/>
  <c r="D1001" i="3"/>
  <c r="E1001" i="3" s="1"/>
  <c r="D1000" i="3"/>
  <c r="E1000" i="3" s="1"/>
  <c r="D999" i="3"/>
  <c r="E999" i="3" s="1"/>
  <c r="D998" i="3"/>
  <c r="E998" i="3" s="1"/>
  <c r="D997" i="3"/>
  <c r="E997" i="3" s="1"/>
  <c r="D996" i="3"/>
  <c r="E996" i="3" s="1"/>
  <c r="D995" i="3"/>
  <c r="E995" i="3" s="1"/>
  <c r="D994" i="3"/>
  <c r="E994" i="3" s="1"/>
  <c r="D993" i="3"/>
  <c r="E993" i="3" s="1"/>
  <c r="D992" i="3"/>
  <c r="E992" i="3" s="1"/>
  <c r="D991" i="3"/>
  <c r="E991" i="3" s="1"/>
  <c r="D990" i="3"/>
  <c r="E990" i="3" s="1"/>
  <c r="D989" i="3"/>
  <c r="E989" i="3" s="1"/>
  <c r="D988" i="3"/>
  <c r="E988" i="3" s="1"/>
  <c r="D987" i="3"/>
  <c r="E987" i="3" s="1"/>
  <c r="D986" i="3"/>
  <c r="E986" i="3" s="1"/>
  <c r="D985" i="3"/>
  <c r="E985" i="3" s="1"/>
  <c r="D984" i="3"/>
  <c r="E984" i="3" s="1"/>
  <c r="D983" i="3"/>
  <c r="E983" i="3" s="1"/>
  <c r="D982" i="3"/>
  <c r="E982" i="3" s="1"/>
  <c r="D981" i="3"/>
  <c r="E981" i="3" s="1"/>
  <c r="D980" i="3"/>
  <c r="E980" i="3" s="1"/>
  <c r="D979" i="3"/>
  <c r="E979" i="3" s="1"/>
  <c r="D978" i="3"/>
  <c r="E978" i="3" s="1"/>
  <c r="D977" i="3"/>
  <c r="E977" i="3" s="1"/>
  <c r="D976" i="3"/>
  <c r="E976" i="3" s="1"/>
  <c r="D975" i="3"/>
  <c r="E975" i="3" s="1"/>
  <c r="D974" i="3"/>
  <c r="E974" i="3" s="1"/>
  <c r="D973" i="3"/>
  <c r="E973" i="3" s="1"/>
  <c r="D972" i="3"/>
  <c r="E972" i="3" s="1"/>
  <c r="D971" i="3"/>
  <c r="E971" i="3" s="1"/>
  <c r="D970" i="3"/>
  <c r="E970" i="3" s="1"/>
  <c r="D969" i="3"/>
  <c r="E969" i="3" s="1"/>
  <c r="D968" i="3"/>
  <c r="E968" i="3" s="1"/>
  <c r="D967" i="3"/>
  <c r="E967" i="3" s="1"/>
  <c r="D966" i="3"/>
  <c r="E966" i="3" s="1"/>
  <c r="D965" i="3"/>
  <c r="E965" i="3" s="1"/>
  <c r="D964" i="3"/>
  <c r="E964" i="3" s="1"/>
  <c r="D963" i="3"/>
  <c r="E963" i="3" s="1"/>
  <c r="D962" i="3"/>
  <c r="E962" i="3" s="1"/>
  <c r="D961" i="3"/>
  <c r="E961" i="3" s="1"/>
  <c r="D960" i="3"/>
  <c r="E960" i="3" s="1"/>
  <c r="D959" i="3"/>
  <c r="E959" i="3" s="1"/>
  <c r="D958" i="3"/>
  <c r="E958" i="3" s="1"/>
  <c r="D957" i="3"/>
  <c r="E957" i="3" s="1"/>
  <c r="D956" i="3"/>
  <c r="E956" i="3" s="1"/>
  <c r="D955" i="3"/>
  <c r="E955" i="3" s="1"/>
  <c r="D954" i="3"/>
  <c r="E954" i="3" s="1"/>
  <c r="D953" i="3"/>
  <c r="E953" i="3" s="1"/>
  <c r="D952" i="3"/>
  <c r="E952" i="3" s="1"/>
  <c r="D951" i="3"/>
  <c r="E951" i="3" s="1"/>
  <c r="D950" i="3"/>
  <c r="E950" i="3" s="1"/>
  <c r="D949" i="3"/>
  <c r="E949" i="3" s="1"/>
  <c r="D948" i="3"/>
  <c r="E948" i="3" s="1"/>
  <c r="D947" i="3"/>
  <c r="E947" i="3" s="1"/>
  <c r="D946" i="3"/>
  <c r="E946" i="3" s="1"/>
  <c r="D945" i="3"/>
  <c r="E945" i="3" s="1"/>
  <c r="D944" i="3"/>
  <c r="E944" i="3" s="1"/>
  <c r="D943" i="3"/>
  <c r="E943" i="3" s="1"/>
  <c r="D942" i="3"/>
  <c r="E942" i="3" s="1"/>
  <c r="D941" i="3"/>
  <c r="E941" i="3" s="1"/>
  <c r="D940" i="3"/>
  <c r="E940" i="3" s="1"/>
  <c r="D939" i="3"/>
  <c r="E939" i="3" s="1"/>
  <c r="D938" i="3"/>
  <c r="E938" i="3" s="1"/>
  <c r="D937" i="3"/>
  <c r="E937" i="3" s="1"/>
  <c r="D936" i="3"/>
  <c r="E936" i="3" s="1"/>
  <c r="D935" i="3"/>
  <c r="E935" i="3" s="1"/>
  <c r="D934" i="3"/>
  <c r="E934" i="3" s="1"/>
  <c r="D933" i="3"/>
  <c r="E933" i="3" s="1"/>
  <c r="D932" i="3"/>
  <c r="E932" i="3" s="1"/>
  <c r="D931" i="3"/>
  <c r="E931" i="3" s="1"/>
  <c r="D930" i="3"/>
  <c r="E930" i="3" s="1"/>
  <c r="D929" i="3"/>
  <c r="E929" i="3" s="1"/>
  <c r="D928" i="3"/>
  <c r="E928" i="3" s="1"/>
  <c r="D927" i="3"/>
  <c r="E927" i="3" s="1"/>
  <c r="D926" i="3"/>
  <c r="E926" i="3" s="1"/>
  <c r="D925" i="3"/>
  <c r="E925" i="3" s="1"/>
  <c r="D924" i="3"/>
  <c r="E924" i="3" s="1"/>
  <c r="D923" i="3"/>
  <c r="E923" i="3" s="1"/>
  <c r="D922" i="3"/>
  <c r="E922" i="3" s="1"/>
  <c r="D921" i="3"/>
  <c r="E921" i="3" s="1"/>
  <c r="D920" i="3"/>
  <c r="E920" i="3" s="1"/>
  <c r="D919" i="3"/>
  <c r="E919" i="3" s="1"/>
  <c r="D918" i="3"/>
  <c r="E918" i="3" s="1"/>
  <c r="D917" i="3"/>
  <c r="E917" i="3" s="1"/>
  <c r="D916" i="3"/>
  <c r="E916" i="3" s="1"/>
  <c r="D915" i="3"/>
  <c r="E915" i="3" s="1"/>
  <c r="D914" i="3"/>
  <c r="E914" i="3" s="1"/>
  <c r="D913" i="3"/>
  <c r="E913" i="3" s="1"/>
  <c r="D912" i="3"/>
  <c r="E912" i="3" s="1"/>
  <c r="D911" i="3"/>
  <c r="E911" i="3" s="1"/>
  <c r="D910" i="3"/>
  <c r="E910" i="3" s="1"/>
  <c r="D909" i="3"/>
  <c r="E909" i="3" s="1"/>
  <c r="D908" i="3"/>
  <c r="E908" i="3" s="1"/>
  <c r="D907" i="3"/>
  <c r="E907" i="3" s="1"/>
  <c r="D906" i="3"/>
  <c r="E906" i="3" s="1"/>
  <c r="D905" i="3"/>
  <c r="E905" i="3" s="1"/>
  <c r="D904" i="3"/>
  <c r="E904" i="3" s="1"/>
  <c r="D903" i="3"/>
  <c r="E903" i="3" s="1"/>
  <c r="D902" i="3"/>
  <c r="E902" i="3" s="1"/>
  <c r="D901" i="3"/>
  <c r="E901" i="3" s="1"/>
  <c r="D900" i="3"/>
  <c r="E900" i="3" s="1"/>
  <c r="D899" i="3"/>
  <c r="E899" i="3" s="1"/>
  <c r="D898" i="3"/>
  <c r="E898" i="3" s="1"/>
  <c r="D897" i="3"/>
  <c r="E897" i="3" s="1"/>
  <c r="D896" i="3"/>
  <c r="E896" i="3" s="1"/>
  <c r="D895" i="3"/>
  <c r="E895" i="3" s="1"/>
  <c r="D894" i="3"/>
  <c r="E894" i="3" s="1"/>
  <c r="D893" i="3"/>
  <c r="E893" i="3" s="1"/>
  <c r="D892" i="3"/>
  <c r="E892" i="3" s="1"/>
  <c r="D891" i="3"/>
  <c r="E891" i="3" s="1"/>
  <c r="D890" i="3"/>
  <c r="E890" i="3" s="1"/>
  <c r="D889" i="3"/>
  <c r="E889" i="3" s="1"/>
  <c r="D888" i="3"/>
  <c r="E888" i="3" s="1"/>
  <c r="D887" i="3"/>
  <c r="E887" i="3" s="1"/>
  <c r="D886" i="3"/>
  <c r="E886" i="3" s="1"/>
  <c r="D885" i="3"/>
  <c r="E885" i="3" s="1"/>
  <c r="D884" i="3"/>
  <c r="E884" i="3" s="1"/>
  <c r="D883" i="3"/>
  <c r="E883" i="3" s="1"/>
  <c r="D882" i="3"/>
  <c r="E882" i="3" s="1"/>
  <c r="D881" i="3"/>
  <c r="E881" i="3" s="1"/>
  <c r="D880" i="3"/>
  <c r="E880" i="3" s="1"/>
  <c r="D879" i="3"/>
  <c r="E879" i="3" s="1"/>
  <c r="D878" i="3"/>
  <c r="E878" i="3" s="1"/>
  <c r="D877" i="3"/>
  <c r="E877" i="3" s="1"/>
  <c r="D876" i="3"/>
  <c r="E876" i="3" s="1"/>
  <c r="D875" i="3"/>
  <c r="E875" i="3" s="1"/>
  <c r="D874" i="3"/>
  <c r="E874" i="3" s="1"/>
  <c r="D873" i="3"/>
  <c r="E873" i="3" s="1"/>
  <c r="D872" i="3"/>
  <c r="E872" i="3" s="1"/>
  <c r="D871" i="3"/>
  <c r="E871" i="3" s="1"/>
  <c r="D870" i="3"/>
  <c r="E870" i="3" s="1"/>
  <c r="D869" i="3"/>
  <c r="E869" i="3" s="1"/>
  <c r="D868" i="3"/>
  <c r="E868" i="3" s="1"/>
  <c r="D867" i="3"/>
  <c r="E867" i="3" s="1"/>
  <c r="D866" i="3"/>
  <c r="E866" i="3" s="1"/>
  <c r="D865" i="3"/>
  <c r="E865" i="3" s="1"/>
  <c r="D864" i="3"/>
  <c r="E864" i="3" s="1"/>
  <c r="D863" i="3"/>
  <c r="E863" i="3" s="1"/>
  <c r="D862" i="3"/>
  <c r="E862" i="3" s="1"/>
  <c r="D861" i="3"/>
  <c r="E861" i="3" s="1"/>
  <c r="D860" i="3"/>
  <c r="E860" i="3" s="1"/>
  <c r="D859" i="3"/>
  <c r="E859" i="3" s="1"/>
  <c r="D858" i="3"/>
  <c r="E858" i="3" s="1"/>
  <c r="D857" i="3"/>
  <c r="E857" i="3" s="1"/>
  <c r="D856" i="3"/>
  <c r="E856" i="3" s="1"/>
  <c r="D855" i="3"/>
  <c r="E855" i="3" s="1"/>
  <c r="D854" i="3"/>
  <c r="E854" i="3" s="1"/>
  <c r="D853" i="3"/>
  <c r="E853" i="3" s="1"/>
  <c r="D852" i="3"/>
  <c r="E852" i="3" s="1"/>
  <c r="D851" i="3"/>
  <c r="E851" i="3" s="1"/>
  <c r="D850" i="3"/>
  <c r="E850" i="3" s="1"/>
  <c r="D849" i="3"/>
  <c r="E849" i="3" s="1"/>
  <c r="D848" i="3"/>
  <c r="E848" i="3" s="1"/>
  <c r="D847" i="3"/>
  <c r="E847" i="3" s="1"/>
  <c r="D846" i="3"/>
  <c r="E846" i="3" s="1"/>
  <c r="D845" i="3"/>
  <c r="E845" i="3" s="1"/>
  <c r="D844" i="3"/>
  <c r="E844" i="3" s="1"/>
  <c r="D843" i="3"/>
  <c r="E843" i="3" s="1"/>
  <c r="D842" i="3"/>
  <c r="E842" i="3" s="1"/>
  <c r="D841" i="3"/>
  <c r="E841" i="3" s="1"/>
  <c r="D840" i="3"/>
  <c r="E840" i="3" s="1"/>
  <c r="D839" i="3"/>
  <c r="E839" i="3" s="1"/>
  <c r="D838" i="3"/>
  <c r="E838" i="3" s="1"/>
  <c r="D837" i="3"/>
  <c r="E837" i="3" s="1"/>
  <c r="D836" i="3"/>
  <c r="E836" i="3" s="1"/>
  <c r="D835" i="3"/>
  <c r="E835" i="3" s="1"/>
  <c r="D834" i="3"/>
  <c r="E834" i="3" s="1"/>
  <c r="D833" i="3"/>
  <c r="E833" i="3" s="1"/>
  <c r="D832" i="3"/>
  <c r="E832" i="3" s="1"/>
  <c r="D831" i="3"/>
  <c r="E831" i="3" s="1"/>
  <c r="D830" i="3"/>
  <c r="E830" i="3" s="1"/>
  <c r="D829" i="3"/>
  <c r="E829" i="3" s="1"/>
  <c r="D828" i="3"/>
  <c r="E828" i="3" s="1"/>
  <c r="D827" i="3"/>
  <c r="E827" i="3" s="1"/>
  <c r="D826" i="3"/>
  <c r="E826" i="3" s="1"/>
  <c r="D825" i="3"/>
  <c r="E825" i="3" s="1"/>
  <c r="D824" i="3"/>
  <c r="E824" i="3" s="1"/>
  <c r="D823" i="3"/>
  <c r="E823" i="3" s="1"/>
  <c r="D822" i="3"/>
  <c r="E822" i="3" s="1"/>
  <c r="D821" i="3"/>
  <c r="E821" i="3" s="1"/>
  <c r="D820" i="3"/>
  <c r="E820" i="3" s="1"/>
  <c r="D819" i="3"/>
  <c r="E819" i="3" s="1"/>
  <c r="D818" i="3"/>
  <c r="E818" i="3" s="1"/>
  <c r="D817" i="3"/>
  <c r="E817" i="3" s="1"/>
  <c r="D816" i="3"/>
  <c r="E816" i="3" s="1"/>
  <c r="D815" i="3"/>
  <c r="E815" i="3" s="1"/>
  <c r="D814" i="3"/>
  <c r="E814" i="3" s="1"/>
  <c r="D813" i="3"/>
  <c r="E813" i="3" s="1"/>
  <c r="D812" i="3"/>
  <c r="E812" i="3" s="1"/>
  <c r="D811" i="3"/>
  <c r="E811" i="3" s="1"/>
  <c r="D810" i="3"/>
  <c r="E810" i="3" s="1"/>
  <c r="D809" i="3"/>
  <c r="E809" i="3" s="1"/>
  <c r="D808" i="3"/>
  <c r="E808" i="3" s="1"/>
  <c r="D807" i="3"/>
  <c r="E807" i="3" s="1"/>
  <c r="D806" i="3"/>
  <c r="E806" i="3" s="1"/>
  <c r="D805" i="3"/>
  <c r="E805" i="3" s="1"/>
  <c r="D804" i="3"/>
  <c r="E804" i="3" s="1"/>
  <c r="D803" i="3"/>
  <c r="E803" i="3" s="1"/>
  <c r="D802" i="3"/>
  <c r="E802" i="3" s="1"/>
  <c r="D801" i="3"/>
  <c r="E801" i="3" s="1"/>
  <c r="D800" i="3"/>
  <c r="E800" i="3" s="1"/>
  <c r="D799" i="3"/>
  <c r="E799" i="3" s="1"/>
  <c r="D798" i="3"/>
  <c r="E798" i="3" s="1"/>
  <c r="D797" i="3"/>
  <c r="E797" i="3" s="1"/>
  <c r="D796" i="3"/>
  <c r="E796" i="3" s="1"/>
  <c r="D795" i="3"/>
  <c r="E795" i="3" s="1"/>
  <c r="D794" i="3"/>
  <c r="E794" i="3" s="1"/>
  <c r="D793" i="3"/>
  <c r="E793" i="3" s="1"/>
  <c r="D792" i="3"/>
  <c r="E792" i="3" s="1"/>
  <c r="D791" i="3"/>
  <c r="E791" i="3" s="1"/>
  <c r="D790" i="3"/>
  <c r="E790" i="3" s="1"/>
  <c r="D789" i="3"/>
  <c r="E789" i="3" s="1"/>
  <c r="D788" i="3"/>
  <c r="E788" i="3" s="1"/>
  <c r="D787" i="3"/>
  <c r="E787" i="3" s="1"/>
  <c r="D786" i="3"/>
  <c r="E786" i="3" s="1"/>
  <c r="D785" i="3"/>
  <c r="E785" i="3" s="1"/>
  <c r="D784" i="3"/>
  <c r="E784" i="3" s="1"/>
  <c r="D783" i="3"/>
  <c r="E783" i="3" s="1"/>
  <c r="D782" i="3"/>
  <c r="E782" i="3" s="1"/>
  <c r="D781" i="3"/>
  <c r="E781" i="3" s="1"/>
  <c r="D780" i="3"/>
  <c r="E780" i="3" s="1"/>
  <c r="D779" i="3"/>
  <c r="E779" i="3" s="1"/>
  <c r="D778" i="3"/>
  <c r="E778" i="3" s="1"/>
  <c r="D777" i="3"/>
  <c r="E777" i="3" s="1"/>
  <c r="D776" i="3"/>
  <c r="E776" i="3" s="1"/>
  <c r="D775" i="3"/>
  <c r="E775" i="3" s="1"/>
  <c r="D774" i="3"/>
  <c r="E774" i="3" s="1"/>
  <c r="D773" i="3"/>
  <c r="E773" i="3" s="1"/>
  <c r="D772" i="3"/>
  <c r="E772" i="3" s="1"/>
  <c r="D771" i="3"/>
  <c r="E771" i="3" s="1"/>
  <c r="D770" i="3"/>
  <c r="E770" i="3" s="1"/>
  <c r="D769" i="3"/>
  <c r="E769" i="3" s="1"/>
  <c r="D768" i="3"/>
  <c r="E768" i="3" s="1"/>
  <c r="D767" i="3"/>
  <c r="E767" i="3" s="1"/>
  <c r="D766" i="3"/>
  <c r="E766" i="3" s="1"/>
  <c r="D765" i="3"/>
  <c r="E765" i="3" s="1"/>
  <c r="D764" i="3"/>
  <c r="E764" i="3" s="1"/>
  <c r="D763" i="3"/>
  <c r="E763" i="3" s="1"/>
  <c r="D762" i="3"/>
  <c r="E762" i="3" s="1"/>
  <c r="D761" i="3"/>
  <c r="E761" i="3" s="1"/>
  <c r="D760" i="3"/>
  <c r="E760" i="3" s="1"/>
  <c r="D759" i="3"/>
  <c r="E759" i="3" s="1"/>
  <c r="D758" i="3"/>
  <c r="E758" i="3" s="1"/>
  <c r="D757" i="3"/>
  <c r="E757" i="3" s="1"/>
  <c r="D756" i="3"/>
  <c r="E756" i="3" s="1"/>
  <c r="D755" i="3"/>
  <c r="E755" i="3" s="1"/>
  <c r="D754" i="3"/>
  <c r="E754" i="3" s="1"/>
  <c r="D753" i="3"/>
  <c r="E753" i="3" s="1"/>
  <c r="D752" i="3"/>
  <c r="E752" i="3" s="1"/>
  <c r="D751" i="3"/>
  <c r="E751" i="3" s="1"/>
  <c r="D750" i="3"/>
  <c r="E750" i="3" s="1"/>
  <c r="D749" i="3"/>
  <c r="E749" i="3" s="1"/>
  <c r="D748" i="3"/>
  <c r="E748" i="3" s="1"/>
  <c r="D747" i="3"/>
  <c r="E747" i="3" s="1"/>
  <c r="D746" i="3"/>
  <c r="E746" i="3" s="1"/>
  <c r="D745" i="3"/>
  <c r="E745" i="3" s="1"/>
  <c r="D744" i="3"/>
  <c r="E744" i="3" s="1"/>
  <c r="D743" i="3"/>
  <c r="E743" i="3" s="1"/>
  <c r="D742" i="3"/>
  <c r="E742" i="3" s="1"/>
  <c r="D741" i="3"/>
  <c r="E741" i="3" s="1"/>
  <c r="D740" i="3"/>
  <c r="E740" i="3" s="1"/>
  <c r="D739" i="3"/>
  <c r="E739" i="3" s="1"/>
  <c r="D738" i="3"/>
  <c r="E738" i="3" s="1"/>
  <c r="D737" i="3"/>
  <c r="E737" i="3" s="1"/>
  <c r="D736" i="3"/>
  <c r="E736" i="3" s="1"/>
  <c r="D735" i="3"/>
  <c r="E735" i="3" s="1"/>
  <c r="D734" i="3"/>
  <c r="E734" i="3" s="1"/>
  <c r="D733" i="3"/>
  <c r="E733" i="3" s="1"/>
  <c r="D732" i="3"/>
  <c r="E732" i="3" s="1"/>
  <c r="D731" i="3"/>
  <c r="E731" i="3" s="1"/>
  <c r="D730" i="3"/>
  <c r="E730" i="3" s="1"/>
  <c r="D729" i="3"/>
  <c r="E729" i="3" s="1"/>
  <c r="D728" i="3"/>
  <c r="E728" i="3" s="1"/>
  <c r="D727" i="3"/>
  <c r="E727" i="3" s="1"/>
  <c r="D726" i="3"/>
  <c r="E726" i="3" s="1"/>
  <c r="D725" i="3"/>
  <c r="E725" i="3" s="1"/>
  <c r="D724" i="3"/>
  <c r="E724" i="3" s="1"/>
  <c r="D723" i="3"/>
  <c r="E723" i="3" s="1"/>
  <c r="D722" i="3"/>
  <c r="E722" i="3" s="1"/>
  <c r="D721" i="3"/>
  <c r="E721" i="3" s="1"/>
  <c r="D720" i="3"/>
  <c r="E720" i="3" s="1"/>
  <c r="D719" i="3"/>
  <c r="E719" i="3" s="1"/>
  <c r="D718" i="3"/>
  <c r="E718" i="3" s="1"/>
  <c r="D717" i="3"/>
  <c r="E717" i="3" s="1"/>
  <c r="D716" i="3"/>
  <c r="E716" i="3" s="1"/>
  <c r="D715" i="3"/>
  <c r="E715" i="3" s="1"/>
  <c r="D714" i="3"/>
  <c r="E714" i="3" s="1"/>
  <c r="D713" i="3"/>
  <c r="E713" i="3" s="1"/>
  <c r="D712" i="3"/>
  <c r="E712" i="3" s="1"/>
  <c r="D711" i="3"/>
  <c r="E711" i="3" s="1"/>
  <c r="D710" i="3"/>
  <c r="E710" i="3" s="1"/>
  <c r="D709" i="3"/>
  <c r="E709" i="3" s="1"/>
  <c r="D708" i="3"/>
  <c r="E708" i="3" s="1"/>
  <c r="D707" i="3"/>
  <c r="E707" i="3" s="1"/>
  <c r="D706" i="3"/>
  <c r="E706" i="3" s="1"/>
  <c r="D705" i="3"/>
  <c r="E705" i="3" s="1"/>
  <c r="D704" i="3"/>
  <c r="E704" i="3" s="1"/>
  <c r="D703" i="3"/>
  <c r="E703" i="3" s="1"/>
  <c r="D702" i="3"/>
  <c r="E702" i="3" s="1"/>
  <c r="D701" i="3"/>
  <c r="E701" i="3" s="1"/>
  <c r="D700" i="3"/>
  <c r="E700" i="3" s="1"/>
  <c r="D699" i="3"/>
  <c r="E699" i="3" s="1"/>
  <c r="D698" i="3"/>
  <c r="E698" i="3" s="1"/>
  <c r="D697" i="3"/>
  <c r="E697" i="3" s="1"/>
  <c r="D696" i="3"/>
  <c r="E696" i="3" s="1"/>
  <c r="D695" i="3"/>
  <c r="E695" i="3" s="1"/>
  <c r="D694" i="3"/>
  <c r="E694" i="3" s="1"/>
  <c r="D693" i="3"/>
  <c r="E693" i="3" s="1"/>
  <c r="D692" i="3"/>
  <c r="E692" i="3" s="1"/>
  <c r="D691" i="3"/>
  <c r="E691" i="3" s="1"/>
  <c r="D690" i="3"/>
  <c r="E690" i="3" s="1"/>
  <c r="D689" i="3"/>
  <c r="E689" i="3" s="1"/>
  <c r="D688" i="3"/>
  <c r="E688" i="3" s="1"/>
  <c r="D687" i="3"/>
  <c r="E687" i="3" s="1"/>
  <c r="D686" i="3"/>
  <c r="E686" i="3" s="1"/>
  <c r="D685" i="3"/>
  <c r="E685" i="3" s="1"/>
  <c r="D684" i="3"/>
  <c r="E684" i="3" s="1"/>
  <c r="D683" i="3"/>
  <c r="E683" i="3" s="1"/>
  <c r="D682" i="3"/>
  <c r="E682" i="3" s="1"/>
  <c r="D681" i="3"/>
  <c r="E681" i="3" s="1"/>
  <c r="D680" i="3"/>
  <c r="E680" i="3" s="1"/>
  <c r="D679" i="3"/>
  <c r="E679" i="3" s="1"/>
  <c r="D678" i="3"/>
  <c r="E678" i="3" s="1"/>
  <c r="D677" i="3"/>
  <c r="E677" i="3" s="1"/>
  <c r="D676" i="3"/>
  <c r="E676" i="3" s="1"/>
  <c r="D675" i="3"/>
  <c r="E675" i="3" s="1"/>
  <c r="D674" i="3"/>
  <c r="E674" i="3" s="1"/>
  <c r="D673" i="3"/>
  <c r="E673" i="3" s="1"/>
  <c r="D672" i="3"/>
  <c r="E672" i="3" s="1"/>
  <c r="D671" i="3"/>
  <c r="E671" i="3" s="1"/>
  <c r="D670" i="3"/>
  <c r="E670" i="3" s="1"/>
  <c r="D669" i="3"/>
  <c r="E669" i="3" s="1"/>
  <c r="D668" i="3"/>
  <c r="E668" i="3" s="1"/>
  <c r="D667" i="3"/>
  <c r="E667" i="3" s="1"/>
  <c r="D666" i="3"/>
  <c r="E666" i="3" s="1"/>
  <c r="D665" i="3"/>
  <c r="E665" i="3" s="1"/>
  <c r="D664" i="3"/>
  <c r="E664" i="3" s="1"/>
  <c r="D663" i="3"/>
  <c r="E663" i="3" s="1"/>
  <c r="D662" i="3"/>
  <c r="E662" i="3" s="1"/>
  <c r="D661" i="3"/>
  <c r="E661" i="3" s="1"/>
  <c r="D660" i="3"/>
  <c r="E660" i="3" s="1"/>
  <c r="D659" i="3"/>
  <c r="E659" i="3" s="1"/>
  <c r="D658" i="3"/>
  <c r="E658" i="3" s="1"/>
  <c r="D657" i="3"/>
  <c r="E657" i="3" s="1"/>
  <c r="D656" i="3"/>
  <c r="E656" i="3" s="1"/>
  <c r="D655" i="3"/>
  <c r="E655" i="3" s="1"/>
  <c r="D654" i="3"/>
  <c r="E654" i="3" s="1"/>
  <c r="D653" i="3"/>
  <c r="E653" i="3" s="1"/>
  <c r="D652" i="3"/>
  <c r="E652" i="3" s="1"/>
  <c r="D651" i="3"/>
  <c r="E651" i="3" s="1"/>
  <c r="D650" i="3"/>
  <c r="E650" i="3" s="1"/>
  <c r="D649" i="3"/>
  <c r="E649" i="3" s="1"/>
  <c r="D648" i="3"/>
  <c r="E648" i="3" s="1"/>
  <c r="D647" i="3"/>
  <c r="E647" i="3" s="1"/>
  <c r="D646" i="3"/>
  <c r="E646" i="3" s="1"/>
  <c r="D645" i="3"/>
  <c r="E645" i="3" s="1"/>
  <c r="D644" i="3"/>
  <c r="E644" i="3" s="1"/>
  <c r="D643" i="3"/>
  <c r="E643" i="3" s="1"/>
  <c r="D642" i="3"/>
  <c r="E642" i="3" s="1"/>
  <c r="D641" i="3"/>
  <c r="E641" i="3" s="1"/>
  <c r="D640" i="3"/>
  <c r="E640" i="3" s="1"/>
  <c r="D639" i="3"/>
  <c r="E639" i="3" s="1"/>
  <c r="D638" i="3"/>
  <c r="E638" i="3" s="1"/>
  <c r="D637" i="3"/>
  <c r="E637" i="3" s="1"/>
  <c r="D636" i="3"/>
  <c r="E636" i="3" s="1"/>
  <c r="D635" i="3"/>
  <c r="E635" i="3" s="1"/>
  <c r="D634" i="3"/>
  <c r="E634" i="3" s="1"/>
  <c r="D633" i="3"/>
  <c r="E633" i="3" s="1"/>
  <c r="D632" i="3"/>
  <c r="E632" i="3" s="1"/>
  <c r="D631" i="3"/>
  <c r="E631" i="3" s="1"/>
  <c r="D630" i="3"/>
  <c r="E630" i="3" s="1"/>
  <c r="D629" i="3"/>
  <c r="E629" i="3" s="1"/>
  <c r="D628" i="3"/>
  <c r="E628" i="3" s="1"/>
  <c r="D627" i="3"/>
  <c r="E627" i="3" s="1"/>
  <c r="D626" i="3"/>
  <c r="E626" i="3" s="1"/>
  <c r="D625" i="3"/>
  <c r="E625" i="3" s="1"/>
  <c r="D624" i="3"/>
  <c r="E624" i="3" s="1"/>
  <c r="D623" i="3"/>
  <c r="E623" i="3" s="1"/>
  <c r="D622" i="3"/>
  <c r="E622" i="3" s="1"/>
  <c r="D621" i="3"/>
  <c r="E621" i="3" s="1"/>
  <c r="D620" i="3"/>
  <c r="E620" i="3" s="1"/>
  <c r="D619" i="3"/>
  <c r="E619" i="3" s="1"/>
  <c r="D618" i="3"/>
  <c r="E618" i="3" s="1"/>
  <c r="D617" i="3"/>
  <c r="E617" i="3" s="1"/>
  <c r="D616" i="3"/>
  <c r="E616" i="3" s="1"/>
  <c r="D615" i="3"/>
  <c r="E615" i="3" s="1"/>
  <c r="D614" i="3"/>
  <c r="E614" i="3" s="1"/>
  <c r="D613" i="3"/>
  <c r="E613" i="3" s="1"/>
  <c r="D612" i="3"/>
  <c r="E612" i="3" s="1"/>
  <c r="D611" i="3"/>
  <c r="E611" i="3" s="1"/>
  <c r="D610" i="3"/>
  <c r="E610" i="3" s="1"/>
  <c r="D609" i="3"/>
  <c r="E609" i="3" s="1"/>
  <c r="D608" i="3"/>
  <c r="E608" i="3" s="1"/>
  <c r="D607" i="3"/>
  <c r="E607" i="3" s="1"/>
  <c r="D606" i="3"/>
  <c r="E606" i="3" s="1"/>
  <c r="D605" i="3"/>
  <c r="E605" i="3" s="1"/>
  <c r="D604" i="3"/>
  <c r="E604" i="3" s="1"/>
  <c r="D603" i="3"/>
  <c r="E603" i="3" s="1"/>
  <c r="D602" i="3"/>
  <c r="E602" i="3" s="1"/>
  <c r="D601" i="3"/>
  <c r="E601" i="3" s="1"/>
  <c r="D600" i="3"/>
  <c r="E600" i="3" s="1"/>
  <c r="D599" i="3"/>
  <c r="E599" i="3" s="1"/>
  <c r="D598" i="3"/>
  <c r="E598" i="3" s="1"/>
  <c r="D597" i="3"/>
  <c r="E597" i="3" s="1"/>
  <c r="D596" i="3"/>
  <c r="E596" i="3" s="1"/>
  <c r="D595" i="3"/>
  <c r="E595" i="3" s="1"/>
  <c r="D594" i="3"/>
  <c r="E594" i="3" s="1"/>
  <c r="D593" i="3"/>
  <c r="E593" i="3" s="1"/>
  <c r="D592" i="3"/>
  <c r="E592" i="3" s="1"/>
  <c r="D591" i="3"/>
  <c r="E591" i="3" s="1"/>
  <c r="D590" i="3"/>
  <c r="E590" i="3" s="1"/>
  <c r="D589" i="3"/>
  <c r="E589" i="3" s="1"/>
  <c r="D588" i="3"/>
  <c r="E588" i="3" s="1"/>
  <c r="D587" i="3"/>
  <c r="E587" i="3" s="1"/>
  <c r="D586" i="3"/>
  <c r="E586" i="3" s="1"/>
  <c r="D585" i="3"/>
  <c r="E585" i="3" s="1"/>
  <c r="D584" i="3"/>
  <c r="E584" i="3" s="1"/>
  <c r="D583" i="3"/>
  <c r="E583" i="3" s="1"/>
  <c r="D582" i="3"/>
  <c r="E582" i="3" s="1"/>
  <c r="D581" i="3"/>
  <c r="E581" i="3" s="1"/>
  <c r="D580" i="3"/>
  <c r="E580" i="3" s="1"/>
  <c r="D579" i="3"/>
  <c r="E579" i="3" s="1"/>
  <c r="D578" i="3"/>
  <c r="E578" i="3" s="1"/>
  <c r="D577" i="3"/>
  <c r="E577" i="3" s="1"/>
  <c r="D576" i="3"/>
  <c r="E576" i="3" s="1"/>
  <c r="D575" i="3"/>
  <c r="E575" i="3" s="1"/>
  <c r="D574" i="3"/>
  <c r="E574" i="3" s="1"/>
  <c r="D573" i="3"/>
  <c r="E573" i="3" s="1"/>
  <c r="D572" i="3"/>
  <c r="E572" i="3" s="1"/>
  <c r="D571" i="3"/>
  <c r="E571" i="3" s="1"/>
  <c r="D570" i="3"/>
  <c r="E570" i="3" s="1"/>
  <c r="D569" i="3"/>
  <c r="E569" i="3" s="1"/>
  <c r="D568" i="3"/>
  <c r="E568" i="3" s="1"/>
  <c r="D567" i="3"/>
  <c r="E567" i="3" s="1"/>
  <c r="D566" i="3"/>
  <c r="E566" i="3" s="1"/>
  <c r="D565" i="3"/>
  <c r="E565" i="3" s="1"/>
  <c r="D564" i="3"/>
  <c r="E564" i="3" s="1"/>
  <c r="D563" i="3"/>
  <c r="E563" i="3" s="1"/>
  <c r="D562" i="3"/>
  <c r="E562" i="3" s="1"/>
  <c r="D561" i="3"/>
  <c r="E561" i="3" s="1"/>
  <c r="D560" i="3"/>
  <c r="E560" i="3" s="1"/>
  <c r="D559" i="3"/>
  <c r="E559" i="3" s="1"/>
  <c r="D558" i="3"/>
  <c r="E558" i="3" s="1"/>
  <c r="D557" i="3"/>
  <c r="E557" i="3" s="1"/>
  <c r="D556" i="3"/>
  <c r="E556" i="3" s="1"/>
  <c r="D555" i="3"/>
  <c r="E555" i="3" s="1"/>
  <c r="D554" i="3"/>
  <c r="E554" i="3" s="1"/>
  <c r="D553" i="3"/>
  <c r="E553" i="3" s="1"/>
  <c r="D552" i="3"/>
  <c r="E552" i="3" s="1"/>
  <c r="D551" i="3"/>
  <c r="E551" i="3" s="1"/>
  <c r="D550" i="3"/>
  <c r="E550" i="3" s="1"/>
  <c r="D549" i="3"/>
  <c r="E549" i="3" s="1"/>
  <c r="D548" i="3"/>
  <c r="E548" i="3" s="1"/>
  <c r="D547" i="3"/>
  <c r="E547" i="3" s="1"/>
  <c r="D546" i="3"/>
  <c r="E546" i="3" s="1"/>
  <c r="D545" i="3"/>
  <c r="E545" i="3" s="1"/>
  <c r="D544" i="3"/>
  <c r="E544" i="3" s="1"/>
  <c r="D543" i="3"/>
  <c r="E543" i="3" s="1"/>
  <c r="D542" i="3"/>
  <c r="E542" i="3" s="1"/>
  <c r="D541" i="3"/>
  <c r="E541" i="3" s="1"/>
  <c r="D540" i="3"/>
  <c r="E540" i="3" s="1"/>
  <c r="D539" i="3"/>
  <c r="E539" i="3" s="1"/>
  <c r="D538" i="3"/>
  <c r="E538" i="3" s="1"/>
  <c r="D537" i="3"/>
  <c r="E537" i="3" s="1"/>
  <c r="D536" i="3"/>
  <c r="E536" i="3" s="1"/>
  <c r="D535" i="3"/>
  <c r="E535" i="3" s="1"/>
  <c r="D534" i="3"/>
  <c r="E534" i="3" s="1"/>
  <c r="D533" i="3"/>
  <c r="E533" i="3" s="1"/>
  <c r="D532" i="3"/>
  <c r="E532" i="3" s="1"/>
  <c r="D531" i="3"/>
  <c r="E531" i="3" s="1"/>
  <c r="D530" i="3"/>
  <c r="E530" i="3" s="1"/>
  <c r="D529" i="3"/>
  <c r="E529" i="3" s="1"/>
  <c r="D528" i="3"/>
  <c r="E528" i="3" s="1"/>
  <c r="D527" i="3"/>
  <c r="E527" i="3" s="1"/>
  <c r="D526" i="3"/>
  <c r="E526" i="3" s="1"/>
  <c r="D525" i="3"/>
  <c r="E525" i="3" s="1"/>
  <c r="D524" i="3"/>
  <c r="E524" i="3" s="1"/>
  <c r="D523" i="3"/>
  <c r="E523" i="3" s="1"/>
  <c r="D522" i="3"/>
  <c r="E522" i="3" s="1"/>
  <c r="D521" i="3"/>
  <c r="E521" i="3" s="1"/>
  <c r="D520" i="3"/>
  <c r="E520" i="3" s="1"/>
  <c r="D519" i="3"/>
  <c r="E519" i="3" s="1"/>
  <c r="D518" i="3"/>
  <c r="E518" i="3" s="1"/>
  <c r="D517" i="3"/>
  <c r="E517" i="3" s="1"/>
  <c r="D516" i="3"/>
  <c r="E516" i="3" s="1"/>
  <c r="D515" i="3"/>
  <c r="E515" i="3" s="1"/>
  <c r="D514" i="3"/>
  <c r="E514" i="3" s="1"/>
  <c r="D513" i="3"/>
  <c r="E513" i="3" s="1"/>
  <c r="D512" i="3"/>
  <c r="E512" i="3" s="1"/>
  <c r="D511" i="3"/>
  <c r="E511" i="3" s="1"/>
  <c r="D510" i="3"/>
  <c r="E510" i="3" s="1"/>
  <c r="D509" i="3"/>
  <c r="E509" i="3" s="1"/>
  <c r="D508" i="3"/>
  <c r="E508" i="3" s="1"/>
  <c r="D507" i="3"/>
  <c r="E507" i="3" s="1"/>
  <c r="D506" i="3"/>
  <c r="E506" i="3" s="1"/>
  <c r="D505" i="3"/>
  <c r="E505" i="3" s="1"/>
  <c r="D504" i="3"/>
  <c r="E504" i="3" s="1"/>
  <c r="D503" i="3"/>
  <c r="E503" i="3" s="1"/>
  <c r="D502" i="3"/>
  <c r="E502" i="3" s="1"/>
  <c r="D501" i="3"/>
  <c r="E501" i="3" s="1"/>
  <c r="D500" i="3"/>
  <c r="E500" i="3" s="1"/>
  <c r="D499" i="3"/>
  <c r="E499" i="3" s="1"/>
  <c r="D498" i="3"/>
  <c r="E498" i="3" s="1"/>
  <c r="D497" i="3"/>
  <c r="E497" i="3" s="1"/>
  <c r="D496" i="3"/>
  <c r="E496" i="3" s="1"/>
  <c r="D495" i="3"/>
  <c r="E495" i="3" s="1"/>
  <c r="D494" i="3"/>
  <c r="E494" i="3" s="1"/>
  <c r="D493" i="3"/>
  <c r="E493" i="3" s="1"/>
  <c r="D492" i="3"/>
  <c r="E492" i="3" s="1"/>
  <c r="D491" i="3"/>
  <c r="E491" i="3" s="1"/>
  <c r="D490" i="3"/>
  <c r="E490" i="3" s="1"/>
  <c r="D489" i="3"/>
  <c r="E489" i="3" s="1"/>
  <c r="D488" i="3"/>
  <c r="E488" i="3" s="1"/>
  <c r="D487" i="3"/>
  <c r="E487" i="3" s="1"/>
  <c r="D486" i="3"/>
  <c r="E486" i="3" s="1"/>
  <c r="D485" i="3"/>
  <c r="E485" i="3" s="1"/>
  <c r="D484" i="3"/>
  <c r="E484" i="3" s="1"/>
  <c r="D483" i="3"/>
  <c r="E483" i="3" s="1"/>
  <c r="D482" i="3"/>
  <c r="E482" i="3" s="1"/>
  <c r="D481" i="3"/>
  <c r="E481" i="3" s="1"/>
  <c r="D480" i="3"/>
  <c r="E480" i="3" s="1"/>
  <c r="D479" i="3"/>
  <c r="E479" i="3" s="1"/>
  <c r="D478" i="3"/>
  <c r="E478" i="3" s="1"/>
  <c r="D477" i="3"/>
  <c r="E477" i="3" s="1"/>
  <c r="D476" i="3"/>
  <c r="E476" i="3" s="1"/>
  <c r="D475" i="3"/>
  <c r="E475" i="3" s="1"/>
  <c r="D474" i="3"/>
  <c r="E474" i="3" s="1"/>
  <c r="D473" i="3"/>
  <c r="E473" i="3" s="1"/>
  <c r="D472" i="3"/>
  <c r="E472" i="3" s="1"/>
  <c r="D471" i="3"/>
  <c r="E471" i="3" s="1"/>
  <c r="D470" i="3"/>
  <c r="E470" i="3" s="1"/>
  <c r="D469" i="3"/>
  <c r="E469" i="3" s="1"/>
  <c r="D468" i="3"/>
  <c r="E468" i="3" s="1"/>
  <c r="D467" i="3"/>
  <c r="E467" i="3" s="1"/>
  <c r="D466" i="3"/>
  <c r="E466" i="3" s="1"/>
  <c r="D465" i="3"/>
  <c r="E465" i="3" s="1"/>
  <c r="D464" i="3"/>
  <c r="E464" i="3" s="1"/>
  <c r="D463" i="3"/>
  <c r="E463" i="3" s="1"/>
  <c r="D462" i="3"/>
  <c r="E462" i="3" s="1"/>
  <c r="D461" i="3"/>
  <c r="E461" i="3" s="1"/>
  <c r="D460" i="3"/>
  <c r="E460" i="3" s="1"/>
  <c r="D459" i="3"/>
  <c r="E459" i="3" s="1"/>
  <c r="D458" i="3"/>
  <c r="E458" i="3" s="1"/>
  <c r="D457" i="3"/>
  <c r="E457" i="3" s="1"/>
  <c r="D456" i="3"/>
  <c r="E456" i="3" s="1"/>
  <c r="D455" i="3"/>
  <c r="E455" i="3" s="1"/>
  <c r="D454" i="3"/>
  <c r="E454" i="3" s="1"/>
  <c r="D453" i="3"/>
  <c r="E453" i="3" s="1"/>
  <c r="D452" i="3"/>
  <c r="E452" i="3" s="1"/>
  <c r="D451" i="3"/>
  <c r="E451" i="3" s="1"/>
  <c r="D450" i="3"/>
  <c r="E450" i="3" s="1"/>
  <c r="D449" i="3"/>
  <c r="E449" i="3" s="1"/>
  <c r="D448" i="3"/>
  <c r="E448" i="3" s="1"/>
  <c r="D447" i="3"/>
  <c r="E447" i="3" s="1"/>
  <c r="D446" i="3"/>
  <c r="E446" i="3" s="1"/>
  <c r="D445" i="3"/>
  <c r="E445" i="3" s="1"/>
  <c r="D444" i="3"/>
  <c r="E444" i="3" s="1"/>
  <c r="D443" i="3"/>
  <c r="E443" i="3" s="1"/>
  <c r="D442" i="3"/>
  <c r="E442" i="3" s="1"/>
  <c r="D441" i="3"/>
  <c r="E441" i="3" s="1"/>
  <c r="D440" i="3"/>
  <c r="E440" i="3" s="1"/>
  <c r="D439" i="3"/>
  <c r="E439" i="3" s="1"/>
  <c r="D438" i="3"/>
  <c r="E438" i="3" s="1"/>
  <c r="D437" i="3"/>
  <c r="E437" i="3" s="1"/>
  <c r="D436" i="3"/>
  <c r="E436" i="3" s="1"/>
  <c r="D435" i="3"/>
  <c r="E435" i="3" s="1"/>
  <c r="D434" i="3"/>
  <c r="E434" i="3" s="1"/>
  <c r="D433" i="3"/>
  <c r="E433" i="3" s="1"/>
  <c r="D432" i="3"/>
  <c r="E432" i="3" s="1"/>
  <c r="D431" i="3"/>
  <c r="E431" i="3" s="1"/>
  <c r="D430" i="3"/>
  <c r="E430" i="3" s="1"/>
  <c r="D429" i="3"/>
  <c r="E429" i="3" s="1"/>
  <c r="D428" i="3"/>
  <c r="E428" i="3" s="1"/>
  <c r="D427" i="3"/>
  <c r="E427" i="3" s="1"/>
  <c r="D426" i="3"/>
  <c r="E426" i="3" s="1"/>
  <c r="D425" i="3"/>
  <c r="E425" i="3" s="1"/>
  <c r="D424" i="3"/>
  <c r="E424" i="3" s="1"/>
  <c r="D423" i="3"/>
  <c r="E423" i="3" s="1"/>
  <c r="D422" i="3"/>
  <c r="E422" i="3" s="1"/>
  <c r="D421" i="3"/>
  <c r="E421" i="3" s="1"/>
  <c r="D420" i="3"/>
  <c r="E420" i="3" s="1"/>
  <c r="D419" i="3"/>
  <c r="E419" i="3" s="1"/>
  <c r="D418" i="3"/>
  <c r="E418" i="3" s="1"/>
  <c r="D417" i="3"/>
  <c r="E417" i="3" s="1"/>
  <c r="D416" i="3"/>
  <c r="E416" i="3" s="1"/>
  <c r="D415" i="3"/>
  <c r="E415" i="3" s="1"/>
  <c r="D414" i="3"/>
  <c r="E414" i="3" s="1"/>
  <c r="D413" i="3"/>
  <c r="E413" i="3" s="1"/>
  <c r="D412" i="3"/>
  <c r="E412" i="3" s="1"/>
  <c r="D411" i="3"/>
  <c r="E411" i="3" s="1"/>
  <c r="D410" i="3"/>
  <c r="E410" i="3" s="1"/>
  <c r="D409" i="3"/>
  <c r="E409" i="3" s="1"/>
  <c r="D408" i="3"/>
  <c r="E408" i="3" s="1"/>
  <c r="D407" i="3"/>
  <c r="E407" i="3" s="1"/>
  <c r="D406" i="3"/>
  <c r="E406" i="3" s="1"/>
  <c r="D405" i="3"/>
  <c r="E405" i="3" s="1"/>
  <c r="D404" i="3"/>
  <c r="E404" i="3" s="1"/>
  <c r="D403" i="3"/>
  <c r="E403" i="3" s="1"/>
  <c r="D402" i="3"/>
  <c r="E402" i="3" s="1"/>
  <c r="D401" i="3"/>
  <c r="E401" i="3" s="1"/>
  <c r="D400" i="3"/>
  <c r="E400" i="3" s="1"/>
  <c r="D399" i="3"/>
  <c r="E399" i="3" s="1"/>
  <c r="D398" i="3"/>
  <c r="E398" i="3" s="1"/>
  <c r="D397" i="3"/>
  <c r="E397" i="3" s="1"/>
  <c r="D396" i="3"/>
  <c r="E396" i="3" s="1"/>
  <c r="D395" i="3"/>
  <c r="E395" i="3" s="1"/>
  <c r="D394" i="3"/>
  <c r="E394" i="3" s="1"/>
  <c r="D393" i="3"/>
  <c r="E393" i="3" s="1"/>
  <c r="D392" i="3"/>
  <c r="E392" i="3" s="1"/>
  <c r="D391" i="3"/>
  <c r="E391" i="3" s="1"/>
  <c r="D390" i="3"/>
  <c r="E390" i="3" s="1"/>
  <c r="D389" i="3"/>
  <c r="E389" i="3" s="1"/>
  <c r="D388" i="3"/>
  <c r="E388" i="3" s="1"/>
  <c r="D387" i="3"/>
  <c r="E387" i="3" s="1"/>
  <c r="D386" i="3"/>
  <c r="E386" i="3" s="1"/>
  <c r="D385" i="3"/>
  <c r="E385" i="3" s="1"/>
  <c r="D384" i="3"/>
  <c r="E384" i="3" s="1"/>
  <c r="D383" i="3"/>
  <c r="E383" i="3" s="1"/>
  <c r="D382" i="3"/>
  <c r="E382" i="3" s="1"/>
  <c r="D381" i="3"/>
  <c r="E381" i="3" s="1"/>
  <c r="D380" i="3"/>
  <c r="E380" i="3" s="1"/>
  <c r="D379" i="3"/>
  <c r="E379" i="3" s="1"/>
  <c r="D378" i="3"/>
  <c r="E378" i="3" s="1"/>
  <c r="D377" i="3"/>
  <c r="E377" i="3" s="1"/>
  <c r="D376" i="3"/>
  <c r="E376" i="3" s="1"/>
  <c r="D375" i="3"/>
  <c r="E375" i="3" s="1"/>
  <c r="D374" i="3"/>
  <c r="E374" i="3" s="1"/>
  <c r="D373" i="3"/>
  <c r="E373" i="3" s="1"/>
  <c r="D372" i="3"/>
  <c r="E372" i="3" s="1"/>
  <c r="D371" i="3"/>
  <c r="E371" i="3" s="1"/>
  <c r="D370" i="3"/>
  <c r="E370" i="3" s="1"/>
  <c r="D369" i="3"/>
  <c r="E369" i="3" s="1"/>
  <c r="D368" i="3"/>
  <c r="E368" i="3" s="1"/>
  <c r="D367" i="3"/>
  <c r="E367" i="3" s="1"/>
  <c r="D366" i="3"/>
  <c r="E366" i="3" s="1"/>
  <c r="D365" i="3"/>
  <c r="E365" i="3" s="1"/>
  <c r="D364" i="3"/>
  <c r="E364" i="3" s="1"/>
  <c r="D363" i="3"/>
  <c r="E363" i="3" s="1"/>
  <c r="D362" i="3"/>
  <c r="E362" i="3" s="1"/>
  <c r="D361" i="3"/>
  <c r="E361" i="3" s="1"/>
  <c r="D360" i="3"/>
  <c r="E360" i="3" s="1"/>
  <c r="D359" i="3"/>
  <c r="E359" i="3" s="1"/>
  <c r="D358" i="3"/>
  <c r="E358" i="3" s="1"/>
  <c r="D357" i="3"/>
  <c r="E357" i="3" s="1"/>
  <c r="D356" i="3"/>
  <c r="E356" i="3" s="1"/>
  <c r="D355" i="3"/>
  <c r="E355" i="3" s="1"/>
  <c r="D354" i="3"/>
  <c r="E354" i="3" s="1"/>
  <c r="D353" i="3"/>
  <c r="E353" i="3" s="1"/>
  <c r="D352" i="3"/>
  <c r="E352" i="3" s="1"/>
  <c r="D351" i="3"/>
  <c r="E351" i="3" s="1"/>
  <c r="D350" i="3"/>
  <c r="E350" i="3" s="1"/>
  <c r="D349" i="3"/>
  <c r="E349" i="3" s="1"/>
  <c r="D348" i="3"/>
  <c r="E348" i="3" s="1"/>
  <c r="D347" i="3"/>
  <c r="E347" i="3" s="1"/>
  <c r="D346" i="3"/>
  <c r="E346" i="3" s="1"/>
  <c r="D345" i="3"/>
  <c r="E345" i="3" s="1"/>
  <c r="D344" i="3"/>
  <c r="E344" i="3" s="1"/>
  <c r="D343" i="3"/>
  <c r="E343" i="3" s="1"/>
  <c r="D342" i="3"/>
  <c r="E342" i="3" s="1"/>
  <c r="D341" i="3"/>
  <c r="E341" i="3" s="1"/>
  <c r="D340" i="3"/>
  <c r="E340" i="3" s="1"/>
  <c r="D339" i="3"/>
  <c r="E339" i="3" s="1"/>
  <c r="D338" i="3"/>
  <c r="E338" i="3" s="1"/>
  <c r="D337" i="3"/>
  <c r="E337" i="3" s="1"/>
  <c r="D336" i="3"/>
  <c r="E336" i="3" s="1"/>
  <c r="D335" i="3"/>
  <c r="E335" i="3" s="1"/>
  <c r="D334" i="3"/>
  <c r="E334" i="3" s="1"/>
  <c r="D333" i="3"/>
  <c r="E333" i="3" s="1"/>
  <c r="D332" i="3"/>
  <c r="E332" i="3" s="1"/>
  <c r="D331" i="3"/>
  <c r="E331" i="3" s="1"/>
  <c r="D330" i="3"/>
  <c r="E330" i="3" s="1"/>
  <c r="D329" i="3"/>
  <c r="E329" i="3" s="1"/>
  <c r="D328" i="3"/>
  <c r="E328" i="3" s="1"/>
  <c r="D327" i="3"/>
  <c r="E327" i="3" s="1"/>
  <c r="D326" i="3"/>
  <c r="E326" i="3" s="1"/>
  <c r="D325" i="3"/>
  <c r="E325" i="3" s="1"/>
  <c r="D324" i="3"/>
  <c r="E324" i="3" s="1"/>
  <c r="D323" i="3"/>
  <c r="E323" i="3" s="1"/>
  <c r="D322" i="3"/>
  <c r="E322" i="3" s="1"/>
  <c r="D321" i="3"/>
  <c r="E321" i="3" s="1"/>
  <c r="D320" i="3"/>
  <c r="E320" i="3" s="1"/>
  <c r="D319" i="3"/>
  <c r="E319" i="3" s="1"/>
  <c r="D318" i="3"/>
  <c r="E318" i="3" s="1"/>
  <c r="D317" i="3"/>
  <c r="E317" i="3" s="1"/>
  <c r="D316" i="3"/>
  <c r="E316" i="3" s="1"/>
  <c r="D315" i="3"/>
  <c r="E315" i="3" s="1"/>
  <c r="D314" i="3"/>
  <c r="E314" i="3" s="1"/>
  <c r="D313" i="3"/>
  <c r="E313" i="3" s="1"/>
  <c r="D312" i="3"/>
  <c r="E312" i="3" s="1"/>
  <c r="D311" i="3"/>
  <c r="E311" i="3" s="1"/>
  <c r="D310" i="3"/>
  <c r="E310" i="3" s="1"/>
  <c r="D309" i="3"/>
  <c r="E309" i="3" s="1"/>
  <c r="D308" i="3"/>
  <c r="E308" i="3" s="1"/>
  <c r="D307" i="3"/>
  <c r="E307" i="3" s="1"/>
  <c r="D306" i="3"/>
  <c r="E306" i="3" s="1"/>
  <c r="D305" i="3"/>
  <c r="E305" i="3" s="1"/>
  <c r="D304" i="3"/>
  <c r="E304" i="3" s="1"/>
  <c r="D303" i="3"/>
  <c r="E303" i="3" s="1"/>
  <c r="D302" i="3"/>
  <c r="E302" i="3" s="1"/>
  <c r="D301" i="3"/>
  <c r="E301" i="3" s="1"/>
  <c r="D300" i="3"/>
  <c r="E300" i="3" s="1"/>
  <c r="D299" i="3"/>
  <c r="E299" i="3" s="1"/>
  <c r="D298" i="3"/>
  <c r="E298" i="3" s="1"/>
  <c r="D297" i="3"/>
  <c r="E297" i="3" s="1"/>
  <c r="D296" i="3"/>
  <c r="E296" i="3" s="1"/>
  <c r="D295" i="3"/>
  <c r="E295" i="3" s="1"/>
  <c r="D294" i="3"/>
  <c r="E294" i="3" s="1"/>
  <c r="D293" i="3"/>
  <c r="E293" i="3" s="1"/>
  <c r="D292" i="3"/>
  <c r="E292" i="3" s="1"/>
  <c r="D291" i="3"/>
  <c r="E291" i="3" s="1"/>
  <c r="D290" i="3"/>
  <c r="E290" i="3" s="1"/>
  <c r="D289" i="3"/>
  <c r="E289" i="3" s="1"/>
  <c r="D288" i="3"/>
  <c r="E288" i="3" s="1"/>
  <c r="D287" i="3"/>
  <c r="E287" i="3" s="1"/>
  <c r="D286" i="3"/>
  <c r="E286" i="3" s="1"/>
  <c r="D285" i="3"/>
  <c r="E285" i="3" s="1"/>
  <c r="D284" i="3"/>
  <c r="E284" i="3" s="1"/>
  <c r="D283" i="3"/>
  <c r="E283" i="3" s="1"/>
  <c r="D282" i="3"/>
  <c r="E282" i="3" s="1"/>
  <c r="D281" i="3"/>
  <c r="E281" i="3" s="1"/>
  <c r="D280" i="3"/>
  <c r="E280" i="3" s="1"/>
  <c r="D279" i="3"/>
  <c r="E279" i="3" s="1"/>
  <c r="D278" i="3"/>
  <c r="E278" i="3" s="1"/>
  <c r="D277" i="3"/>
  <c r="E277" i="3" s="1"/>
  <c r="D276" i="3"/>
  <c r="E276" i="3" s="1"/>
  <c r="D275" i="3"/>
  <c r="E275" i="3" s="1"/>
  <c r="D274" i="3"/>
  <c r="E274" i="3" s="1"/>
  <c r="D273" i="3"/>
  <c r="E273" i="3" s="1"/>
  <c r="D272" i="3"/>
  <c r="E272" i="3" s="1"/>
  <c r="D271" i="3"/>
  <c r="E271" i="3" s="1"/>
  <c r="D270" i="3"/>
  <c r="E270" i="3" s="1"/>
  <c r="D269" i="3"/>
  <c r="E269" i="3" s="1"/>
  <c r="D268" i="3"/>
  <c r="E268" i="3" s="1"/>
  <c r="D267" i="3"/>
  <c r="E267" i="3" s="1"/>
  <c r="D266" i="3"/>
  <c r="E266" i="3" s="1"/>
  <c r="D265" i="3"/>
  <c r="E265" i="3" s="1"/>
  <c r="D264" i="3"/>
  <c r="E264" i="3" s="1"/>
  <c r="D263" i="3"/>
  <c r="E263" i="3" s="1"/>
  <c r="D262" i="3"/>
  <c r="E262" i="3" s="1"/>
  <c r="D261" i="3"/>
  <c r="E261" i="3" s="1"/>
  <c r="D260" i="3"/>
  <c r="E260" i="3" s="1"/>
  <c r="D259" i="3"/>
  <c r="E259" i="3" s="1"/>
  <c r="D258" i="3"/>
  <c r="E258" i="3" s="1"/>
  <c r="D257" i="3"/>
  <c r="E257" i="3" s="1"/>
  <c r="D256" i="3"/>
  <c r="E256" i="3" s="1"/>
  <c r="D255" i="3"/>
  <c r="E255" i="3" s="1"/>
  <c r="D254" i="3"/>
  <c r="E254" i="3" s="1"/>
  <c r="D253" i="3"/>
  <c r="E253" i="3" s="1"/>
  <c r="D252" i="3"/>
  <c r="E252" i="3" s="1"/>
  <c r="D251" i="3"/>
  <c r="E251" i="3" s="1"/>
  <c r="D250" i="3"/>
  <c r="E250" i="3" s="1"/>
  <c r="D249" i="3"/>
  <c r="E249" i="3" s="1"/>
  <c r="D248" i="3"/>
  <c r="E248" i="3" s="1"/>
  <c r="D247" i="3"/>
  <c r="E247" i="3" s="1"/>
  <c r="D246" i="3"/>
  <c r="E246" i="3" s="1"/>
  <c r="D245" i="3"/>
  <c r="E245" i="3" s="1"/>
  <c r="D244" i="3"/>
  <c r="E244" i="3" s="1"/>
  <c r="D243" i="3"/>
  <c r="E243" i="3" s="1"/>
  <c r="D242" i="3"/>
  <c r="E242" i="3" s="1"/>
  <c r="D241" i="3"/>
  <c r="E241" i="3" s="1"/>
  <c r="D240" i="3"/>
  <c r="E240" i="3" s="1"/>
  <c r="D239" i="3"/>
  <c r="E239" i="3" s="1"/>
  <c r="D238" i="3"/>
  <c r="E238" i="3" s="1"/>
  <c r="D237" i="3"/>
  <c r="E237" i="3" s="1"/>
  <c r="D236" i="3"/>
  <c r="E236" i="3" s="1"/>
  <c r="D235" i="3"/>
  <c r="E235" i="3" s="1"/>
  <c r="D234" i="3"/>
  <c r="E234" i="3" s="1"/>
  <c r="D233" i="3"/>
  <c r="E233" i="3" s="1"/>
  <c r="D232" i="3"/>
  <c r="E232" i="3" s="1"/>
  <c r="D231" i="3"/>
  <c r="E231" i="3" s="1"/>
  <c r="D230" i="3"/>
  <c r="E230" i="3" s="1"/>
  <c r="D229" i="3"/>
  <c r="E229" i="3" s="1"/>
  <c r="D228" i="3"/>
  <c r="E228" i="3" s="1"/>
  <c r="D227" i="3"/>
  <c r="E227" i="3" s="1"/>
  <c r="D226" i="3"/>
  <c r="E226" i="3" s="1"/>
  <c r="D225" i="3"/>
  <c r="E225" i="3" s="1"/>
  <c r="D224" i="3"/>
  <c r="E224" i="3" s="1"/>
  <c r="D223" i="3"/>
  <c r="E223" i="3" s="1"/>
  <c r="D222" i="3"/>
  <c r="E222" i="3" s="1"/>
  <c r="D221" i="3"/>
  <c r="E221" i="3" s="1"/>
  <c r="D220" i="3"/>
  <c r="E220" i="3" s="1"/>
  <c r="D219" i="3"/>
  <c r="E219" i="3" s="1"/>
  <c r="D218" i="3"/>
  <c r="E218" i="3" s="1"/>
  <c r="D217" i="3"/>
  <c r="E217" i="3" s="1"/>
  <c r="D216" i="3"/>
  <c r="E216" i="3" s="1"/>
  <c r="D215" i="3"/>
  <c r="E215" i="3" s="1"/>
  <c r="D214" i="3"/>
  <c r="E214" i="3" s="1"/>
  <c r="D213" i="3"/>
  <c r="E213" i="3" s="1"/>
  <c r="D212" i="3"/>
  <c r="E212" i="3" s="1"/>
  <c r="D211" i="3"/>
  <c r="E211" i="3" s="1"/>
  <c r="D210" i="3"/>
  <c r="E210" i="3" s="1"/>
  <c r="D209" i="3"/>
  <c r="E209" i="3" s="1"/>
  <c r="D208" i="3"/>
  <c r="E208" i="3" s="1"/>
  <c r="D207" i="3"/>
  <c r="E207" i="3" s="1"/>
  <c r="D206" i="3"/>
  <c r="E206" i="3" s="1"/>
  <c r="D205" i="3"/>
  <c r="E205" i="3" s="1"/>
  <c r="D204" i="3"/>
  <c r="E204" i="3" s="1"/>
  <c r="D203" i="3"/>
  <c r="E203" i="3" s="1"/>
  <c r="D202" i="3"/>
  <c r="E202" i="3" s="1"/>
  <c r="D201" i="3"/>
  <c r="E201" i="3" s="1"/>
  <c r="D200" i="3"/>
  <c r="E200" i="3" s="1"/>
  <c r="D199" i="3"/>
  <c r="E199" i="3" s="1"/>
  <c r="D198" i="3"/>
  <c r="E198" i="3" s="1"/>
  <c r="D197" i="3"/>
  <c r="E197" i="3" s="1"/>
  <c r="D196" i="3"/>
  <c r="E196" i="3" s="1"/>
  <c r="D195" i="3"/>
  <c r="E195" i="3" s="1"/>
  <c r="D194" i="3"/>
  <c r="E194" i="3" s="1"/>
  <c r="D193" i="3"/>
  <c r="E193" i="3" s="1"/>
  <c r="D192" i="3"/>
  <c r="E192" i="3" s="1"/>
  <c r="D191" i="3"/>
  <c r="E191" i="3" s="1"/>
  <c r="D190" i="3"/>
  <c r="E190" i="3" s="1"/>
  <c r="D189" i="3"/>
  <c r="E189" i="3" s="1"/>
  <c r="D188" i="3"/>
  <c r="E188" i="3" s="1"/>
  <c r="D187" i="3"/>
  <c r="E187" i="3" s="1"/>
  <c r="D186" i="3"/>
  <c r="E186" i="3" s="1"/>
  <c r="D185" i="3"/>
  <c r="E185" i="3" s="1"/>
  <c r="D184" i="3"/>
  <c r="E184" i="3" s="1"/>
  <c r="D183" i="3"/>
  <c r="E183" i="3" s="1"/>
  <c r="D182" i="3"/>
  <c r="E182" i="3" s="1"/>
  <c r="D181" i="3"/>
  <c r="E181" i="3" s="1"/>
  <c r="D180" i="3"/>
  <c r="E180" i="3" s="1"/>
  <c r="D179" i="3"/>
  <c r="E179" i="3" s="1"/>
  <c r="D178" i="3"/>
  <c r="E178" i="3" s="1"/>
  <c r="D177" i="3"/>
  <c r="E177" i="3" s="1"/>
  <c r="D176" i="3"/>
  <c r="E176" i="3" s="1"/>
  <c r="D175" i="3"/>
  <c r="E175" i="3" s="1"/>
  <c r="D174" i="3"/>
  <c r="E174" i="3" s="1"/>
  <c r="D173" i="3"/>
  <c r="E173" i="3" s="1"/>
  <c r="D172" i="3"/>
  <c r="E172" i="3" s="1"/>
  <c r="D171" i="3"/>
  <c r="E171" i="3" s="1"/>
  <c r="D170" i="3"/>
  <c r="E170" i="3" s="1"/>
  <c r="D169" i="3"/>
  <c r="E169" i="3" s="1"/>
  <c r="D168" i="3"/>
  <c r="E168" i="3" s="1"/>
  <c r="D167" i="3"/>
  <c r="E167" i="3" s="1"/>
  <c r="D166" i="3"/>
  <c r="E166" i="3" s="1"/>
  <c r="D165" i="3"/>
  <c r="E165" i="3" s="1"/>
  <c r="D164" i="3"/>
  <c r="E164" i="3" s="1"/>
  <c r="D163" i="3"/>
  <c r="E163" i="3" s="1"/>
  <c r="D162" i="3"/>
  <c r="E162" i="3" s="1"/>
  <c r="D161" i="3"/>
  <c r="E161" i="3" s="1"/>
  <c r="D160" i="3"/>
  <c r="E160" i="3" s="1"/>
  <c r="D159" i="3"/>
  <c r="E159" i="3" s="1"/>
  <c r="D158" i="3"/>
  <c r="E158" i="3" s="1"/>
  <c r="D157" i="3"/>
  <c r="E157" i="3" s="1"/>
  <c r="D156" i="3"/>
  <c r="E156" i="3" s="1"/>
  <c r="D155" i="3"/>
  <c r="E155" i="3" s="1"/>
  <c r="D154" i="3"/>
  <c r="E154" i="3" s="1"/>
  <c r="D153" i="3"/>
  <c r="E153" i="3" s="1"/>
  <c r="D152" i="3"/>
  <c r="E152" i="3" s="1"/>
  <c r="D151" i="3"/>
  <c r="E151" i="3" s="1"/>
  <c r="D150" i="3"/>
  <c r="E150" i="3" s="1"/>
  <c r="D149" i="3"/>
  <c r="E149" i="3" s="1"/>
  <c r="D148" i="3"/>
  <c r="E148" i="3" s="1"/>
  <c r="D147" i="3"/>
  <c r="E147" i="3" s="1"/>
  <c r="D146" i="3"/>
  <c r="E146" i="3" s="1"/>
  <c r="D145" i="3"/>
  <c r="E145" i="3" s="1"/>
  <c r="D144" i="3"/>
  <c r="E144" i="3" s="1"/>
  <c r="D143" i="3"/>
  <c r="E143" i="3" s="1"/>
  <c r="D142" i="3"/>
  <c r="E142" i="3" s="1"/>
  <c r="D141" i="3"/>
  <c r="E141" i="3" s="1"/>
  <c r="D140" i="3"/>
  <c r="E140" i="3" s="1"/>
  <c r="D139" i="3"/>
  <c r="E139" i="3" s="1"/>
  <c r="D138" i="3"/>
  <c r="E138" i="3" s="1"/>
  <c r="D137" i="3"/>
  <c r="E137" i="3" s="1"/>
  <c r="D136" i="3"/>
  <c r="E136" i="3" s="1"/>
  <c r="D135" i="3"/>
  <c r="E135" i="3" s="1"/>
  <c r="D134" i="3"/>
  <c r="E134" i="3" s="1"/>
  <c r="D133" i="3"/>
  <c r="E133" i="3" s="1"/>
  <c r="D132" i="3"/>
  <c r="E132" i="3" s="1"/>
  <c r="D131" i="3"/>
  <c r="E131" i="3" s="1"/>
  <c r="D130" i="3"/>
  <c r="E130" i="3" s="1"/>
  <c r="D129" i="3"/>
  <c r="E129" i="3" s="1"/>
  <c r="D128" i="3"/>
  <c r="E128" i="3" s="1"/>
  <c r="D127" i="3"/>
  <c r="E127" i="3" s="1"/>
  <c r="D126" i="3"/>
  <c r="E126" i="3" s="1"/>
  <c r="D125" i="3"/>
  <c r="E125" i="3" s="1"/>
  <c r="D124" i="3"/>
  <c r="E124" i="3" s="1"/>
  <c r="D123" i="3"/>
  <c r="E123" i="3" s="1"/>
  <c r="D122" i="3"/>
  <c r="E122" i="3" s="1"/>
  <c r="D121" i="3"/>
  <c r="E121" i="3" s="1"/>
  <c r="D120" i="3"/>
  <c r="E120" i="3" s="1"/>
  <c r="D119" i="3"/>
  <c r="E119" i="3" s="1"/>
  <c r="D118" i="3"/>
  <c r="E118" i="3" s="1"/>
  <c r="D117" i="3"/>
  <c r="E117" i="3" s="1"/>
  <c r="D116" i="3"/>
  <c r="E116" i="3" s="1"/>
  <c r="D115" i="3"/>
  <c r="E115" i="3" s="1"/>
  <c r="D114" i="3"/>
  <c r="E114" i="3" s="1"/>
  <c r="D113" i="3"/>
  <c r="E113" i="3" s="1"/>
  <c r="D112" i="3"/>
  <c r="E112" i="3" s="1"/>
  <c r="D111" i="3"/>
  <c r="E111" i="3" s="1"/>
  <c r="D110" i="3"/>
  <c r="E110" i="3" s="1"/>
  <c r="D109" i="3"/>
  <c r="E109" i="3" s="1"/>
  <c r="D108" i="3"/>
  <c r="E108" i="3" s="1"/>
  <c r="D107" i="3"/>
  <c r="E107" i="3" s="1"/>
  <c r="D106" i="3"/>
  <c r="E106" i="3" s="1"/>
  <c r="D105" i="3"/>
  <c r="E105" i="3" s="1"/>
  <c r="D104" i="3"/>
  <c r="E104" i="3" s="1"/>
  <c r="D103" i="3"/>
  <c r="E103" i="3" s="1"/>
  <c r="D102" i="3"/>
  <c r="E102" i="3" s="1"/>
  <c r="D101" i="3"/>
  <c r="E101" i="3" s="1"/>
  <c r="D100" i="3"/>
  <c r="E100" i="3" s="1"/>
  <c r="D99" i="3"/>
  <c r="E99" i="3" s="1"/>
  <c r="D98" i="3"/>
  <c r="E98" i="3" s="1"/>
  <c r="D97" i="3"/>
  <c r="E97" i="3" s="1"/>
  <c r="D96" i="3"/>
  <c r="E96" i="3" s="1"/>
  <c r="D95" i="3"/>
  <c r="E95" i="3" s="1"/>
  <c r="D94" i="3"/>
  <c r="E94" i="3" s="1"/>
  <c r="D93" i="3"/>
  <c r="E93" i="3" s="1"/>
  <c r="D92" i="3"/>
  <c r="E92" i="3" s="1"/>
  <c r="D91" i="3"/>
  <c r="E91" i="3" s="1"/>
  <c r="D90" i="3"/>
  <c r="E90" i="3" s="1"/>
  <c r="D89" i="3"/>
  <c r="E89" i="3" s="1"/>
  <c r="D88" i="3"/>
  <c r="E88" i="3" s="1"/>
  <c r="D87" i="3"/>
  <c r="E87" i="3" s="1"/>
  <c r="D86" i="3"/>
  <c r="E86" i="3" s="1"/>
  <c r="D85" i="3"/>
  <c r="E85" i="3" s="1"/>
  <c r="D84" i="3"/>
  <c r="E84" i="3" s="1"/>
  <c r="D83" i="3"/>
  <c r="E83" i="3" s="1"/>
  <c r="D82" i="3"/>
  <c r="E82" i="3" s="1"/>
  <c r="D81" i="3"/>
  <c r="E81" i="3" s="1"/>
  <c r="D80" i="3"/>
  <c r="E80" i="3" s="1"/>
  <c r="D79" i="3"/>
  <c r="E79" i="3" s="1"/>
  <c r="D78" i="3"/>
  <c r="E78" i="3" s="1"/>
  <c r="D77" i="3"/>
  <c r="E77" i="3" s="1"/>
  <c r="D76" i="3"/>
  <c r="E76" i="3" s="1"/>
  <c r="D75" i="3"/>
  <c r="E75" i="3" s="1"/>
  <c r="D74" i="3"/>
  <c r="E74" i="3" s="1"/>
  <c r="D73" i="3"/>
  <c r="E73" i="3" s="1"/>
  <c r="D72" i="3"/>
  <c r="E72" i="3" s="1"/>
  <c r="D71" i="3"/>
  <c r="E71" i="3" s="1"/>
  <c r="D70" i="3"/>
  <c r="E70" i="3" s="1"/>
  <c r="D69" i="3"/>
  <c r="E69" i="3" s="1"/>
  <c r="D68" i="3"/>
  <c r="E68" i="3" s="1"/>
  <c r="D67" i="3"/>
  <c r="E67" i="3" s="1"/>
  <c r="D66" i="3"/>
  <c r="E66" i="3" s="1"/>
  <c r="D65" i="3"/>
  <c r="E65" i="3" s="1"/>
  <c r="D64" i="3"/>
  <c r="E64" i="3" s="1"/>
  <c r="D63" i="3"/>
  <c r="E63" i="3" s="1"/>
  <c r="D62" i="3"/>
  <c r="E62" i="3" s="1"/>
  <c r="D61" i="3"/>
  <c r="E61" i="3" s="1"/>
  <c r="D60" i="3"/>
  <c r="E60" i="3" s="1"/>
  <c r="D59" i="3"/>
  <c r="E59" i="3" s="1"/>
  <c r="D58" i="3"/>
  <c r="E58" i="3" s="1"/>
  <c r="D57" i="3"/>
  <c r="E57" i="3" s="1"/>
  <c r="D56" i="3"/>
  <c r="E56" i="3" s="1"/>
  <c r="D55" i="3"/>
  <c r="E55" i="3" s="1"/>
  <c r="D54" i="3"/>
  <c r="E54" i="3" s="1"/>
  <c r="D53" i="3"/>
  <c r="E53" i="3" s="1"/>
  <c r="D52" i="3"/>
  <c r="E52" i="3" s="1"/>
  <c r="D51" i="3"/>
  <c r="E51" i="3" s="1"/>
  <c r="D50" i="3"/>
  <c r="E50" i="3" s="1"/>
  <c r="D49" i="3"/>
  <c r="E49" i="3" s="1"/>
  <c r="D48" i="3"/>
  <c r="E48" i="3" s="1"/>
  <c r="D47" i="3"/>
  <c r="E47" i="3" s="1"/>
  <c r="D46" i="3"/>
  <c r="E46" i="3" s="1"/>
  <c r="D45" i="3"/>
  <c r="E45" i="3" s="1"/>
  <c r="D44" i="3"/>
  <c r="E44" i="3" s="1"/>
  <c r="D43" i="3"/>
  <c r="E43" i="3" s="1"/>
  <c r="D42" i="3"/>
  <c r="E42" i="3" s="1"/>
  <c r="D41" i="3"/>
  <c r="E41" i="3" s="1"/>
  <c r="D40" i="3"/>
  <c r="E40" i="3" s="1"/>
  <c r="D39" i="3"/>
  <c r="E39" i="3" s="1"/>
  <c r="D38" i="3"/>
  <c r="E38" i="3" s="1"/>
  <c r="D37" i="3"/>
  <c r="E37" i="3" s="1"/>
  <c r="D36" i="3"/>
  <c r="E36" i="3" s="1"/>
  <c r="D35" i="3"/>
  <c r="E35" i="3" s="1"/>
  <c r="D34" i="3"/>
  <c r="E34" i="3" s="1"/>
  <c r="D33" i="3"/>
  <c r="E33" i="3" s="1"/>
  <c r="D32" i="3"/>
  <c r="E32" i="3" s="1"/>
  <c r="D31" i="3"/>
  <c r="E31" i="3" s="1"/>
  <c r="D30" i="3"/>
  <c r="E30" i="3" s="1"/>
  <c r="D29" i="3"/>
  <c r="E29" i="3" s="1"/>
  <c r="D28" i="3"/>
  <c r="E28" i="3" s="1"/>
  <c r="D27" i="3"/>
  <c r="E27" i="3" s="1"/>
  <c r="D26" i="3"/>
  <c r="E26" i="3" s="1"/>
  <c r="D25" i="3"/>
  <c r="E25" i="3" s="1"/>
  <c r="D24" i="3"/>
  <c r="E24" i="3" s="1"/>
  <c r="D23" i="3"/>
  <c r="E23" i="3" s="1"/>
  <c r="D22" i="3"/>
  <c r="E22" i="3" s="1"/>
  <c r="D21" i="3"/>
  <c r="E21" i="3" s="1"/>
  <c r="D20" i="3"/>
  <c r="E20" i="3" s="1"/>
  <c r="D19" i="3"/>
  <c r="E19" i="3" s="1"/>
  <c r="D18" i="3"/>
  <c r="E18" i="3" s="1"/>
  <c r="D17" i="3"/>
  <c r="E17" i="3" s="1"/>
  <c r="D16" i="3"/>
  <c r="E16" i="3" s="1"/>
  <c r="D15" i="3"/>
  <c r="E15" i="3" s="1"/>
  <c r="D14" i="3"/>
  <c r="E14" i="3" s="1"/>
  <c r="D13" i="3"/>
  <c r="E13" i="3" s="1"/>
  <c r="D12" i="3"/>
  <c r="E12" i="3" s="1"/>
  <c r="D11" i="3"/>
  <c r="E11" i="3" s="1"/>
  <c r="D10" i="3"/>
  <c r="E10" i="3" s="1"/>
  <c r="D9" i="3"/>
  <c r="E9" i="3" s="1"/>
  <c r="D8" i="3"/>
  <c r="E8" i="3" s="1"/>
  <c r="D7" i="3"/>
  <c r="E7" i="3" s="1"/>
  <c r="D6" i="3"/>
  <c r="E6" i="3" s="1"/>
  <c r="D5" i="3"/>
  <c r="E5" i="3" s="1"/>
  <c r="D4" i="3"/>
  <c r="E4" i="3" s="1"/>
  <c r="D3" i="3"/>
  <c r="E3" i="3" s="1"/>
  <c r="C1201" i="3"/>
  <c r="B1201" i="3"/>
  <c r="C1200" i="3"/>
  <c r="B1200" i="3"/>
  <c r="C1199" i="3"/>
  <c r="B1199" i="3"/>
  <c r="C1198" i="3"/>
  <c r="B1198" i="3"/>
  <c r="C1197" i="3"/>
  <c r="B1197" i="3"/>
  <c r="C1196" i="3"/>
  <c r="B1196" i="3"/>
  <c r="C1195" i="3"/>
  <c r="B1195" i="3"/>
  <c r="C1194" i="3"/>
  <c r="B1194" i="3"/>
  <c r="C1193" i="3"/>
  <c r="B1193" i="3"/>
  <c r="C1192" i="3"/>
  <c r="B1192" i="3"/>
  <c r="C1191" i="3"/>
  <c r="B1191" i="3"/>
  <c r="C1190" i="3"/>
  <c r="B1190" i="3"/>
  <c r="C1189" i="3"/>
  <c r="B1189" i="3"/>
  <c r="C1188" i="3"/>
  <c r="B1188" i="3"/>
  <c r="C1187" i="3"/>
  <c r="B1187" i="3"/>
  <c r="C1186" i="3"/>
  <c r="B1186" i="3"/>
  <c r="C1185" i="3"/>
  <c r="B1185" i="3"/>
  <c r="C1184" i="3"/>
  <c r="B1184" i="3"/>
  <c r="C1183" i="3"/>
  <c r="B1183" i="3"/>
  <c r="C1182" i="3"/>
  <c r="B1182" i="3"/>
  <c r="C1181" i="3"/>
  <c r="B1181" i="3"/>
  <c r="C1180" i="3"/>
  <c r="B1180" i="3"/>
  <c r="C1179" i="3"/>
  <c r="B1179" i="3"/>
  <c r="C1178" i="3"/>
  <c r="B1178" i="3"/>
  <c r="C1177" i="3"/>
  <c r="B1177" i="3"/>
  <c r="C1176" i="3"/>
  <c r="B1176" i="3"/>
  <c r="C1175" i="3"/>
  <c r="B1175" i="3"/>
  <c r="C1174" i="3"/>
  <c r="B1174" i="3"/>
  <c r="C1173" i="3"/>
  <c r="B1173" i="3"/>
  <c r="C1172" i="3"/>
  <c r="B1172" i="3"/>
  <c r="C1171" i="3"/>
  <c r="B1171" i="3"/>
  <c r="C1170" i="3"/>
  <c r="B1170" i="3"/>
  <c r="C1169" i="3"/>
  <c r="B1169" i="3"/>
  <c r="C1168" i="3"/>
  <c r="B1168" i="3"/>
  <c r="C1167" i="3"/>
  <c r="B1167" i="3"/>
  <c r="C1166" i="3"/>
  <c r="B1166" i="3"/>
  <c r="C1165" i="3"/>
  <c r="B1165" i="3"/>
  <c r="C1164" i="3"/>
  <c r="B1164" i="3"/>
  <c r="C1163" i="3"/>
  <c r="B1163" i="3"/>
  <c r="C1162" i="3"/>
  <c r="B1162" i="3"/>
  <c r="C1161" i="3"/>
  <c r="B1161" i="3"/>
  <c r="C1160" i="3"/>
  <c r="B1160" i="3"/>
  <c r="C1159" i="3"/>
  <c r="B1159" i="3"/>
  <c r="C1158" i="3"/>
  <c r="B1158" i="3"/>
  <c r="C1157" i="3"/>
  <c r="B1157" i="3"/>
  <c r="C1156" i="3"/>
  <c r="B1156" i="3"/>
  <c r="C1155" i="3"/>
  <c r="B1155" i="3"/>
  <c r="C1154" i="3"/>
  <c r="B1154" i="3"/>
  <c r="C1153" i="3"/>
  <c r="B1153" i="3"/>
  <c r="C1152" i="3"/>
  <c r="B1152" i="3"/>
  <c r="C1151" i="3"/>
  <c r="B1151" i="3"/>
  <c r="C1150" i="3"/>
  <c r="B1150" i="3"/>
  <c r="C1149" i="3"/>
  <c r="B1149" i="3"/>
  <c r="C1148" i="3"/>
  <c r="B1148" i="3"/>
  <c r="C1147" i="3"/>
  <c r="B1147" i="3"/>
  <c r="C1146" i="3"/>
  <c r="B1146" i="3"/>
  <c r="C1145" i="3"/>
  <c r="B1145" i="3"/>
  <c r="C1144" i="3"/>
  <c r="B1144" i="3"/>
  <c r="C1143" i="3"/>
  <c r="B1143" i="3"/>
  <c r="C1142" i="3"/>
  <c r="B1142" i="3"/>
  <c r="C1141" i="3"/>
  <c r="B1141" i="3"/>
  <c r="C1140" i="3"/>
  <c r="B1140" i="3"/>
  <c r="C1139" i="3"/>
  <c r="B1139" i="3"/>
  <c r="C1138" i="3"/>
  <c r="B1138" i="3"/>
  <c r="C1137" i="3"/>
  <c r="B1137" i="3"/>
  <c r="C1136" i="3"/>
  <c r="B1136" i="3"/>
  <c r="C1135" i="3"/>
  <c r="B1135" i="3"/>
  <c r="C1134" i="3"/>
  <c r="B1134" i="3"/>
  <c r="C1133" i="3"/>
  <c r="B1133" i="3"/>
  <c r="C1132" i="3"/>
  <c r="B1132" i="3"/>
  <c r="C1131" i="3"/>
  <c r="B1131" i="3"/>
  <c r="C1130" i="3"/>
  <c r="B1130" i="3"/>
  <c r="C1129" i="3"/>
  <c r="B1129" i="3"/>
  <c r="C1128" i="3"/>
  <c r="B1128" i="3"/>
  <c r="C1127" i="3"/>
  <c r="B1127" i="3"/>
  <c r="C1126" i="3"/>
  <c r="B1126" i="3"/>
  <c r="C1125" i="3"/>
  <c r="B1125" i="3"/>
  <c r="C1124" i="3"/>
  <c r="B1124" i="3"/>
  <c r="C1123" i="3"/>
  <c r="B1123" i="3"/>
  <c r="C1122" i="3"/>
  <c r="B1122" i="3"/>
  <c r="C1121" i="3"/>
  <c r="B1121" i="3"/>
  <c r="C1120" i="3"/>
  <c r="B1120" i="3"/>
  <c r="C1119" i="3"/>
  <c r="B1119" i="3"/>
  <c r="C1118" i="3"/>
  <c r="B1118" i="3"/>
  <c r="C1117" i="3"/>
  <c r="B1117" i="3"/>
  <c r="C1116" i="3"/>
  <c r="B1116" i="3"/>
  <c r="C1115" i="3"/>
  <c r="B1115" i="3"/>
  <c r="C1114" i="3"/>
  <c r="B1114" i="3"/>
  <c r="C1113" i="3"/>
  <c r="B1113" i="3"/>
  <c r="C1112" i="3"/>
  <c r="B1112" i="3"/>
  <c r="C1111" i="3"/>
  <c r="B1111" i="3"/>
  <c r="C1110" i="3"/>
  <c r="B1110" i="3"/>
  <c r="C1109" i="3"/>
  <c r="B1109" i="3"/>
  <c r="C1108" i="3"/>
  <c r="B1108" i="3"/>
  <c r="C1107" i="3"/>
  <c r="B1107" i="3"/>
  <c r="C1106" i="3"/>
  <c r="B1106" i="3"/>
  <c r="C1105" i="3"/>
  <c r="B1105" i="3"/>
  <c r="C1104" i="3"/>
  <c r="B1104" i="3"/>
  <c r="C1103" i="3"/>
  <c r="B1103" i="3"/>
  <c r="C1102" i="3"/>
  <c r="B1102" i="3"/>
  <c r="C1101" i="3"/>
  <c r="B1101" i="3"/>
  <c r="C1100" i="3"/>
  <c r="B1100" i="3"/>
  <c r="C1099" i="3"/>
  <c r="B1099" i="3"/>
  <c r="C1098" i="3"/>
  <c r="B1098" i="3"/>
  <c r="C1097" i="3"/>
  <c r="B1097" i="3"/>
  <c r="C1096" i="3"/>
  <c r="B1096" i="3"/>
  <c r="C1095" i="3"/>
  <c r="B1095" i="3"/>
  <c r="C1094" i="3"/>
  <c r="B1094" i="3"/>
  <c r="C1093" i="3"/>
  <c r="B1093" i="3"/>
  <c r="C1092" i="3"/>
  <c r="B1092" i="3"/>
  <c r="C1091" i="3"/>
  <c r="B1091" i="3"/>
  <c r="C1090" i="3"/>
  <c r="B1090" i="3"/>
  <c r="C1089" i="3"/>
  <c r="B1089" i="3"/>
  <c r="C1088" i="3"/>
  <c r="B1088" i="3"/>
  <c r="C1087" i="3"/>
  <c r="B1087" i="3"/>
  <c r="C1086" i="3"/>
  <c r="B1086" i="3"/>
  <c r="C1085" i="3"/>
  <c r="B1085" i="3"/>
  <c r="C1084" i="3"/>
  <c r="B1084" i="3"/>
  <c r="C1083" i="3"/>
  <c r="B1083" i="3"/>
  <c r="C1082" i="3"/>
  <c r="B1082" i="3"/>
  <c r="C1081" i="3"/>
  <c r="B1081" i="3"/>
  <c r="C1080" i="3"/>
  <c r="B1080" i="3"/>
  <c r="C1079" i="3"/>
  <c r="B1079" i="3"/>
  <c r="C1078" i="3"/>
  <c r="B1078" i="3"/>
  <c r="C1077" i="3"/>
  <c r="B1077" i="3"/>
  <c r="C1076" i="3"/>
  <c r="B1076" i="3"/>
  <c r="C1075" i="3"/>
  <c r="B1075" i="3"/>
  <c r="C1074" i="3"/>
  <c r="B1074" i="3"/>
  <c r="C1073" i="3"/>
  <c r="B1073" i="3"/>
  <c r="C1072" i="3"/>
  <c r="B1072" i="3"/>
  <c r="C1071" i="3"/>
  <c r="B1071" i="3"/>
  <c r="C1070" i="3"/>
  <c r="B1070" i="3"/>
  <c r="C1069" i="3"/>
  <c r="B1069" i="3"/>
  <c r="C1068" i="3"/>
  <c r="B1068" i="3"/>
  <c r="C1067" i="3"/>
  <c r="B1067" i="3"/>
  <c r="C1066" i="3"/>
  <c r="B1066" i="3"/>
  <c r="C1065" i="3"/>
  <c r="B1065" i="3"/>
  <c r="C1064" i="3"/>
  <c r="B1064" i="3"/>
  <c r="C1063" i="3"/>
  <c r="B1063" i="3"/>
  <c r="C1062" i="3"/>
  <c r="B1062" i="3"/>
  <c r="C1061" i="3"/>
  <c r="B1061" i="3"/>
  <c r="C1060" i="3"/>
  <c r="B1060" i="3"/>
  <c r="C1059" i="3"/>
  <c r="B1059" i="3"/>
  <c r="C1058" i="3"/>
  <c r="B1058" i="3"/>
  <c r="C1057" i="3"/>
  <c r="B1057" i="3"/>
  <c r="C1056" i="3"/>
  <c r="B1056" i="3"/>
  <c r="C1055" i="3"/>
  <c r="B1055" i="3"/>
  <c r="C1054" i="3"/>
  <c r="B1054" i="3"/>
  <c r="C1053" i="3"/>
  <c r="B1053" i="3"/>
  <c r="C1052" i="3"/>
  <c r="B1052" i="3"/>
  <c r="C1051" i="3"/>
  <c r="B1051" i="3"/>
  <c r="C1050" i="3"/>
  <c r="B1050" i="3"/>
  <c r="C1049" i="3"/>
  <c r="B1049" i="3"/>
  <c r="C1048" i="3"/>
  <c r="B1048" i="3"/>
  <c r="C1047" i="3"/>
  <c r="B1047" i="3"/>
  <c r="C1046" i="3"/>
  <c r="B1046" i="3"/>
  <c r="C1045" i="3"/>
  <c r="B1045" i="3"/>
  <c r="C1044" i="3"/>
  <c r="B1044" i="3"/>
  <c r="C1043" i="3"/>
  <c r="B1043" i="3"/>
  <c r="C1042" i="3"/>
  <c r="B1042" i="3"/>
  <c r="C1041" i="3"/>
  <c r="B1041" i="3"/>
  <c r="C1040" i="3"/>
  <c r="B1040" i="3"/>
  <c r="C1039" i="3"/>
  <c r="B1039" i="3"/>
  <c r="C1038" i="3"/>
  <c r="B1038" i="3"/>
  <c r="C1037" i="3"/>
  <c r="B1037" i="3"/>
  <c r="C1036" i="3"/>
  <c r="B1036" i="3"/>
  <c r="C1035" i="3"/>
  <c r="B1035" i="3"/>
  <c r="C1034" i="3"/>
  <c r="B1034" i="3"/>
  <c r="C1033" i="3"/>
  <c r="B1033" i="3"/>
  <c r="C1032" i="3"/>
  <c r="B1032" i="3"/>
  <c r="C1031" i="3"/>
  <c r="B1031" i="3"/>
  <c r="C1030" i="3"/>
  <c r="B1030" i="3"/>
  <c r="C1029" i="3"/>
  <c r="B1029" i="3"/>
  <c r="C1028" i="3"/>
  <c r="B1028" i="3"/>
  <c r="C1027" i="3"/>
  <c r="B1027" i="3"/>
  <c r="C1026" i="3"/>
  <c r="B1026" i="3"/>
  <c r="C1025" i="3"/>
  <c r="B1025" i="3"/>
  <c r="C1024" i="3"/>
  <c r="B1024" i="3"/>
  <c r="C1023" i="3"/>
  <c r="B1023" i="3"/>
  <c r="C1022" i="3"/>
  <c r="B1022" i="3"/>
  <c r="C1021" i="3"/>
  <c r="B1021" i="3"/>
  <c r="C1020" i="3"/>
  <c r="B1020" i="3"/>
  <c r="C1019" i="3"/>
  <c r="B1019" i="3"/>
  <c r="C1018" i="3"/>
  <c r="B1018" i="3"/>
  <c r="C1017" i="3"/>
  <c r="B1017" i="3"/>
  <c r="C1016" i="3"/>
  <c r="B1016" i="3"/>
  <c r="C1015" i="3"/>
  <c r="B1015" i="3"/>
  <c r="C1014" i="3"/>
  <c r="B1014" i="3"/>
  <c r="C1013" i="3"/>
  <c r="B1013" i="3"/>
  <c r="C1012" i="3"/>
  <c r="B1012" i="3"/>
  <c r="C1011" i="3"/>
  <c r="B1011" i="3"/>
  <c r="C1010" i="3"/>
  <c r="B1010" i="3"/>
  <c r="C1009" i="3"/>
  <c r="B1009" i="3"/>
  <c r="C1008" i="3"/>
  <c r="B1008" i="3"/>
  <c r="C1007" i="3"/>
  <c r="B1007" i="3"/>
  <c r="C1006" i="3"/>
  <c r="B1006" i="3"/>
  <c r="C1005" i="3"/>
  <c r="B1005" i="3"/>
  <c r="C1004" i="3"/>
  <c r="B1004" i="3"/>
  <c r="C1003" i="3"/>
  <c r="B1003" i="3"/>
  <c r="C1002" i="3"/>
  <c r="B1002" i="3"/>
  <c r="C1001" i="3"/>
  <c r="B1001" i="3"/>
  <c r="C1000" i="3"/>
  <c r="B1000" i="3"/>
  <c r="C999" i="3"/>
  <c r="B999" i="3"/>
  <c r="C998" i="3"/>
  <c r="B998" i="3"/>
  <c r="C997" i="3"/>
  <c r="B997" i="3"/>
  <c r="C996" i="3"/>
  <c r="B996" i="3"/>
  <c r="C995" i="3"/>
  <c r="B995" i="3"/>
  <c r="C994" i="3"/>
  <c r="B994" i="3"/>
  <c r="C993" i="3"/>
  <c r="B993" i="3"/>
  <c r="C992" i="3"/>
  <c r="B992" i="3"/>
  <c r="C991" i="3"/>
  <c r="B991" i="3"/>
  <c r="C990" i="3"/>
  <c r="B990" i="3"/>
  <c r="C989" i="3"/>
  <c r="B989" i="3"/>
  <c r="C988" i="3"/>
  <c r="B988" i="3"/>
  <c r="C987" i="3"/>
  <c r="B987" i="3"/>
  <c r="C986" i="3"/>
  <c r="B986" i="3"/>
  <c r="C985" i="3"/>
  <c r="B985" i="3"/>
  <c r="C984" i="3"/>
  <c r="B984" i="3"/>
  <c r="C983" i="3"/>
  <c r="B983" i="3"/>
  <c r="C982" i="3"/>
  <c r="B982" i="3"/>
  <c r="C981" i="3"/>
  <c r="B981" i="3"/>
  <c r="C980" i="3"/>
  <c r="B980" i="3"/>
  <c r="C979" i="3"/>
  <c r="B979" i="3"/>
  <c r="C978" i="3"/>
  <c r="B978" i="3"/>
  <c r="C977" i="3"/>
  <c r="B977" i="3"/>
  <c r="C976" i="3"/>
  <c r="B976" i="3"/>
  <c r="C975" i="3"/>
  <c r="B975" i="3"/>
  <c r="C974" i="3"/>
  <c r="B974" i="3"/>
  <c r="C973" i="3"/>
  <c r="B973" i="3"/>
  <c r="C972" i="3"/>
  <c r="B972" i="3"/>
  <c r="C971" i="3"/>
  <c r="B971" i="3"/>
  <c r="C970" i="3"/>
  <c r="B970" i="3"/>
  <c r="C969" i="3"/>
  <c r="B969" i="3"/>
  <c r="C968" i="3"/>
  <c r="B968" i="3"/>
  <c r="C967" i="3"/>
  <c r="B967" i="3"/>
  <c r="C966" i="3"/>
  <c r="B966" i="3"/>
  <c r="C965" i="3"/>
  <c r="B965" i="3"/>
  <c r="C964" i="3"/>
  <c r="B964" i="3"/>
  <c r="C963" i="3"/>
  <c r="B963" i="3"/>
  <c r="C962" i="3"/>
  <c r="B962" i="3"/>
  <c r="C961" i="3"/>
  <c r="B961" i="3"/>
  <c r="C960" i="3"/>
  <c r="B960" i="3"/>
  <c r="C959" i="3"/>
  <c r="B959" i="3"/>
  <c r="C958" i="3"/>
  <c r="B958" i="3"/>
  <c r="C957" i="3"/>
  <c r="B957" i="3"/>
  <c r="C956" i="3"/>
  <c r="B956" i="3"/>
  <c r="C955" i="3"/>
  <c r="B955" i="3"/>
  <c r="C954" i="3"/>
  <c r="B954" i="3"/>
  <c r="C953" i="3"/>
  <c r="B953" i="3"/>
  <c r="C952" i="3"/>
  <c r="B952" i="3"/>
  <c r="C951" i="3"/>
  <c r="B951" i="3"/>
  <c r="C950" i="3"/>
  <c r="B950" i="3"/>
  <c r="C949" i="3"/>
  <c r="B949" i="3"/>
  <c r="C948" i="3"/>
  <c r="B948" i="3"/>
  <c r="C947" i="3"/>
  <c r="B947" i="3"/>
  <c r="C946" i="3"/>
  <c r="B946" i="3"/>
  <c r="C945" i="3"/>
  <c r="B945" i="3"/>
  <c r="C944" i="3"/>
  <c r="B944" i="3"/>
  <c r="C943" i="3"/>
  <c r="B943" i="3"/>
  <c r="C942" i="3"/>
  <c r="B942" i="3"/>
  <c r="C941" i="3"/>
  <c r="B941" i="3"/>
  <c r="C940" i="3"/>
  <c r="B940" i="3"/>
  <c r="C939" i="3"/>
  <c r="B939" i="3"/>
  <c r="C938" i="3"/>
  <c r="B938" i="3"/>
  <c r="C937" i="3"/>
  <c r="B937" i="3"/>
  <c r="C936" i="3"/>
  <c r="B936" i="3"/>
  <c r="C935" i="3"/>
  <c r="B935" i="3"/>
  <c r="C934" i="3"/>
  <c r="B934" i="3"/>
  <c r="C933" i="3"/>
  <c r="B933" i="3"/>
  <c r="C932" i="3"/>
  <c r="B932" i="3"/>
  <c r="C931" i="3"/>
  <c r="B931" i="3"/>
  <c r="C930" i="3"/>
  <c r="B930" i="3"/>
  <c r="C929" i="3"/>
  <c r="B929" i="3"/>
  <c r="C928" i="3"/>
  <c r="B928" i="3"/>
  <c r="C927" i="3"/>
  <c r="B927" i="3"/>
  <c r="C926" i="3"/>
  <c r="B926" i="3"/>
  <c r="C925" i="3"/>
  <c r="B925" i="3"/>
  <c r="C924" i="3"/>
  <c r="B924" i="3"/>
  <c r="C923" i="3"/>
  <c r="B923" i="3"/>
  <c r="C922" i="3"/>
  <c r="B922" i="3"/>
  <c r="C921" i="3"/>
  <c r="B921" i="3"/>
  <c r="C920" i="3"/>
  <c r="B920" i="3"/>
  <c r="C919" i="3"/>
  <c r="B919" i="3"/>
  <c r="C918" i="3"/>
  <c r="B918" i="3"/>
  <c r="C917" i="3"/>
  <c r="B917" i="3"/>
  <c r="C916" i="3"/>
  <c r="B916" i="3"/>
  <c r="C915" i="3"/>
  <c r="B915" i="3"/>
  <c r="C914" i="3"/>
  <c r="B914" i="3"/>
  <c r="C913" i="3"/>
  <c r="B913" i="3"/>
  <c r="C912" i="3"/>
  <c r="B912" i="3"/>
  <c r="C911" i="3"/>
  <c r="B911" i="3"/>
  <c r="C910" i="3"/>
  <c r="B910" i="3"/>
  <c r="C909" i="3"/>
  <c r="B909" i="3"/>
  <c r="C908" i="3"/>
  <c r="B908" i="3"/>
  <c r="C907" i="3"/>
  <c r="B907" i="3"/>
  <c r="C906" i="3"/>
  <c r="B906" i="3"/>
  <c r="C905" i="3"/>
  <c r="B905" i="3"/>
  <c r="C904" i="3"/>
  <c r="B904" i="3"/>
  <c r="C903" i="3"/>
  <c r="B903" i="3"/>
  <c r="C902" i="3"/>
  <c r="B902" i="3"/>
  <c r="C901" i="3"/>
  <c r="B901" i="3"/>
  <c r="C900" i="3"/>
  <c r="B900" i="3"/>
  <c r="C899" i="3"/>
  <c r="B899" i="3"/>
  <c r="C898" i="3"/>
  <c r="B898" i="3"/>
  <c r="C897" i="3"/>
  <c r="B897" i="3"/>
  <c r="C896" i="3"/>
  <c r="B896" i="3"/>
  <c r="C895" i="3"/>
  <c r="B895" i="3"/>
  <c r="C894" i="3"/>
  <c r="B894" i="3"/>
  <c r="C893" i="3"/>
  <c r="B893" i="3"/>
  <c r="C892" i="3"/>
  <c r="B892" i="3"/>
  <c r="C891" i="3"/>
  <c r="B891" i="3"/>
  <c r="C890" i="3"/>
  <c r="B890" i="3"/>
  <c r="C889" i="3"/>
  <c r="B889" i="3"/>
  <c r="C888" i="3"/>
  <c r="B888" i="3"/>
  <c r="C887" i="3"/>
  <c r="B887" i="3"/>
  <c r="C886" i="3"/>
  <c r="B886" i="3"/>
  <c r="C885" i="3"/>
  <c r="B885" i="3"/>
  <c r="C884" i="3"/>
  <c r="B884" i="3"/>
  <c r="C883" i="3"/>
  <c r="B883" i="3"/>
  <c r="C882" i="3"/>
  <c r="B882" i="3"/>
  <c r="C881" i="3"/>
  <c r="B881" i="3"/>
  <c r="C880" i="3"/>
  <c r="B880" i="3"/>
  <c r="C879" i="3"/>
  <c r="B879" i="3"/>
  <c r="C878" i="3"/>
  <c r="B878" i="3"/>
  <c r="C877" i="3"/>
  <c r="B877" i="3"/>
  <c r="C876" i="3"/>
  <c r="B876" i="3"/>
  <c r="C875" i="3"/>
  <c r="B875" i="3"/>
  <c r="C874" i="3"/>
  <c r="B874" i="3"/>
  <c r="C873" i="3"/>
  <c r="B873" i="3"/>
  <c r="C872" i="3"/>
  <c r="B872" i="3"/>
  <c r="C871" i="3"/>
  <c r="B871" i="3"/>
  <c r="C870" i="3"/>
  <c r="B870" i="3"/>
  <c r="C869" i="3"/>
  <c r="B869" i="3"/>
  <c r="C868" i="3"/>
  <c r="B868" i="3"/>
  <c r="C867" i="3"/>
  <c r="B867" i="3"/>
  <c r="C866" i="3"/>
  <c r="B866" i="3"/>
  <c r="C865" i="3"/>
  <c r="B865" i="3"/>
  <c r="C864" i="3"/>
  <c r="B864" i="3"/>
  <c r="C863" i="3"/>
  <c r="B863" i="3"/>
  <c r="C862" i="3"/>
  <c r="B862" i="3"/>
  <c r="C861" i="3"/>
  <c r="B861" i="3"/>
  <c r="C860" i="3"/>
  <c r="B860" i="3"/>
  <c r="C859" i="3"/>
  <c r="B859" i="3"/>
  <c r="C858" i="3"/>
  <c r="B858" i="3"/>
  <c r="C857" i="3"/>
  <c r="B857" i="3"/>
  <c r="C856" i="3"/>
  <c r="B856" i="3"/>
  <c r="C855" i="3"/>
  <c r="B855" i="3"/>
  <c r="C854" i="3"/>
  <c r="B854" i="3"/>
  <c r="C853" i="3"/>
  <c r="B853" i="3"/>
  <c r="C852" i="3"/>
  <c r="B852" i="3"/>
  <c r="C851" i="3"/>
  <c r="B851" i="3"/>
  <c r="C850" i="3"/>
  <c r="B850" i="3"/>
  <c r="C849" i="3"/>
  <c r="B849" i="3"/>
  <c r="C848" i="3"/>
  <c r="B848" i="3"/>
  <c r="C847" i="3"/>
  <c r="B847" i="3"/>
  <c r="C846" i="3"/>
  <c r="B846" i="3"/>
  <c r="C845" i="3"/>
  <c r="B845" i="3"/>
  <c r="C844" i="3"/>
  <c r="B844" i="3"/>
  <c r="C843" i="3"/>
  <c r="B843" i="3"/>
  <c r="C842" i="3"/>
  <c r="B842" i="3"/>
  <c r="C841" i="3"/>
  <c r="B841" i="3"/>
  <c r="C840" i="3"/>
  <c r="B840" i="3"/>
  <c r="C839" i="3"/>
  <c r="B839" i="3"/>
  <c r="C838" i="3"/>
  <c r="B838" i="3"/>
  <c r="C837" i="3"/>
  <c r="B837" i="3"/>
  <c r="C836" i="3"/>
  <c r="B836" i="3"/>
  <c r="C835" i="3"/>
  <c r="B835" i="3"/>
  <c r="C834" i="3"/>
  <c r="B834" i="3"/>
  <c r="C833" i="3"/>
  <c r="B833" i="3"/>
  <c r="C832" i="3"/>
  <c r="B832" i="3"/>
  <c r="C831" i="3"/>
  <c r="B831" i="3"/>
  <c r="C830" i="3"/>
  <c r="B830" i="3"/>
  <c r="C829" i="3"/>
  <c r="B829" i="3"/>
  <c r="C828" i="3"/>
  <c r="B828" i="3"/>
  <c r="C827" i="3"/>
  <c r="B827" i="3"/>
  <c r="C826" i="3"/>
  <c r="B826" i="3"/>
  <c r="C825" i="3"/>
  <c r="B825" i="3"/>
  <c r="C824" i="3"/>
  <c r="B824" i="3"/>
  <c r="C823" i="3"/>
  <c r="B823" i="3"/>
  <c r="C822" i="3"/>
  <c r="B822" i="3"/>
  <c r="C821" i="3"/>
  <c r="B821" i="3"/>
  <c r="C820" i="3"/>
  <c r="B820" i="3"/>
  <c r="C819" i="3"/>
  <c r="B819" i="3"/>
  <c r="C818" i="3"/>
  <c r="B818" i="3"/>
  <c r="C817" i="3"/>
  <c r="B817" i="3"/>
  <c r="C816" i="3"/>
  <c r="B816" i="3"/>
  <c r="C815" i="3"/>
  <c r="B815" i="3"/>
  <c r="C814" i="3"/>
  <c r="B814" i="3"/>
  <c r="C813" i="3"/>
  <c r="B813" i="3"/>
  <c r="C812" i="3"/>
  <c r="B812" i="3"/>
  <c r="C811" i="3"/>
  <c r="B811" i="3"/>
  <c r="C810" i="3"/>
  <c r="B810" i="3"/>
  <c r="C809" i="3"/>
  <c r="B809" i="3"/>
  <c r="C808" i="3"/>
  <c r="B808" i="3"/>
  <c r="C807" i="3"/>
  <c r="B807" i="3"/>
  <c r="C806" i="3"/>
  <c r="B806" i="3"/>
  <c r="C805" i="3"/>
  <c r="B805" i="3"/>
  <c r="C804" i="3"/>
  <c r="B804" i="3"/>
  <c r="C803" i="3"/>
  <c r="B803" i="3"/>
  <c r="C802" i="3"/>
  <c r="B802" i="3"/>
  <c r="C801" i="3"/>
  <c r="B801" i="3"/>
  <c r="C800" i="3"/>
  <c r="B800" i="3"/>
  <c r="C799" i="3"/>
  <c r="B799" i="3"/>
  <c r="C798" i="3"/>
  <c r="B798" i="3"/>
  <c r="C797" i="3"/>
  <c r="B797" i="3"/>
  <c r="C796" i="3"/>
  <c r="B796" i="3"/>
  <c r="C795" i="3"/>
  <c r="B795" i="3"/>
  <c r="C794" i="3"/>
  <c r="B794" i="3"/>
  <c r="C793" i="3"/>
  <c r="B793" i="3"/>
  <c r="C792" i="3"/>
  <c r="B792" i="3"/>
  <c r="C791" i="3"/>
  <c r="B791" i="3"/>
  <c r="C790" i="3"/>
  <c r="B790" i="3"/>
  <c r="C789" i="3"/>
  <c r="B789" i="3"/>
  <c r="C788" i="3"/>
  <c r="B788" i="3"/>
  <c r="C787" i="3"/>
  <c r="B787" i="3"/>
  <c r="C786" i="3"/>
  <c r="B786" i="3"/>
  <c r="C785" i="3"/>
  <c r="B785" i="3"/>
  <c r="C784" i="3"/>
  <c r="B784" i="3"/>
  <c r="C783" i="3"/>
  <c r="B783" i="3"/>
  <c r="C782" i="3"/>
  <c r="B782" i="3"/>
  <c r="C781" i="3"/>
  <c r="B781" i="3"/>
  <c r="C780" i="3"/>
  <c r="B780" i="3"/>
  <c r="C779" i="3"/>
  <c r="B779" i="3"/>
  <c r="C778" i="3"/>
  <c r="B778" i="3"/>
  <c r="C777" i="3"/>
  <c r="B777" i="3"/>
  <c r="C776" i="3"/>
  <c r="B776" i="3"/>
  <c r="C775" i="3"/>
  <c r="B775" i="3"/>
  <c r="C774" i="3"/>
  <c r="B774" i="3"/>
  <c r="C773" i="3"/>
  <c r="B773" i="3"/>
  <c r="C772" i="3"/>
  <c r="B772" i="3"/>
  <c r="C771" i="3"/>
  <c r="B771" i="3"/>
  <c r="C770" i="3"/>
  <c r="B770" i="3"/>
  <c r="C769" i="3"/>
  <c r="B769" i="3"/>
  <c r="C768" i="3"/>
  <c r="B768" i="3"/>
  <c r="C767" i="3"/>
  <c r="B767" i="3"/>
  <c r="C766" i="3"/>
  <c r="B766" i="3"/>
  <c r="C765" i="3"/>
  <c r="B765" i="3"/>
  <c r="C764" i="3"/>
  <c r="B764" i="3"/>
  <c r="C763" i="3"/>
  <c r="B763" i="3"/>
  <c r="C762" i="3"/>
  <c r="B762" i="3"/>
  <c r="C761" i="3"/>
  <c r="B761" i="3"/>
  <c r="C760" i="3"/>
  <c r="B760" i="3"/>
  <c r="C759" i="3"/>
  <c r="B759" i="3"/>
  <c r="C758" i="3"/>
  <c r="B758" i="3"/>
  <c r="C757" i="3"/>
  <c r="B757" i="3"/>
  <c r="C756" i="3"/>
  <c r="B756" i="3"/>
  <c r="C755" i="3"/>
  <c r="B755" i="3"/>
  <c r="C754" i="3"/>
  <c r="B754" i="3"/>
  <c r="C753" i="3"/>
  <c r="B753" i="3"/>
  <c r="C752" i="3"/>
  <c r="B752" i="3"/>
  <c r="C751" i="3"/>
  <c r="B751" i="3"/>
  <c r="C750" i="3"/>
  <c r="B750" i="3"/>
  <c r="C749" i="3"/>
  <c r="B749" i="3"/>
  <c r="C748" i="3"/>
  <c r="B748" i="3"/>
  <c r="C747" i="3"/>
  <c r="B747" i="3"/>
  <c r="C746" i="3"/>
  <c r="B746" i="3"/>
  <c r="C745" i="3"/>
  <c r="B745" i="3"/>
  <c r="C744" i="3"/>
  <c r="B744" i="3"/>
  <c r="C743" i="3"/>
  <c r="B743" i="3"/>
  <c r="C742" i="3"/>
  <c r="B742" i="3"/>
  <c r="C741" i="3"/>
  <c r="B741" i="3"/>
  <c r="C740" i="3"/>
  <c r="B740" i="3"/>
  <c r="C739" i="3"/>
  <c r="B739" i="3"/>
  <c r="C738" i="3"/>
  <c r="B738" i="3"/>
  <c r="C737" i="3"/>
  <c r="B737" i="3"/>
  <c r="C736" i="3"/>
  <c r="B736" i="3"/>
  <c r="C735" i="3"/>
  <c r="B735" i="3"/>
  <c r="C734" i="3"/>
  <c r="B734" i="3"/>
  <c r="C733" i="3"/>
  <c r="B733" i="3"/>
  <c r="C732" i="3"/>
  <c r="B732" i="3"/>
  <c r="C731" i="3"/>
  <c r="B731" i="3"/>
  <c r="C730" i="3"/>
  <c r="B730" i="3"/>
  <c r="C729" i="3"/>
  <c r="B729" i="3"/>
  <c r="C728" i="3"/>
  <c r="B728" i="3"/>
  <c r="C727" i="3"/>
  <c r="B727" i="3"/>
  <c r="C726" i="3"/>
  <c r="B726" i="3"/>
  <c r="C725" i="3"/>
  <c r="B725" i="3"/>
  <c r="C724" i="3"/>
  <c r="B724" i="3"/>
  <c r="C723" i="3"/>
  <c r="B723" i="3"/>
  <c r="C722" i="3"/>
  <c r="B722" i="3"/>
  <c r="C721" i="3"/>
  <c r="B721" i="3"/>
  <c r="C720" i="3"/>
  <c r="B720" i="3"/>
  <c r="C719" i="3"/>
  <c r="B719" i="3"/>
  <c r="C718" i="3"/>
  <c r="B718" i="3"/>
  <c r="C717" i="3"/>
  <c r="B717" i="3"/>
  <c r="C716" i="3"/>
  <c r="B716" i="3"/>
  <c r="C715" i="3"/>
  <c r="B715" i="3"/>
  <c r="C714" i="3"/>
  <c r="B714" i="3"/>
  <c r="C713" i="3"/>
  <c r="B713" i="3"/>
  <c r="C712" i="3"/>
  <c r="B712" i="3"/>
  <c r="C711" i="3"/>
  <c r="B711" i="3"/>
  <c r="C710" i="3"/>
  <c r="B710" i="3"/>
  <c r="C709" i="3"/>
  <c r="B709" i="3"/>
  <c r="C708" i="3"/>
  <c r="B708" i="3"/>
  <c r="C707" i="3"/>
  <c r="B707" i="3"/>
  <c r="C706" i="3"/>
  <c r="B706" i="3"/>
  <c r="C705" i="3"/>
  <c r="B705" i="3"/>
  <c r="C704" i="3"/>
  <c r="B704" i="3"/>
  <c r="C703" i="3"/>
  <c r="B703" i="3"/>
  <c r="C702" i="3"/>
  <c r="B702" i="3"/>
  <c r="C701" i="3"/>
  <c r="B701" i="3"/>
  <c r="C700" i="3"/>
  <c r="B700" i="3"/>
  <c r="C699" i="3"/>
  <c r="B699" i="3"/>
  <c r="C698" i="3"/>
  <c r="B698" i="3"/>
  <c r="C697" i="3"/>
  <c r="B697" i="3"/>
  <c r="C696" i="3"/>
  <c r="B696" i="3"/>
  <c r="C695" i="3"/>
  <c r="B695" i="3"/>
  <c r="C694" i="3"/>
  <c r="B694" i="3"/>
  <c r="C693" i="3"/>
  <c r="B693" i="3"/>
  <c r="C692" i="3"/>
  <c r="B692" i="3"/>
  <c r="C691" i="3"/>
  <c r="B691" i="3"/>
  <c r="C690" i="3"/>
  <c r="B690" i="3"/>
  <c r="C689" i="3"/>
  <c r="B689" i="3"/>
  <c r="C688" i="3"/>
  <c r="B688" i="3"/>
  <c r="C687" i="3"/>
  <c r="B687" i="3"/>
  <c r="C686" i="3"/>
  <c r="B686" i="3"/>
  <c r="C685" i="3"/>
  <c r="B685" i="3"/>
  <c r="C684" i="3"/>
  <c r="B684" i="3"/>
  <c r="C683" i="3"/>
  <c r="B683" i="3"/>
  <c r="C682" i="3"/>
  <c r="B682" i="3"/>
  <c r="C681" i="3"/>
  <c r="B681" i="3"/>
  <c r="C680" i="3"/>
  <c r="B680" i="3"/>
  <c r="C679" i="3"/>
  <c r="B679" i="3"/>
  <c r="C678" i="3"/>
  <c r="B678" i="3"/>
  <c r="C677" i="3"/>
  <c r="B677" i="3"/>
  <c r="C676" i="3"/>
  <c r="B676" i="3"/>
  <c r="C675" i="3"/>
  <c r="B675" i="3"/>
  <c r="C674" i="3"/>
  <c r="B674" i="3"/>
  <c r="C673" i="3"/>
  <c r="B673" i="3"/>
  <c r="C672" i="3"/>
  <c r="B672" i="3"/>
  <c r="C671" i="3"/>
  <c r="B671" i="3"/>
  <c r="C670" i="3"/>
  <c r="B670" i="3"/>
  <c r="C669" i="3"/>
  <c r="B669" i="3"/>
  <c r="C668" i="3"/>
  <c r="B668" i="3"/>
  <c r="C667" i="3"/>
  <c r="B667" i="3"/>
  <c r="C666" i="3"/>
  <c r="B666" i="3"/>
  <c r="C665" i="3"/>
  <c r="B665" i="3"/>
  <c r="C664" i="3"/>
  <c r="B664" i="3"/>
  <c r="C663" i="3"/>
  <c r="B663" i="3"/>
  <c r="C662" i="3"/>
  <c r="B662" i="3"/>
  <c r="C661" i="3"/>
  <c r="B661" i="3"/>
  <c r="C660" i="3"/>
  <c r="B660" i="3"/>
  <c r="C659" i="3"/>
  <c r="B659" i="3"/>
  <c r="C658" i="3"/>
  <c r="B658" i="3"/>
  <c r="C657" i="3"/>
  <c r="B657" i="3"/>
  <c r="C656" i="3"/>
  <c r="B656" i="3"/>
  <c r="C655" i="3"/>
  <c r="B655" i="3"/>
  <c r="C654" i="3"/>
  <c r="B654" i="3"/>
  <c r="C653" i="3"/>
  <c r="B653" i="3"/>
  <c r="C652" i="3"/>
  <c r="B652" i="3"/>
  <c r="C651" i="3"/>
  <c r="B651" i="3"/>
  <c r="C650" i="3"/>
  <c r="B650" i="3"/>
  <c r="C649" i="3"/>
  <c r="B649" i="3"/>
  <c r="C648" i="3"/>
  <c r="B648" i="3"/>
  <c r="C647" i="3"/>
  <c r="B647" i="3"/>
  <c r="C646" i="3"/>
  <c r="B646" i="3"/>
  <c r="C645" i="3"/>
  <c r="B645" i="3"/>
  <c r="C644" i="3"/>
  <c r="B644" i="3"/>
  <c r="C643" i="3"/>
  <c r="B643" i="3"/>
  <c r="C642" i="3"/>
  <c r="B642" i="3"/>
  <c r="C641" i="3"/>
  <c r="B641" i="3"/>
  <c r="C640" i="3"/>
  <c r="B640" i="3"/>
  <c r="C639" i="3"/>
  <c r="B639" i="3"/>
  <c r="C638" i="3"/>
  <c r="B638" i="3"/>
  <c r="C637" i="3"/>
  <c r="B637" i="3"/>
  <c r="C636" i="3"/>
  <c r="B636" i="3"/>
  <c r="C635" i="3"/>
  <c r="B635" i="3"/>
  <c r="C634" i="3"/>
  <c r="B634" i="3"/>
  <c r="C633" i="3"/>
  <c r="B633" i="3"/>
  <c r="C632" i="3"/>
  <c r="B632" i="3"/>
  <c r="C631" i="3"/>
  <c r="B631" i="3"/>
  <c r="C630" i="3"/>
  <c r="B630" i="3"/>
  <c r="C629" i="3"/>
  <c r="B629" i="3"/>
  <c r="C628" i="3"/>
  <c r="B628" i="3"/>
  <c r="C627" i="3"/>
  <c r="B627" i="3"/>
  <c r="C626" i="3"/>
  <c r="B626" i="3"/>
  <c r="C625" i="3"/>
  <c r="B625" i="3"/>
  <c r="C624" i="3"/>
  <c r="B624" i="3"/>
  <c r="C623" i="3"/>
  <c r="B623" i="3"/>
  <c r="C622" i="3"/>
  <c r="B622" i="3"/>
  <c r="C621" i="3"/>
  <c r="B621" i="3"/>
  <c r="C620" i="3"/>
  <c r="B620" i="3"/>
  <c r="C619" i="3"/>
  <c r="B619" i="3"/>
  <c r="C618" i="3"/>
  <c r="B618" i="3"/>
  <c r="C617" i="3"/>
  <c r="B617" i="3"/>
  <c r="C616" i="3"/>
  <c r="B616" i="3"/>
  <c r="C615" i="3"/>
  <c r="B615" i="3"/>
  <c r="C614" i="3"/>
  <c r="B614" i="3"/>
  <c r="C613" i="3"/>
  <c r="B613" i="3"/>
  <c r="C612" i="3"/>
  <c r="B612" i="3"/>
  <c r="C611" i="3"/>
  <c r="B611" i="3"/>
  <c r="C610" i="3"/>
  <c r="B610" i="3"/>
  <c r="C609" i="3"/>
  <c r="B609" i="3"/>
  <c r="C608" i="3"/>
  <c r="B608" i="3"/>
  <c r="C607" i="3"/>
  <c r="B607" i="3"/>
  <c r="C606" i="3"/>
  <c r="B606" i="3"/>
  <c r="C605" i="3"/>
  <c r="B605" i="3"/>
  <c r="C604" i="3"/>
  <c r="B604" i="3"/>
  <c r="C603" i="3"/>
  <c r="B603" i="3"/>
  <c r="C602" i="3"/>
  <c r="B602" i="3"/>
  <c r="C601" i="3"/>
  <c r="B601" i="3"/>
  <c r="C600" i="3"/>
  <c r="B600" i="3"/>
  <c r="C599" i="3"/>
  <c r="B599" i="3"/>
  <c r="C598" i="3"/>
  <c r="B598" i="3"/>
  <c r="C597" i="3"/>
  <c r="B597" i="3"/>
  <c r="C596" i="3"/>
  <c r="B596" i="3"/>
  <c r="C595" i="3"/>
  <c r="B595" i="3"/>
  <c r="C594" i="3"/>
  <c r="B594" i="3"/>
  <c r="C593" i="3"/>
  <c r="B593" i="3"/>
  <c r="C592" i="3"/>
  <c r="B592" i="3"/>
  <c r="C591" i="3"/>
  <c r="B591" i="3"/>
  <c r="C590" i="3"/>
  <c r="B590" i="3"/>
  <c r="C589" i="3"/>
  <c r="B589" i="3"/>
  <c r="C588" i="3"/>
  <c r="B588" i="3"/>
  <c r="C587" i="3"/>
  <c r="B587" i="3"/>
  <c r="C586" i="3"/>
  <c r="B586" i="3"/>
  <c r="C585" i="3"/>
  <c r="B585" i="3"/>
  <c r="C584" i="3"/>
  <c r="B584" i="3"/>
  <c r="C583" i="3"/>
  <c r="B583" i="3"/>
  <c r="C582" i="3"/>
  <c r="B582" i="3"/>
  <c r="C581" i="3"/>
  <c r="B581" i="3"/>
  <c r="C580" i="3"/>
  <c r="B580" i="3"/>
  <c r="C579" i="3"/>
  <c r="B579" i="3"/>
  <c r="C578" i="3"/>
  <c r="B578" i="3"/>
  <c r="C577" i="3"/>
  <c r="B577" i="3"/>
  <c r="C576" i="3"/>
  <c r="B576" i="3"/>
  <c r="C575" i="3"/>
  <c r="B575" i="3"/>
  <c r="C574" i="3"/>
  <c r="B574" i="3"/>
  <c r="C573" i="3"/>
  <c r="B573" i="3"/>
  <c r="C572" i="3"/>
  <c r="B572" i="3"/>
  <c r="C571" i="3"/>
  <c r="B571" i="3"/>
  <c r="C570" i="3"/>
  <c r="B570" i="3"/>
  <c r="C569" i="3"/>
  <c r="B569" i="3"/>
  <c r="C568" i="3"/>
  <c r="B568" i="3"/>
  <c r="C567" i="3"/>
  <c r="B567" i="3"/>
  <c r="C566" i="3"/>
  <c r="B566" i="3"/>
  <c r="C565" i="3"/>
  <c r="B565" i="3"/>
  <c r="C564" i="3"/>
  <c r="B564" i="3"/>
  <c r="C563" i="3"/>
  <c r="B563" i="3"/>
  <c r="C562" i="3"/>
  <c r="B562" i="3"/>
  <c r="C561" i="3"/>
  <c r="B561" i="3"/>
  <c r="C560" i="3"/>
  <c r="B560" i="3"/>
  <c r="C559" i="3"/>
  <c r="B559" i="3"/>
  <c r="C558" i="3"/>
  <c r="B558" i="3"/>
  <c r="C557" i="3"/>
  <c r="B557" i="3"/>
  <c r="C556" i="3"/>
  <c r="B556" i="3"/>
  <c r="C555" i="3"/>
  <c r="B555" i="3"/>
  <c r="C554" i="3"/>
  <c r="B554" i="3"/>
  <c r="C553" i="3"/>
  <c r="B553" i="3"/>
  <c r="C552" i="3"/>
  <c r="B552" i="3"/>
  <c r="C551" i="3"/>
  <c r="B551" i="3"/>
  <c r="C550" i="3"/>
  <c r="B550" i="3"/>
  <c r="C549" i="3"/>
  <c r="B549" i="3"/>
  <c r="C548" i="3"/>
  <c r="B548" i="3"/>
  <c r="C547" i="3"/>
  <c r="B547" i="3"/>
  <c r="C546" i="3"/>
  <c r="B546" i="3"/>
  <c r="C545" i="3"/>
  <c r="B545" i="3"/>
  <c r="C544" i="3"/>
  <c r="B544" i="3"/>
  <c r="C543" i="3"/>
  <c r="B543" i="3"/>
  <c r="C542" i="3"/>
  <c r="B542" i="3"/>
  <c r="C541" i="3"/>
  <c r="B541" i="3"/>
  <c r="C540" i="3"/>
  <c r="B540" i="3"/>
  <c r="C539" i="3"/>
  <c r="B539" i="3"/>
  <c r="C538" i="3"/>
  <c r="B538" i="3"/>
  <c r="C537" i="3"/>
  <c r="B537" i="3"/>
  <c r="C536" i="3"/>
  <c r="B536" i="3"/>
  <c r="C535" i="3"/>
  <c r="B535" i="3"/>
  <c r="C534" i="3"/>
  <c r="B534" i="3"/>
  <c r="C533" i="3"/>
  <c r="B533" i="3"/>
  <c r="C532" i="3"/>
  <c r="B532" i="3"/>
  <c r="C531" i="3"/>
  <c r="B531" i="3"/>
  <c r="C530" i="3"/>
  <c r="B530" i="3"/>
  <c r="C529" i="3"/>
  <c r="B529" i="3"/>
  <c r="C528" i="3"/>
  <c r="B528" i="3"/>
  <c r="C527" i="3"/>
  <c r="B527" i="3"/>
  <c r="C526" i="3"/>
  <c r="B526" i="3"/>
  <c r="C525" i="3"/>
  <c r="B525" i="3"/>
  <c r="C524" i="3"/>
  <c r="B524" i="3"/>
  <c r="C523" i="3"/>
  <c r="B523" i="3"/>
  <c r="C522" i="3"/>
  <c r="B522" i="3"/>
  <c r="C521" i="3"/>
  <c r="B521" i="3"/>
  <c r="C520" i="3"/>
  <c r="B520" i="3"/>
  <c r="C519" i="3"/>
  <c r="B519" i="3"/>
  <c r="C518" i="3"/>
  <c r="B518" i="3"/>
  <c r="C517" i="3"/>
  <c r="B517" i="3"/>
  <c r="C516" i="3"/>
  <c r="B516" i="3"/>
  <c r="C515" i="3"/>
  <c r="B515" i="3"/>
  <c r="C514" i="3"/>
  <c r="B514" i="3"/>
  <c r="C513" i="3"/>
  <c r="B513" i="3"/>
  <c r="C512" i="3"/>
  <c r="B512" i="3"/>
  <c r="C511" i="3"/>
  <c r="B511" i="3"/>
  <c r="C510" i="3"/>
  <c r="B510" i="3"/>
  <c r="C509" i="3"/>
  <c r="B509" i="3"/>
  <c r="C508" i="3"/>
  <c r="B508" i="3"/>
  <c r="C507" i="3"/>
  <c r="B507" i="3"/>
  <c r="C506" i="3"/>
  <c r="B506" i="3"/>
  <c r="C505" i="3"/>
  <c r="B505" i="3"/>
  <c r="C504" i="3"/>
  <c r="B504" i="3"/>
  <c r="C503" i="3"/>
  <c r="B503" i="3"/>
  <c r="C502" i="3"/>
  <c r="B502" i="3"/>
  <c r="C501" i="3"/>
  <c r="B501" i="3"/>
  <c r="C500" i="3"/>
  <c r="B500" i="3"/>
  <c r="C499" i="3"/>
  <c r="B499" i="3"/>
  <c r="C498" i="3"/>
  <c r="B498" i="3"/>
  <c r="C497" i="3"/>
  <c r="B497" i="3"/>
  <c r="C496" i="3"/>
  <c r="B496" i="3"/>
  <c r="C495" i="3"/>
  <c r="B495" i="3"/>
  <c r="C494" i="3"/>
  <c r="B494" i="3"/>
  <c r="C493" i="3"/>
  <c r="B493" i="3"/>
  <c r="C492" i="3"/>
  <c r="B492" i="3"/>
  <c r="C491" i="3"/>
  <c r="B491" i="3"/>
  <c r="C490" i="3"/>
  <c r="B490" i="3"/>
  <c r="C489" i="3"/>
  <c r="B489" i="3"/>
  <c r="C488" i="3"/>
  <c r="B488" i="3"/>
  <c r="C487" i="3"/>
  <c r="B487" i="3"/>
  <c r="C486" i="3"/>
  <c r="B486" i="3"/>
  <c r="C485" i="3"/>
  <c r="B485" i="3"/>
  <c r="C484" i="3"/>
  <c r="B484" i="3"/>
  <c r="C483" i="3"/>
  <c r="B483" i="3"/>
  <c r="C482" i="3"/>
  <c r="B482" i="3"/>
  <c r="C481" i="3"/>
  <c r="B481" i="3"/>
  <c r="C480" i="3"/>
  <c r="B480" i="3"/>
  <c r="C479" i="3"/>
  <c r="B479" i="3"/>
  <c r="C478" i="3"/>
  <c r="B478" i="3"/>
  <c r="C477" i="3"/>
  <c r="B477" i="3"/>
  <c r="C476" i="3"/>
  <c r="B476" i="3"/>
  <c r="C475" i="3"/>
  <c r="B475" i="3"/>
  <c r="C474" i="3"/>
  <c r="B474" i="3"/>
  <c r="C473" i="3"/>
  <c r="B473" i="3"/>
  <c r="C472" i="3"/>
  <c r="B472" i="3"/>
  <c r="C471" i="3"/>
  <c r="B471" i="3"/>
  <c r="C470" i="3"/>
  <c r="B470" i="3"/>
  <c r="C469" i="3"/>
  <c r="B469" i="3"/>
  <c r="C468" i="3"/>
  <c r="B468" i="3"/>
  <c r="C467" i="3"/>
  <c r="B467" i="3"/>
  <c r="C466" i="3"/>
  <c r="B466" i="3"/>
  <c r="C465" i="3"/>
  <c r="B465" i="3"/>
  <c r="C464" i="3"/>
  <c r="B464" i="3"/>
  <c r="C463" i="3"/>
  <c r="B463" i="3"/>
  <c r="C462" i="3"/>
  <c r="B462" i="3"/>
  <c r="C461" i="3"/>
  <c r="B461" i="3"/>
  <c r="C460" i="3"/>
  <c r="B460" i="3"/>
  <c r="C459" i="3"/>
  <c r="B459" i="3"/>
  <c r="C458" i="3"/>
  <c r="B458" i="3"/>
  <c r="C457" i="3"/>
  <c r="B457" i="3"/>
  <c r="C456" i="3"/>
  <c r="B456" i="3"/>
  <c r="C455" i="3"/>
  <c r="B455" i="3"/>
  <c r="C454" i="3"/>
  <c r="B454" i="3"/>
  <c r="C453" i="3"/>
  <c r="B453" i="3"/>
  <c r="C452" i="3"/>
  <c r="B452" i="3"/>
  <c r="C451" i="3"/>
  <c r="B451" i="3"/>
  <c r="C450" i="3"/>
  <c r="B450" i="3"/>
  <c r="C449" i="3"/>
  <c r="B449" i="3"/>
  <c r="C448" i="3"/>
  <c r="B448" i="3"/>
  <c r="C447" i="3"/>
  <c r="B447" i="3"/>
  <c r="C446" i="3"/>
  <c r="B446" i="3"/>
  <c r="C445" i="3"/>
  <c r="B445" i="3"/>
  <c r="C444" i="3"/>
  <c r="B444" i="3"/>
  <c r="C443" i="3"/>
  <c r="B443" i="3"/>
  <c r="C442" i="3"/>
  <c r="B442" i="3"/>
  <c r="C441" i="3"/>
  <c r="B441" i="3"/>
  <c r="C440" i="3"/>
  <c r="B440" i="3"/>
  <c r="C439" i="3"/>
  <c r="B439" i="3"/>
  <c r="C438" i="3"/>
  <c r="B438" i="3"/>
  <c r="C437" i="3"/>
  <c r="B437" i="3"/>
  <c r="C436" i="3"/>
  <c r="B436" i="3"/>
  <c r="C435" i="3"/>
  <c r="B435" i="3"/>
  <c r="C434" i="3"/>
  <c r="B434" i="3"/>
  <c r="C433" i="3"/>
  <c r="B433" i="3"/>
  <c r="C432" i="3"/>
  <c r="B432" i="3"/>
  <c r="C431" i="3"/>
  <c r="B431" i="3"/>
  <c r="C430" i="3"/>
  <c r="B430" i="3"/>
  <c r="C429" i="3"/>
  <c r="B429" i="3"/>
  <c r="C428" i="3"/>
  <c r="B428" i="3"/>
  <c r="C427" i="3"/>
  <c r="B427" i="3"/>
  <c r="C426" i="3"/>
  <c r="B426" i="3"/>
  <c r="C425" i="3"/>
  <c r="B425" i="3"/>
  <c r="C424" i="3"/>
  <c r="B424" i="3"/>
  <c r="C423" i="3"/>
  <c r="B423" i="3"/>
  <c r="C422" i="3"/>
  <c r="B422" i="3"/>
  <c r="C421" i="3"/>
  <c r="B421" i="3"/>
  <c r="C420" i="3"/>
  <c r="B420" i="3"/>
  <c r="C419" i="3"/>
  <c r="B419" i="3"/>
  <c r="C418" i="3"/>
  <c r="B418" i="3"/>
  <c r="C417" i="3"/>
  <c r="B417" i="3"/>
  <c r="C416" i="3"/>
  <c r="B416" i="3"/>
  <c r="C415" i="3"/>
  <c r="B415" i="3"/>
  <c r="C414" i="3"/>
  <c r="B414" i="3"/>
  <c r="C413" i="3"/>
  <c r="B413" i="3"/>
  <c r="C412" i="3"/>
  <c r="B412" i="3"/>
  <c r="C411" i="3"/>
  <c r="B411" i="3"/>
  <c r="C410" i="3"/>
  <c r="B410" i="3"/>
  <c r="C409" i="3"/>
  <c r="B409" i="3"/>
  <c r="C408" i="3"/>
  <c r="B408" i="3"/>
  <c r="C407" i="3"/>
  <c r="B407" i="3"/>
  <c r="C406" i="3"/>
  <c r="B406" i="3"/>
  <c r="C405" i="3"/>
  <c r="B405" i="3"/>
  <c r="C404" i="3"/>
  <c r="B404" i="3"/>
  <c r="C403" i="3"/>
  <c r="B403" i="3"/>
  <c r="C402" i="3"/>
  <c r="B402" i="3"/>
  <c r="C401" i="3"/>
  <c r="B401" i="3"/>
  <c r="C400" i="3"/>
  <c r="B400" i="3"/>
  <c r="C399" i="3"/>
  <c r="B399" i="3"/>
  <c r="C398" i="3"/>
  <c r="B398" i="3"/>
  <c r="C397" i="3"/>
  <c r="B397" i="3"/>
  <c r="C396" i="3"/>
  <c r="B396" i="3"/>
  <c r="C395" i="3"/>
  <c r="B395" i="3"/>
  <c r="C394" i="3"/>
  <c r="B394" i="3"/>
  <c r="C393" i="3"/>
  <c r="B393" i="3"/>
  <c r="C392" i="3"/>
  <c r="B392" i="3"/>
  <c r="C391" i="3"/>
  <c r="B391" i="3"/>
  <c r="C390" i="3"/>
  <c r="B390" i="3"/>
  <c r="C389" i="3"/>
  <c r="B389" i="3"/>
  <c r="C388" i="3"/>
  <c r="B388" i="3"/>
  <c r="C387" i="3"/>
  <c r="B387" i="3"/>
  <c r="C386" i="3"/>
  <c r="B386" i="3"/>
  <c r="C385" i="3"/>
  <c r="B385" i="3"/>
  <c r="C384" i="3"/>
  <c r="B384" i="3"/>
  <c r="C383" i="3"/>
  <c r="B383" i="3"/>
  <c r="C382" i="3"/>
  <c r="B382" i="3"/>
  <c r="C381" i="3"/>
  <c r="B381" i="3"/>
  <c r="C380" i="3"/>
  <c r="B380" i="3"/>
  <c r="C379" i="3"/>
  <c r="B379" i="3"/>
  <c r="C378" i="3"/>
  <c r="B378" i="3"/>
  <c r="C377" i="3"/>
  <c r="B377" i="3"/>
  <c r="C376" i="3"/>
  <c r="B376" i="3"/>
  <c r="C375" i="3"/>
  <c r="B375" i="3"/>
  <c r="C374" i="3"/>
  <c r="B374" i="3"/>
  <c r="C373" i="3"/>
  <c r="B373" i="3"/>
  <c r="C372" i="3"/>
  <c r="B372" i="3"/>
  <c r="C371" i="3"/>
  <c r="B371" i="3"/>
  <c r="C370" i="3"/>
  <c r="B370" i="3"/>
  <c r="C369" i="3"/>
  <c r="B369" i="3"/>
  <c r="C368" i="3"/>
  <c r="B368" i="3"/>
  <c r="C367" i="3"/>
  <c r="B367" i="3"/>
  <c r="C366" i="3"/>
  <c r="B366" i="3"/>
  <c r="C365" i="3"/>
  <c r="B365" i="3"/>
  <c r="C364" i="3"/>
  <c r="B364" i="3"/>
  <c r="C363" i="3"/>
  <c r="B363" i="3"/>
  <c r="C362" i="3"/>
  <c r="B362" i="3"/>
  <c r="C361" i="3"/>
  <c r="B361" i="3"/>
  <c r="C360" i="3"/>
  <c r="B360" i="3"/>
  <c r="C359" i="3"/>
  <c r="B359" i="3"/>
  <c r="C358" i="3"/>
  <c r="B358" i="3"/>
  <c r="C357" i="3"/>
  <c r="B357" i="3"/>
  <c r="C356" i="3"/>
  <c r="B356" i="3"/>
  <c r="C355" i="3"/>
  <c r="B355" i="3"/>
  <c r="C354" i="3"/>
  <c r="B354" i="3"/>
  <c r="C353" i="3"/>
  <c r="B353" i="3"/>
  <c r="C352" i="3"/>
  <c r="B352" i="3"/>
  <c r="C351" i="3"/>
  <c r="B351" i="3"/>
  <c r="C350" i="3"/>
  <c r="B350" i="3"/>
  <c r="C349" i="3"/>
  <c r="B349" i="3"/>
  <c r="C348" i="3"/>
  <c r="B348" i="3"/>
  <c r="C347" i="3"/>
  <c r="B347" i="3"/>
  <c r="C346" i="3"/>
  <c r="B346" i="3"/>
  <c r="C345" i="3"/>
  <c r="B345" i="3"/>
  <c r="C344" i="3"/>
  <c r="B344" i="3"/>
  <c r="C343" i="3"/>
  <c r="B343" i="3"/>
  <c r="C342" i="3"/>
  <c r="B342" i="3"/>
  <c r="C341" i="3"/>
  <c r="B341" i="3"/>
  <c r="C340" i="3"/>
  <c r="B340" i="3"/>
  <c r="C339" i="3"/>
  <c r="B339" i="3"/>
  <c r="C338" i="3"/>
  <c r="B338" i="3"/>
  <c r="C337" i="3"/>
  <c r="B337" i="3"/>
  <c r="C336" i="3"/>
  <c r="B336" i="3"/>
  <c r="C335" i="3"/>
  <c r="B335" i="3"/>
  <c r="C334" i="3"/>
  <c r="B334" i="3"/>
  <c r="C333" i="3"/>
  <c r="B333" i="3"/>
  <c r="C332" i="3"/>
  <c r="B332" i="3"/>
  <c r="C331" i="3"/>
  <c r="B331" i="3"/>
  <c r="C330" i="3"/>
  <c r="B330" i="3"/>
  <c r="C329" i="3"/>
  <c r="B329" i="3"/>
  <c r="C328" i="3"/>
  <c r="B328" i="3"/>
  <c r="C327" i="3"/>
  <c r="B327" i="3"/>
  <c r="C326" i="3"/>
  <c r="B326" i="3"/>
  <c r="C325" i="3"/>
  <c r="B325" i="3"/>
  <c r="C324" i="3"/>
  <c r="B324" i="3"/>
  <c r="C323" i="3"/>
  <c r="B323" i="3"/>
  <c r="C322" i="3"/>
  <c r="B322" i="3"/>
  <c r="C321" i="3"/>
  <c r="B321" i="3"/>
  <c r="C320" i="3"/>
  <c r="B320" i="3"/>
  <c r="C319" i="3"/>
  <c r="B319" i="3"/>
  <c r="C318" i="3"/>
  <c r="B318" i="3"/>
  <c r="C317" i="3"/>
  <c r="B317" i="3"/>
  <c r="C316" i="3"/>
  <c r="B316" i="3"/>
  <c r="C315" i="3"/>
  <c r="B315" i="3"/>
  <c r="C314" i="3"/>
  <c r="B314" i="3"/>
  <c r="C313" i="3"/>
  <c r="B313" i="3"/>
  <c r="C312" i="3"/>
  <c r="B312" i="3"/>
  <c r="C311" i="3"/>
  <c r="B311" i="3"/>
  <c r="C310" i="3"/>
  <c r="B310" i="3"/>
  <c r="C309" i="3"/>
  <c r="B309" i="3"/>
  <c r="C308" i="3"/>
  <c r="B308" i="3"/>
  <c r="C307" i="3"/>
  <c r="B307" i="3"/>
  <c r="C306" i="3"/>
  <c r="B306" i="3"/>
  <c r="C305" i="3"/>
  <c r="B305" i="3"/>
  <c r="C304" i="3"/>
  <c r="B304" i="3"/>
  <c r="C303" i="3"/>
  <c r="B303" i="3"/>
  <c r="C302" i="3"/>
  <c r="B302" i="3"/>
  <c r="C301" i="3"/>
  <c r="B301" i="3"/>
  <c r="C300" i="3"/>
  <c r="B300" i="3"/>
  <c r="C299" i="3"/>
  <c r="B299" i="3"/>
  <c r="C298" i="3"/>
  <c r="B298" i="3"/>
  <c r="C297" i="3"/>
  <c r="B297" i="3"/>
  <c r="C296" i="3"/>
  <c r="B296" i="3"/>
  <c r="C295" i="3"/>
  <c r="B295" i="3"/>
  <c r="C294" i="3"/>
  <c r="B294" i="3"/>
  <c r="C293" i="3"/>
  <c r="B293" i="3"/>
  <c r="C292" i="3"/>
  <c r="B292" i="3"/>
  <c r="C291" i="3"/>
  <c r="B291" i="3"/>
  <c r="C290" i="3"/>
  <c r="B290" i="3"/>
  <c r="C289" i="3"/>
  <c r="B289" i="3"/>
  <c r="C288" i="3"/>
  <c r="B288" i="3"/>
  <c r="C287" i="3"/>
  <c r="B287" i="3"/>
  <c r="C286" i="3"/>
  <c r="B286" i="3"/>
  <c r="C285" i="3"/>
  <c r="B285" i="3"/>
  <c r="C284" i="3"/>
  <c r="B284" i="3"/>
  <c r="C283" i="3"/>
  <c r="B283" i="3"/>
  <c r="C282" i="3"/>
  <c r="B282" i="3"/>
  <c r="C281" i="3"/>
  <c r="B281" i="3"/>
  <c r="C280" i="3"/>
  <c r="B280" i="3"/>
  <c r="C279" i="3"/>
  <c r="B279" i="3"/>
  <c r="C278" i="3"/>
  <c r="B278" i="3"/>
  <c r="C277" i="3"/>
  <c r="B277" i="3"/>
  <c r="C276" i="3"/>
  <c r="B276" i="3"/>
  <c r="C275" i="3"/>
  <c r="B275" i="3"/>
  <c r="C274" i="3"/>
  <c r="B274" i="3"/>
  <c r="C273" i="3"/>
  <c r="B273" i="3"/>
  <c r="C272" i="3"/>
  <c r="B272" i="3"/>
  <c r="C271" i="3"/>
  <c r="B271" i="3"/>
  <c r="C270" i="3"/>
  <c r="B270" i="3"/>
  <c r="C269" i="3"/>
  <c r="B269" i="3"/>
  <c r="C268" i="3"/>
  <c r="B268" i="3"/>
  <c r="C267" i="3"/>
  <c r="B267" i="3"/>
  <c r="C266" i="3"/>
  <c r="B266" i="3"/>
  <c r="C265" i="3"/>
  <c r="B265" i="3"/>
  <c r="C264" i="3"/>
  <c r="B264" i="3"/>
  <c r="C263" i="3"/>
  <c r="B263" i="3"/>
  <c r="C262" i="3"/>
  <c r="B262" i="3"/>
  <c r="C261" i="3"/>
  <c r="B261" i="3"/>
  <c r="C260" i="3"/>
  <c r="B260" i="3"/>
  <c r="C259" i="3"/>
  <c r="B259" i="3"/>
  <c r="C258" i="3"/>
  <c r="B258" i="3"/>
  <c r="C257" i="3"/>
  <c r="B257" i="3"/>
  <c r="C256" i="3"/>
  <c r="B256" i="3"/>
  <c r="C255" i="3"/>
  <c r="B255" i="3"/>
  <c r="C254" i="3"/>
  <c r="B254" i="3"/>
  <c r="C253" i="3"/>
  <c r="B253" i="3"/>
  <c r="C252" i="3"/>
  <c r="B252" i="3"/>
  <c r="C251" i="3"/>
  <c r="B251" i="3"/>
  <c r="C250" i="3"/>
  <c r="B250" i="3"/>
  <c r="C249" i="3"/>
  <c r="B249" i="3"/>
  <c r="C248" i="3"/>
  <c r="B248" i="3"/>
  <c r="C247" i="3"/>
  <c r="B247" i="3"/>
  <c r="C246" i="3"/>
  <c r="B246" i="3"/>
  <c r="C245" i="3"/>
  <c r="B245" i="3"/>
  <c r="C244" i="3"/>
  <c r="B244" i="3"/>
  <c r="C243" i="3"/>
  <c r="B243" i="3"/>
  <c r="C242" i="3"/>
  <c r="B242" i="3"/>
  <c r="C241" i="3"/>
  <c r="B241" i="3"/>
  <c r="C240" i="3"/>
  <c r="B240" i="3"/>
  <c r="C239" i="3"/>
  <c r="B239" i="3"/>
  <c r="C238" i="3"/>
  <c r="B238" i="3"/>
  <c r="C237" i="3"/>
  <c r="B237" i="3"/>
  <c r="C236" i="3"/>
  <c r="B236" i="3"/>
  <c r="C235" i="3"/>
  <c r="B235" i="3"/>
  <c r="C234" i="3"/>
  <c r="B234" i="3"/>
  <c r="C233" i="3"/>
  <c r="B233" i="3"/>
  <c r="C232" i="3"/>
  <c r="B232" i="3"/>
  <c r="C231" i="3"/>
  <c r="B231" i="3"/>
  <c r="C230" i="3"/>
  <c r="B230" i="3"/>
  <c r="C229" i="3"/>
  <c r="B229" i="3"/>
  <c r="C228" i="3"/>
  <c r="B228" i="3"/>
  <c r="C227" i="3"/>
  <c r="B227" i="3"/>
  <c r="C226" i="3"/>
  <c r="B226" i="3"/>
  <c r="C225" i="3"/>
  <c r="B225" i="3"/>
  <c r="C224" i="3"/>
  <c r="B224" i="3"/>
  <c r="C223" i="3"/>
  <c r="B223" i="3"/>
  <c r="C222" i="3"/>
  <c r="B222" i="3"/>
  <c r="C221" i="3"/>
  <c r="B221" i="3"/>
  <c r="C220" i="3"/>
  <c r="B220" i="3"/>
  <c r="C219" i="3"/>
  <c r="B219" i="3"/>
  <c r="C218" i="3"/>
  <c r="B218" i="3"/>
  <c r="C217" i="3"/>
  <c r="B217" i="3"/>
  <c r="C216" i="3"/>
  <c r="B216" i="3"/>
  <c r="C215" i="3"/>
  <c r="B215" i="3"/>
  <c r="C214" i="3"/>
  <c r="B214" i="3"/>
  <c r="C213" i="3"/>
  <c r="B213" i="3"/>
  <c r="C212" i="3"/>
  <c r="B212" i="3"/>
  <c r="C211" i="3"/>
  <c r="B211" i="3"/>
  <c r="C210" i="3"/>
  <c r="B210" i="3"/>
  <c r="C209" i="3"/>
  <c r="B209" i="3"/>
  <c r="C208" i="3"/>
  <c r="B208" i="3"/>
  <c r="C207" i="3"/>
  <c r="B207" i="3"/>
  <c r="C206" i="3"/>
  <c r="B206" i="3"/>
  <c r="C205" i="3"/>
  <c r="B205" i="3"/>
  <c r="C204" i="3"/>
  <c r="B204" i="3"/>
  <c r="C203" i="3"/>
  <c r="B203" i="3"/>
  <c r="C202" i="3"/>
  <c r="B202" i="3"/>
  <c r="C201" i="3"/>
  <c r="B201" i="3"/>
  <c r="C200" i="3"/>
  <c r="B200" i="3"/>
  <c r="C199" i="3"/>
  <c r="B199" i="3"/>
  <c r="C198" i="3"/>
  <c r="B198" i="3"/>
  <c r="C197" i="3"/>
  <c r="B197" i="3"/>
  <c r="C196" i="3"/>
  <c r="B196" i="3"/>
  <c r="C195" i="3"/>
  <c r="B195" i="3"/>
  <c r="C194" i="3"/>
  <c r="B194" i="3"/>
  <c r="C193" i="3"/>
  <c r="B193" i="3"/>
  <c r="C192" i="3"/>
  <c r="B192" i="3"/>
  <c r="C191" i="3"/>
  <c r="B191" i="3"/>
  <c r="C190" i="3"/>
  <c r="B190" i="3"/>
  <c r="C189" i="3"/>
  <c r="B189" i="3"/>
  <c r="C188" i="3"/>
  <c r="B188" i="3"/>
  <c r="C187" i="3"/>
  <c r="B187" i="3"/>
  <c r="C186" i="3"/>
  <c r="B186" i="3"/>
  <c r="C185" i="3"/>
  <c r="B185" i="3"/>
  <c r="C184" i="3"/>
  <c r="B184" i="3"/>
  <c r="C183" i="3"/>
  <c r="B183" i="3"/>
  <c r="C182" i="3"/>
  <c r="B182" i="3"/>
  <c r="C181" i="3"/>
  <c r="B181" i="3"/>
  <c r="C180" i="3"/>
  <c r="B180" i="3"/>
  <c r="C179" i="3"/>
  <c r="B179" i="3"/>
  <c r="C178" i="3"/>
  <c r="B178" i="3"/>
  <c r="C177" i="3"/>
  <c r="B177" i="3"/>
  <c r="C176" i="3"/>
  <c r="B176" i="3"/>
  <c r="C175" i="3"/>
  <c r="B175" i="3"/>
  <c r="C174" i="3"/>
  <c r="B174" i="3"/>
  <c r="C173" i="3"/>
  <c r="B173" i="3"/>
  <c r="C172" i="3"/>
  <c r="B172" i="3"/>
  <c r="C171" i="3"/>
  <c r="B171" i="3"/>
  <c r="C170" i="3"/>
  <c r="B170" i="3"/>
  <c r="C169" i="3"/>
  <c r="B169" i="3"/>
  <c r="C168" i="3"/>
  <c r="B168" i="3"/>
  <c r="C167" i="3"/>
  <c r="B167" i="3"/>
  <c r="C166" i="3"/>
  <c r="B166" i="3"/>
  <c r="C165" i="3"/>
  <c r="B165" i="3"/>
  <c r="C164" i="3"/>
  <c r="B164" i="3"/>
  <c r="C163" i="3"/>
  <c r="B163" i="3"/>
  <c r="C162" i="3"/>
  <c r="B162" i="3"/>
  <c r="C161" i="3"/>
  <c r="B161" i="3"/>
  <c r="C160" i="3"/>
  <c r="B160" i="3"/>
  <c r="C159" i="3"/>
  <c r="B159" i="3"/>
  <c r="C158" i="3"/>
  <c r="B158" i="3"/>
  <c r="C157" i="3"/>
  <c r="B157" i="3"/>
  <c r="C156" i="3"/>
  <c r="B156" i="3"/>
  <c r="C155" i="3"/>
  <c r="B155" i="3"/>
  <c r="C154" i="3"/>
  <c r="B154" i="3"/>
  <c r="C153" i="3"/>
  <c r="B153" i="3"/>
  <c r="C152" i="3"/>
  <c r="B152" i="3"/>
  <c r="C151" i="3"/>
  <c r="B151" i="3"/>
  <c r="C150" i="3"/>
  <c r="B150" i="3"/>
  <c r="C149" i="3"/>
  <c r="B149" i="3"/>
  <c r="C148" i="3"/>
  <c r="B148" i="3"/>
  <c r="C147" i="3"/>
  <c r="B147" i="3"/>
  <c r="C146" i="3"/>
  <c r="B146" i="3"/>
  <c r="C145" i="3"/>
  <c r="B145" i="3"/>
  <c r="C144" i="3"/>
  <c r="B144" i="3"/>
  <c r="C143" i="3"/>
  <c r="B143" i="3"/>
  <c r="C142" i="3"/>
  <c r="B142" i="3"/>
  <c r="C141" i="3"/>
  <c r="B141" i="3"/>
  <c r="C140" i="3"/>
  <c r="B140" i="3"/>
  <c r="C139" i="3"/>
  <c r="B139" i="3"/>
  <c r="C138" i="3"/>
  <c r="B138" i="3"/>
  <c r="C137" i="3"/>
  <c r="B137" i="3"/>
  <c r="C136" i="3"/>
  <c r="B136" i="3"/>
  <c r="C135" i="3"/>
  <c r="B135" i="3"/>
  <c r="C134" i="3"/>
  <c r="B134" i="3"/>
  <c r="C133" i="3"/>
  <c r="B133" i="3"/>
  <c r="C132" i="3"/>
  <c r="B132" i="3"/>
  <c r="C131" i="3"/>
  <c r="B131" i="3"/>
  <c r="C130" i="3"/>
  <c r="B130" i="3"/>
  <c r="C129" i="3"/>
  <c r="B129" i="3"/>
  <c r="C128" i="3"/>
  <c r="B128" i="3"/>
  <c r="C127" i="3"/>
  <c r="B127" i="3"/>
  <c r="C126" i="3"/>
  <c r="B126" i="3"/>
  <c r="C125" i="3"/>
  <c r="B125" i="3"/>
  <c r="C124" i="3"/>
  <c r="B124" i="3"/>
  <c r="C123" i="3"/>
  <c r="B123" i="3"/>
  <c r="C122" i="3"/>
  <c r="B122" i="3"/>
  <c r="C121" i="3"/>
  <c r="B121" i="3"/>
  <c r="C120" i="3"/>
  <c r="B120" i="3"/>
  <c r="C119" i="3"/>
  <c r="B119" i="3"/>
  <c r="C118" i="3"/>
  <c r="B118" i="3"/>
  <c r="C117" i="3"/>
  <c r="B117" i="3"/>
  <c r="C116" i="3"/>
  <c r="B116" i="3"/>
  <c r="C115" i="3"/>
  <c r="B115" i="3"/>
  <c r="C114" i="3"/>
  <c r="B114" i="3"/>
  <c r="C113" i="3"/>
  <c r="B113" i="3"/>
  <c r="C112" i="3"/>
  <c r="B112" i="3"/>
  <c r="C111" i="3"/>
  <c r="B111" i="3"/>
  <c r="C110" i="3"/>
  <c r="B110" i="3"/>
  <c r="C109" i="3"/>
  <c r="B109" i="3"/>
  <c r="C108" i="3"/>
  <c r="B108" i="3"/>
  <c r="C107" i="3"/>
  <c r="B107" i="3"/>
  <c r="C106" i="3"/>
  <c r="B106" i="3"/>
  <c r="C105" i="3"/>
  <c r="B105" i="3"/>
  <c r="C104" i="3"/>
  <c r="B104" i="3"/>
  <c r="C103" i="3"/>
  <c r="B103" i="3"/>
  <c r="C102" i="3"/>
  <c r="B102" i="3"/>
  <c r="C101" i="3"/>
  <c r="B101" i="3"/>
  <c r="C100" i="3"/>
  <c r="B100" i="3"/>
  <c r="C99" i="3"/>
  <c r="B99" i="3"/>
  <c r="C98" i="3"/>
  <c r="B98" i="3"/>
  <c r="C97" i="3"/>
  <c r="B97" i="3"/>
  <c r="C96" i="3"/>
  <c r="B96" i="3"/>
  <c r="C95" i="3"/>
  <c r="B95" i="3"/>
  <c r="C94" i="3"/>
  <c r="B94" i="3"/>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C11" i="3"/>
  <c r="B11" i="3"/>
  <c r="C10" i="3"/>
  <c r="B10" i="3"/>
  <c r="C9" i="3"/>
  <c r="B9" i="3"/>
  <c r="C8" i="3"/>
  <c r="B8" i="3"/>
  <c r="J2" i="3"/>
  <c r="F2" i="3"/>
  <c r="G2" i="3" s="1" a="1"/>
  <c r="G2" i="3" s="1"/>
  <c r="B3" i="3"/>
  <c r="B4" i="3"/>
  <c r="B5" i="3"/>
  <c r="B6" i="3"/>
  <c r="B7" i="3"/>
  <c r="C3" i="3"/>
  <c r="C4" i="3"/>
  <c r="C5" i="3"/>
  <c r="C6" i="3"/>
  <c r="C7" i="3"/>
  <c r="D2" i="3"/>
  <c r="E2" i="3" s="1"/>
  <c r="C2"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EF5008-F218-4376-95A9-2A9904518C75}" name="WorksheetConnection_FinServe_Loan_Portfolio_Dataset (1).xlsx!LoanData" type="102" refreshedVersion="8" minRefreshableVersion="5">
    <extLst>
      <ext xmlns:x15="http://schemas.microsoft.com/office/spreadsheetml/2010/11/main" uri="{DE250136-89BD-433C-8126-D09CA5730AF9}">
        <x15:connection id="LoanData">
          <x15:rangePr sourceName="_xlcn.WorksheetConnection_FinServe_Loan_Portfolio_Dataset1.xlsxLoanData"/>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<sst xmlns="http://schemas.openxmlformats.org/spreadsheetml/2006/main" count="13629" uniqueCount="3009">
  <si>
    <t>Loan_ID</t>
  </si>
  <si>
    <t>Customer_Name</t>
  </si>
  <si>
    <t>Age</t>
  </si>
  <si>
    <t>Employment_Type</t>
  </si>
  <si>
    <t>Monthly_Income</t>
  </si>
  <si>
    <t>Loan_Amount</t>
  </si>
  <si>
    <t>Loan_Term_Months</t>
  </si>
  <si>
    <t>Interest_Rate</t>
  </si>
  <si>
    <t>Loan_Purpose</t>
  </si>
  <si>
    <t>Credit_Score</t>
  </si>
  <si>
    <t>Application_Date</t>
  </si>
  <si>
    <t>Approval_Date</t>
  </si>
  <si>
    <t>Loan_Status</t>
  </si>
  <si>
    <t>EMI</t>
  </si>
  <si>
    <t>Region</t>
  </si>
  <si>
    <t>Branch</t>
  </si>
  <si>
    <t>Repayment_Status</t>
  </si>
  <si>
    <t>Late_Payments</t>
  </si>
  <si>
    <t>Outstanding_Balance</t>
  </si>
  <si>
    <t>LN10001</t>
  </si>
  <si>
    <t>Tarun Rao</t>
  </si>
  <si>
    <t>Business Owner</t>
  </si>
  <si>
    <t>Vehicle Loan</t>
  </si>
  <si>
    <t>2022-05-11</t>
  </si>
  <si>
    <t>Approved</t>
  </si>
  <si>
    <t>North</t>
  </si>
  <si>
    <t>Delhi-Connaught</t>
  </si>
  <si>
    <t>Closed</t>
  </si>
  <si>
    <t>LN10002</t>
  </si>
  <si>
    <t>Naveen Patel</t>
  </si>
  <si>
    <t>Self-Employed</t>
  </si>
  <si>
    <t>Agriculture</t>
  </si>
  <si>
    <t>2022-12-09</t>
  </si>
  <si>
    <t>Rejected</t>
  </si>
  <si>
    <t>Delhi-Dwarka</t>
  </si>
  <si>
    <t>Late</t>
  </si>
  <si>
    <t>LN10003</t>
  </si>
  <si>
    <t>Meena Menon</t>
  </si>
  <si>
    <t>Medical</t>
  </si>
  <si>
    <t>2023-02-15</t>
  </si>
  <si>
    <t>2023-02-20</t>
  </si>
  <si>
    <t>Gurgaon-CyberCity</t>
  </si>
  <si>
    <t>On Track</t>
  </si>
  <si>
    <t>LN10004</t>
  </si>
  <si>
    <t>Sarala Banerjee</t>
  </si>
  <si>
    <t>Government Employee</t>
  </si>
  <si>
    <t>Home Purchase</t>
  </si>
  <si>
    <t>2023-03-01</t>
  </si>
  <si>
    <t>East</t>
  </si>
  <si>
    <t>Kolkata-Park Street</t>
  </si>
  <si>
    <t>LN10005</t>
  </si>
  <si>
    <t>Smita Shetty</t>
  </si>
  <si>
    <t>2023-02-17</t>
  </si>
  <si>
    <t>2023-02-28</t>
  </si>
  <si>
    <t>Central</t>
  </si>
  <si>
    <t>Bhopal-MP Nagar</t>
  </si>
  <si>
    <t>LN10006</t>
  </si>
  <si>
    <t>Tarun Chaudhary</t>
  </si>
  <si>
    <t>2022-10-07</t>
  </si>
  <si>
    <t>2022-10-16</t>
  </si>
  <si>
    <t>West</t>
  </si>
  <si>
    <t>Pune-Shivajinagar</t>
  </si>
  <si>
    <t>Grace Period</t>
  </si>
  <si>
    <t>LN10007</t>
  </si>
  <si>
    <t>Komal Kapoor</t>
  </si>
  <si>
    <t>Freelancer</t>
  </si>
  <si>
    <t>Business Expansion</t>
  </si>
  <si>
    <t>2022-03-26</t>
  </si>
  <si>
    <t>2022-04-02</t>
  </si>
  <si>
    <t>Surat-Ring Road</t>
  </si>
  <si>
    <t>LN10008</t>
  </si>
  <si>
    <t>Sunil Kapoor</t>
  </si>
  <si>
    <t>Salaried</t>
  </si>
  <si>
    <t>Debt Consolidation</t>
  </si>
  <si>
    <t>2023-12-20</t>
  </si>
  <si>
    <t>2023-12-31</t>
  </si>
  <si>
    <t>Ahmedabad-CG Road</t>
  </si>
  <si>
    <t>LN10009</t>
  </si>
  <si>
    <t>Sarala Sharma</t>
  </si>
  <si>
    <t>2021-02-02</t>
  </si>
  <si>
    <t>Patna-Boring Road</t>
  </si>
  <si>
    <t>LN10010</t>
  </si>
  <si>
    <t>Rohit Das</t>
  </si>
  <si>
    <t>Personal</t>
  </si>
  <si>
    <t>2023-12-23</t>
  </si>
  <si>
    <t>2023-12-26</t>
  </si>
  <si>
    <t>Kolkata-Salt Lake</t>
  </si>
  <si>
    <t>LN10011</t>
  </si>
  <si>
    <t>Naveen Deshpande</t>
  </si>
  <si>
    <t>2021-05-22</t>
  </si>
  <si>
    <t>2021-06-18</t>
  </si>
  <si>
    <t>LN10012</t>
  </si>
  <si>
    <t>Dinesh Joshi</t>
  </si>
  <si>
    <t>2023-03-29</t>
  </si>
  <si>
    <t>2023-04-22</t>
  </si>
  <si>
    <t>LN10013</t>
  </si>
  <si>
    <t>Komal Shetty</t>
  </si>
  <si>
    <t>2022-03-28</t>
  </si>
  <si>
    <t>2022-03-31</t>
  </si>
  <si>
    <t>Lucknow-Hazratganj</t>
  </si>
  <si>
    <t>Defaulted</t>
  </si>
  <si>
    <t>LN10014</t>
  </si>
  <si>
    <t>Vikram Reddy</t>
  </si>
  <si>
    <t>2023-08-27</t>
  </si>
  <si>
    <t>2023-09-06</t>
  </si>
  <si>
    <t>South</t>
  </si>
  <si>
    <t>Kochi-MG Road</t>
  </si>
  <si>
    <t>LN10015</t>
  </si>
  <si>
    <t>Ganesh Malhotra</t>
  </si>
  <si>
    <t>2022-12-24</t>
  </si>
  <si>
    <t>LN10016</t>
  </si>
  <si>
    <t>Suresh Verma</t>
  </si>
  <si>
    <t>2021-07-20</t>
  </si>
  <si>
    <t>2021-07-24</t>
  </si>
  <si>
    <t>Bangalore-Koramangala</t>
  </si>
  <si>
    <t>LN10017</t>
  </si>
  <si>
    <t>Komal Sharma</t>
  </si>
  <si>
    <t>2022-07-26</t>
  </si>
  <si>
    <t>Hyderabad-Hitech</t>
  </si>
  <si>
    <t>LN10018</t>
  </si>
  <si>
    <t>Smita Banerjee</t>
  </si>
  <si>
    <t>2021-05-31</t>
  </si>
  <si>
    <t>Pending</t>
  </si>
  <si>
    <t>Chandigarh-Main</t>
  </si>
  <si>
    <t>LN10019</t>
  </si>
  <si>
    <t>Vinod Reddy</t>
  </si>
  <si>
    <t>2022-05-12</t>
  </si>
  <si>
    <t>LN10020</t>
  </si>
  <si>
    <t>Kavitha Verma</t>
  </si>
  <si>
    <t>2023-03-22</t>
  </si>
  <si>
    <t>Chennai-Adyar</t>
  </si>
  <si>
    <t>LN10021</t>
  </si>
  <si>
    <t>Siddharth Chatterjee</t>
  </si>
  <si>
    <t>2021-09-29</t>
  </si>
  <si>
    <t>2021-10-13</t>
  </si>
  <si>
    <t>LN10022</t>
  </si>
  <si>
    <t>Vikram Verma</t>
  </si>
  <si>
    <t>2021-08-25</t>
  </si>
  <si>
    <t>2021-08-31</t>
  </si>
  <si>
    <t>LN10023</t>
  </si>
  <si>
    <t>Chetna Mehta</t>
  </si>
  <si>
    <t>2023-05-18</t>
  </si>
  <si>
    <t>2023-06-16</t>
  </si>
  <si>
    <t>LN10024</t>
  </si>
  <si>
    <t>Pooja Singh</t>
  </si>
  <si>
    <t>2021-06-04</t>
  </si>
  <si>
    <t>2021-06-29</t>
  </si>
  <si>
    <t>LN10025</t>
  </si>
  <si>
    <t>Meena Singh</t>
  </si>
  <si>
    <t>2022-05-27</t>
  </si>
  <si>
    <t>2022-06-20</t>
  </si>
  <si>
    <t>Noida-Sector18</t>
  </si>
  <si>
    <t>LN10026</t>
  </si>
  <si>
    <t>Suresh Jain</t>
  </si>
  <si>
    <t>2022-11-12</t>
  </si>
  <si>
    <t>2022-12-10</t>
  </si>
  <si>
    <t>LN10027</t>
  </si>
  <si>
    <t>Manoj Verma</t>
  </si>
  <si>
    <t>2022-10-17</t>
  </si>
  <si>
    <t>Bangalore-Whitefield</t>
  </si>
  <si>
    <t>LN10028</t>
  </si>
  <si>
    <t>Anil Chaudhary</t>
  </si>
  <si>
    <t>2022-11-10</t>
  </si>
  <si>
    <t>2022-11-13</t>
  </si>
  <si>
    <t>Raipur-Main</t>
  </si>
  <si>
    <t>LN10029</t>
  </si>
  <si>
    <t>Kavitha Das</t>
  </si>
  <si>
    <t>2023-03-21</t>
  </si>
  <si>
    <t>LN10030</t>
  </si>
  <si>
    <t>Mohan Das</t>
  </si>
  <si>
    <t>2022-11-08</t>
  </si>
  <si>
    <t>2022-11-30</t>
  </si>
  <si>
    <t>Mumbai-Andheri</t>
  </si>
  <si>
    <t>LN10031</t>
  </si>
  <si>
    <t>2023-02-16</t>
  </si>
  <si>
    <t>2023-03-12</t>
  </si>
  <si>
    <t>LN10032</t>
  </si>
  <si>
    <t>Chetna Shah</t>
  </si>
  <si>
    <t>2022-10-22</t>
  </si>
  <si>
    <t>LN10033</t>
  </si>
  <si>
    <t>Ramesh Dubey</t>
  </si>
  <si>
    <t>2022-09-28</t>
  </si>
  <si>
    <t>2022-10-08</t>
  </si>
  <si>
    <t>Nagpur-Dharampeth</t>
  </si>
  <si>
    <t>LN10034</t>
  </si>
  <si>
    <t>Mohan Mehta</t>
  </si>
  <si>
    <t>2021-01-12</t>
  </si>
  <si>
    <t>2021-02-08</t>
  </si>
  <si>
    <t>LN10035</t>
  </si>
  <si>
    <t>Suresh Tiwari</t>
  </si>
  <si>
    <t>2023-12-24</t>
  </si>
  <si>
    <t>2024-01-13</t>
  </si>
  <si>
    <t>Mumbai-Bandra</t>
  </si>
  <si>
    <t>LN10036</t>
  </si>
  <si>
    <t>2022-05-22</t>
  </si>
  <si>
    <t>LN10037</t>
  </si>
  <si>
    <t>Tarun Mishra</t>
  </si>
  <si>
    <t>2021-06-15</t>
  </si>
  <si>
    <t>2021-06-22</t>
  </si>
  <si>
    <t>Bhubaneswar-Main</t>
  </si>
  <si>
    <t>LN10038</t>
  </si>
  <si>
    <t>Meena Chaudhary</t>
  </si>
  <si>
    <t>2023-05-11</t>
  </si>
  <si>
    <t>2023-05-26</t>
  </si>
  <si>
    <t>LN10039</t>
  </si>
  <si>
    <t>Rani Patel</t>
  </si>
  <si>
    <t>2023-09-27</t>
  </si>
  <si>
    <t>2023-10-07</t>
  </si>
  <si>
    <t>LN10040</t>
  </si>
  <si>
    <t>Pooja Tiwari</t>
  </si>
  <si>
    <t>2023-03-18</t>
  </si>
  <si>
    <t>2023-04-08</t>
  </si>
  <si>
    <t>LN10041</t>
  </si>
  <si>
    <t>Ajay Patel</t>
  </si>
  <si>
    <t>2023-02-27</t>
  </si>
  <si>
    <t>LN10042</t>
  </si>
  <si>
    <t>Manoj Das</t>
  </si>
  <si>
    <t>2022-02-13</t>
  </si>
  <si>
    <t>2022-03-14</t>
  </si>
  <si>
    <t>LN10043</t>
  </si>
  <si>
    <t>Priya Mehta</t>
  </si>
  <si>
    <t>2021-09-19</t>
  </si>
  <si>
    <t>LN10044</t>
  </si>
  <si>
    <t>Kiran Chatterjee</t>
  </si>
  <si>
    <t>2022-09-10</t>
  </si>
  <si>
    <t>2022-10-10</t>
  </si>
  <si>
    <t>LN10045</t>
  </si>
  <si>
    <t>Varsha Rao</t>
  </si>
  <si>
    <t>LN10046</t>
  </si>
  <si>
    <t>Anita Shetty</t>
  </si>
  <si>
    <t>2022-07-04</t>
  </si>
  <si>
    <t>2022-07-17</t>
  </si>
  <si>
    <t>LN10047</t>
  </si>
  <si>
    <t>Shweta Nair</t>
  </si>
  <si>
    <t>2023-09-26</t>
  </si>
  <si>
    <t>2023-10-05</t>
  </si>
  <si>
    <t>LN10048</t>
  </si>
  <si>
    <t>Ashok Das</t>
  </si>
  <si>
    <t>2022-05-08</t>
  </si>
  <si>
    <t>2022-06-02</t>
  </si>
  <si>
    <t>LN10049</t>
  </si>
  <si>
    <t>Ganesh Kapoor</t>
  </si>
  <si>
    <t>2024-01-07</t>
  </si>
  <si>
    <t>LN10050</t>
  </si>
  <si>
    <t>Anita Kulkarni</t>
  </si>
  <si>
    <t>2022-01-28</t>
  </si>
  <si>
    <t>2022-02-06</t>
  </si>
  <si>
    <t>LN10051</t>
  </si>
  <si>
    <t>Chetna Saxena</t>
  </si>
  <si>
    <t>2021-02-23</t>
  </si>
  <si>
    <t>LN10052</t>
  </si>
  <si>
    <t>Education</t>
  </si>
  <si>
    <t>2023-08-20</t>
  </si>
  <si>
    <t>2023-09-07</t>
  </si>
  <si>
    <t>LN10053</t>
  </si>
  <si>
    <t>Ramesh Kulkarni</t>
  </si>
  <si>
    <t>2021-04-20</t>
  </si>
  <si>
    <t>2021-04-27</t>
  </si>
  <si>
    <t>LN10054</t>
  </si>
  <si>
    <t>Meena Chatterjee</t>
  </si>
  <si>
    <t>2023-05-29</t>
  </si>
  <si>
    <t>2023-06-10</t>
  </si>
  <si>
    <t>LN10055</t>
  </si>
  <si>
    <t>Ajay Reddy</t>
  </si>
  <si>
    <t>2021-11-20</t>
  </si>
  <si>
    <t>LN10056</t>
  </si>
  <si>
    <t>Manoj Dubey</t>
  </si>
  <si>
    <t>2022-02-10</t>
  </si>
  <si>
    <t>2022-02-26</t>
  </si>
  <si>
    <t>LN10057</t>
  </si>
  <si>
    <t>Kavitha Chaudhary</t>
  </si>
  <si>
    <t>LN10058</t>
  </si>
  <si>
    <t>Usha Mishra</t>
  </si>
  <si>
    <t>2022-04-14</t>
  </si>
  <si>
    <t>LN10059</t>
  </si>
  <si>
    <t>2021-07-06</t>
  </si>
  <si>
    <t>LN10060</t>
  </si>
  <si>
    <t>Ashok Malhotra</t>
  </si>
  <si>
    <t>2021-06-30</t>
  </si>
  <si>
    <t>2021-07-13</t>
  </si>
  <si>
    <t>LN10061</t>
  </si>
  <si>
    <t>Ravi Deshpande</t>
  </si>
  <si>
    <t>2023-11-10</t>
  </si>
  <si>
    <t>LN10062</t>
  </si>
  <si>
    <t>2021-12-03</t>
  </si>
  <si>
    <t>LN10063</t>
  </si>
  <si>
    <t>2022-07-14</t>
  </si>
  <si>
    <t>2022-07-30</t>
  </si>
  <si>
    <t>LN10064</t>
  </si>
  <si>
    <t>Ganesh Saxena</t>
  </si>
  <si>
    <t>2023-11-17</t>
  </si>
  <si>
    <t>LN10065</t>
  </si>
  <si>
    <t>Rajesh Banerjee</t>
  </si>
  <si>
    <t>2023-02-12</t>
  </si>
  <si>
    <t>LN10066</t>
  </si>
  <si>
    <t>Vinod Pillai</t>
  </si>
  <si>
    <t>2021-09-16</t>
  </si>
  <si>
    <t>2021-10-05</t>
  </si>
  <si>
    <t>LN10067</t>
  </si>
  <si>
    <t>Rani Kulkarni</t>
  </si>
  <si>
    <t>2022-12-17</t>
  </si>
  <si>
    <t>LN10068</t>
  </si>
  <si>
    <t>Abhishek Kaur</t>
  </si>
  <si>
    <t>2022-05-19</t>
  </si>
  <si>
    <t>Indore-Main</t>
  </si>
  <si>
    <t>LN10069</t>
  </si>
  <si>
    <t>Varsha Banerjee</t>
  </si>
  <si>
    <t>2022-08-24</t>
  </si>
  <si>
    <t>2022-09-07</t>
  </si>
  <si>
    <t>LN10070</t>
  </si>
  <si>
    <t>Geeta Tiwari</t>
  </si>
  <si>
    <t>LN10071</t>
  </si>
  <si>
    <t>Tarun Das</t>
  </si>
  <si>
    <t>2023-05-19</t>
  </si>
  <si>
    <t>2023-06-13</t>
  </si>
  <si>
    <t>LN10072</t>
  </si>
  <si>
    <t>Ravi Yadav</t>
  </si>
  <si>
    <t>2023-04-02</t>
  </si>
  <si>
    <t>LN10073</t>
  </si>
  <si>
    <t>Rajesh Reddy</t>
  </si>
  <si>
    <t>2021-10-08</t>
  </si>
  <si>
    <t>2021-10-31</t>
  </si>
  <si>
    <t>LN10074</t>
  </si>
  <si>
    <t>Suresh Singh</t>
  </si>
  <si>
    <t>2021-10-26</t>
  </si>
  <si>
    <t>LN10075</t>
  </si>
  <si>
    <t>Dinesh Shetty</t>
  </si>
  <si>
    <t>2021-10-16</t>
  </si>
  <si>
    <t>2021-11-12</t>
  </si>
  <si>
    <t>LN10076</t>
  </si>
  <si>
    <t>Anil Kaur</t>
  </si>
  <si>
    <t>2023-02-06</t>
  </si>
  <si>
    <t>LN10077</t>
  </si>
  <si>
    <t>Varsha Chaudhary</t>
  </si>
  <si>
    <t>2021-09-03</t>
  </si>
  <si>
    <t>LN10078</t>
  </si>
  <si>
    <t>Amit Singh</t>
  </si>
  <si>
    <t>2023-05-09</t>
  </si>
  <si>
    <t>2023-05-30</t>
  </si>
  <si>
    <t>LN10079</t>
  </si>
  <si>
    <t>2022-04-29</t>
  </si>
  <si>
    <t>2022-05-29</t>
  </si>
  <si>
    <t>LN10080</t>
  </si>
  <si>
    <t>Geeta Iyer</t>
  </si>
  <si>
    <t>2022-04-03</t>
  </si>
  <si>
    <t>LN10081</t>
  </si>
  <si>
    <t>Tarun Patel</t>
  </si>
  <si>
    <t>2021-01-17</t>
  </si>
  <si>
    <t>LN10082</t>
  </si>
  <si>
    <t>Meena Joshi</t>
  </si>
  <si>
    <t>2022-10-29</t>
  </si>
  <si>
    <t>LN10083</t>
  </si>
  <si>
    <t>Divya Das</t>
  </si>
  <si>
    <t>2021-08-29</t>
  </si>
  <si>
    <t>LN10084</t>
  </si>
  <si>
    <t>Sunil Chaudhary</t>
  </si>
  <si>
    <t>2021-08-10</t>
  </si>
  <si>
    <t>2021-08-28</t>
  </si>
  <si>
    <t>LN10085</t>
  </si>
  <si>
    <t>Pallavi Dubey</t>
  </si>
  <si>
    <t>2022-08-27</t>
  </si>
  <si>
    <t>2022-09-13</t>
  </si>
  <si>
    <t>LN10086</t>
  </si>
  <si>
    <t>Sunil Tiwari</t>
  </si>
  <si>
    <t>2023-07-18</t>
  </si>
  <si>
    <t>2023-08-02</t>
  </si>
  <si>
    <t>LN10087</t>
  </si>
  <si>
    <t>Manoj Iyer</t>
  </si>
  <si>
    <t>LN10088</t>
  </si>
  <si>
    <t>Chetna Shetty</t>
  </si>
  <si>
    <t>2022-09-04</t>
  </si>
  <si>
    <t>LN10089</t>
  </si>
  <si>
    <t>Nisha Jain</t>
  </si>
  <si>
    <t>2022-07-25</t>
  </si>
  <si>
    <t>2022-08-15</t>
  </si>
  <si>
    <t>Guwahati-Main</t>
  </si>
  <si>
    <t>LN10090</t>
  </si>
  <si>
    <t>Anil Tiwari</t>
  </si>
  <si>
    <t>LN10091</t>
  </si>
  <si>
    <t>Ashok Sharma</t>
  </si>
  <si>
    <t>2023-08-01</t>
  </si>
  <si>
    <t>LN10092</t>
  </si>
  <si>
    <t>Kiran Shetty</t>
  </si>
  <si>
    <t>2022-07-29</t>
  </si>
  <si>
    <t>LN10093</t>
  </si>
  <si>
    <t>Siddharth Tiwari</t>
  </si>
  <si>
    <t>2023-09-24</t>
  </si>
  <si>
    <t>2023-10-13</t>
  </si>
  <si>
    <t>LN10094</t>
  </si>
  <si>
    <t>2021-09-06</t>
  </si>
  <si>
    <t>LN10095</t>
  </si>
  <si>
    <t>Jyoti Tiwari</t>
  </si>
  <si>
    <t>2023-07-31</t>
  </si>
  <si>
    <t>2023-08-05</t>
  </si>
  <si>
    <t>LN10096</t>
  </si>
  <si>
    <t>Vinod Tiwari</t>
  </si>
  <si>
    <t>2023-01-12</t>
  </si>
  <si>
    <t>2023-01-17</t>
  </si>
  <si>
    <t>LN10097</t>
  </si>
  <si>
    <t>Anita Iyer</t>
  </si>
  <si>
    <t>2021-06-25</t>
  </si>
  <si>
    <t>LN10098</t>
  </si>
  <si>
    <t>2021-12-22</t>
  </si>
  <si>
    <t>2022-01-13</t>
  </si>
  <si>
    <t>LN10099</t>
  </si>
  <si>
    <t>Meena Kumar</t>
  </si>
  <si>
    <t>2023-06-25</t>
  </si>
  <si>
    <t>LN10100</t>
  </si>
  <si>
    <t>Nisha Mishra</t>
  </si>
  <si>
    <t>2021-07-04</t>
  </si>
  <si>
    <t>2021-07-26</t>
  </si>
  <si>
    <t>LN10101</t>
  </si>
  <si>
    <t>Naveen Nayak</t>
  </si>
  <si>
    <t>2021-05-24</t>
  </si>
  <si>
    <t>LN10102</t>
  </si>
  <si>
    <t>Suresh Kulkarni</t>
  </si>
  <si>
    <t>2023-01-30</t>
  </si>
  <si>
    <t>LN10103</t>
  </si>
  <si>
    <t>Sanjay Nayak</t>
  </si>
  <si>
    <t>2023-03-15</t>
  </si>
  <si>
    <t>LN10104</t>
  </si>
  <si>
    <t>Ravi Mehta</t>
  </si>
  <si>
    <t>2022-09-27</t>
  </si>
  <si>
    <t>LN10105</t>
  </si>
  <si>
    <t>Harish Kulkarni</t>
  </si>
  <si>
    <t>2023-10-02</t>
  </si>
  <si>
    <t>LN10106</t>
  </si>
  <si>
    <t>Anil Joshi</t>
  </si>
  <si>
    <t>LN10107</t>
  </si>
  <si>
    <t>Divya Gupta</t>
  </si>
  <si>
    <t>2023-09-17</t>
  </si>
  <si>
    <t>LN10108</t>
  </si>
  <si>
    <t>Mohan Shetty</t>
  </si>
  <si>
    <t>2022-06-01</t>
  </si>
  <si>
    <t>LN10109</t>
  </si>
  <si>
    <t>Komal Saxena</t>
  </si>
  <si>
    <t>2023-11-18</t>
  </si>
  <si>
    <t>2023-11-25</t>
  </si>
  <si>
    <t>LN10110</t>
  </si>
  <si>
    <t>Anita Nair</t>
  </si>
  <si>
    <t>2023-02-07</t>
  </si>
  <si>
    <t>LN10111</t>
  </si>
  <si>
    <t>Priya Deshpande</t>
  </si>
  <si>
    <t>2021-06-12</t>
  </si>
  <si>
    <t>LN10112</t>
  </si>
  <si>
    <t>Ravi Menon</t>
  </si>
  <si>
    <t>2023-05-10</t>
  </si>
  <si>
    <t>2023-06-02</t>
  </si>
  <si>
    <t>LN10113</t>
  </si>
  <si>
    <t>Bhavna Yadav</t>
  </si>
  <si>
    <t xml:space="preserve">Salaried </t>
  </si>
  <si>
    <t>2023-01-03</t>
  </si>
  <si>
    <t>LN10114</t>
  </si>
  <si>
    <t>Ajay Malhotra</t>
  </si>
  <si>
    <t>2023-02-04</t>
  </si>
  <si>
    <t>LN10115</t>
  </si>
  <si>
    <t>Chetna Patel</t>
  </si>
  <si>
    <t>2021-12-25</t>
  </si>
  <si>
    <t>2022-01-23</t>
  </si>
  <si>
    <t>LN10116</t>
  </si>
  <si>
    <t>Varsha Yadav</t>
  </si>
  <si>
    <t>2021-03-27</t>
  </si>
  <si>
    <t>2021-04-09</t>
  </si>
  <si>
    <t>LN10117</t>
  </si>
  <si>
    <t>Nisha Kaur</t>
  </si>
  <si>
    <t>2023-04-26</t>
  </si>
  <si>
    <t>LN10118</t>
  </si>
  <si>
    <t>Ramesh Nayak</t>
  </si>
  <si>
    <t>2022-01-05</t>
  </si>
  <si>
    <t>2022-01-25</t>
  </si>
  <si>
    <t>LN10119</t>
  </si>
  <si>
    <t>Sanjay Deshpande</t>
  </si>
  <si>
    <t>2023-01-15</t>
  </si>
  <si>
    <t>LN10120</t>
  </si>
  <si>
    <t>Anita Mishra</t>
  </si>
  <si>
    <t>2023-06-21</t>
  </si>
  <si>
    <t>LN10121</t>
  </si>
  <si>
    <t>Arjun Kumar</t>
  </si>
  <si>
    <t>2021-10-09</t>
  </si>
  <si>
    <t>2021-10-28</t>
  </si>
  <si>
    <t>LN10122</t>
  </si>
  <si>
    <t>Geeta Kaur</t>
  </si>
  <si>
    <t>2022-07-13</t>
  </si>
  <si>
    <t>LN10123</t>
  </si>
  <si>
    <t>Ramesh Menon</t>
  </si>
  <si>
    <t>LN10124</t>
  </si>
  <si>
    <t>Ashok Kumar</t>
  </si>
  <si>
    <t>2021-10-12</t>
  </si>
  <si>
    <t>2021-10-22</t>
  </si>
  <si>
    <t>LN10125</t>
  </si>
  <si>
    <t>Jyoti Patel</t>
  </si>
  <si>
    <t>2023-12-13</t>
  </si>
  <si>
    <t>2023-12-29</t>
  </si>
  <si>
    <t>LN10126</t>
  </si>
  <si>
    <t>Manoj Kumar</t>
  </si>
  <si>
    <t>2023-06-06</t>
  </si>
  <si>
    <t>LN10127</t>
  </si>
  <si>
    <t>Sunita Rao</t>
  </si>
  <si>
    <t>2022-02-07</t>
  </si>
  <si>
    <t>2022-03-02</t>
  </si>
  <si>
    <t>LN10128</t>
  </si>
  <si>
    <t>Sarala Mishra</t>
  </si>
  <si>
    <t>2022-11-23</t>
  </si>
  <si>
    <t>2022-12-22</t>
  </si>
  <si>
    <t>LN10129</t>
  </si>
  <si>
    <t>Ajay Singh</t>
  </si>
  <si>
    <t>2022-09-11</t>
  </si>
  <si>
    <t>2022-09-29</t>
  </si>
  <si>
    <t>LN10130</t>
  </si>
  <si>
    <t>Shweta Kaur</t>
  </si>
  <si>
    <t>2021-11-04</t>
  </si>
  <si>
    <t>LN10131</t>
  </si>
  <si>
    <t>Pallavi Deshpande</t>
  </si>
  <si>
    <t>2023-07-20</t>
  </si>
  <si>
    <t>LN10132</t>
  </si>
  <si>
    <t>Meena Iyer</t>
  </si>
  <si>
    <t>2021-11-23</t>
  </si>
  <si>
    <t>2021-12-11</t>
  </si>
  <si>
    <t>LN10133</t>
  </si>
  <si>
    <t>Sunil Yadav</t>
  </si>
  <si>
    <t>2021-04-14</t>
  </si>
  <si>
    <t>2021-04-26</t>
  </si>
  <si>
    <t>LN10134</t>
  </si>
  <si>
    <t>Jyoti Saxena</t>
  </si>
  <si>
    <t>2021-05-06</t>
  </si>
  <si>
    <t>LN10135</t>
  </si>
  <si>
    <t>Sarala Pillai</t>
  </si>
  <si>
    <t>2022-12-16</t>
  </si>
  <si>
    <t>LN10136</t>
  </si>
  <si>
    <t>Geeta Mehta</t>
  </si>
  <si>
    <t>2021-11-02</t>
  </si>
  <si>
    <t>2021-11-24</t>
  </si>
  <si>
    <t>LN10137</t>
  </si>
  <si>
    <t>Sunil Joshi</t>
  </si>
  <si>
    <t>2022-09-06</t>
  </si>
  <si>
    <t>2022-09-24</t>
  </si>
  <si>
    <t>LN10138</t>
  </si>
  <si>
    <t>Priya Shetty</t>
  </si>
  <si>
    <t>2021-04-16</t>
  </si>
  <si>
    <t>2021-05-07</t>
  </si>
  <si>
    <t>LN10139</t>
  </si>
  <si>
    <t>Ganesh Gupta</t>
  </si>
  <si>
    <t>2023-07-06</t>
  </si>
  <si>
    <t>LN10140</t>
  </si>
  <si>
    <t>Manoj Mehta</t>
  </si>
  <si>
    <t>LN10141</t>
  </si>
  <si>
    <t>Harish Deshpande</t>
  </si>
  <si>
    <t>2022-09-14</t>
  </si>
  <si>
    <t>LN10142</t>
  </si>
  <si>
    <t>Nisha Banerjee</t>
  </si>
  <si>
    <t>2023-03-04</t>
  </si>
  <si>
    <t>LN10143</t>
  </si>
  <si>
    <t>Ashok Mehta</t>
  </si>
  <si>
    <t>2022-07-10</t>
  </si>
  <si>
    <t>LN10144</t>
  </si>
  <si>
    <t>Abhishek Mishra</t>
  </si>
  <si>
    <t>2023-08-26</t>
  </si>
  <si>
    <t>2023-09-01</t>
  </si>
  <si>
    <t>LN10145</t>
  </si>
  <si>
    <t>Varsha Joshi</t>
  </si>
  <si>
    <t>2021-07-03</t>
  </si>
  <si>
    <t>LN10146</t>
  </si>
  <si>
    <t>Ajay Chaudhary</t>
  </si>
  <si>
    <t>2021-03-18</t>
  </si>
  <si>
    <t>2021-03-21</t>
  </si>
  <si>
    <t>LN10147</t>
  </si>
  <si>
    <t>Nisha Iyer</t>
  </si>
  <si>
    <t>2021-08-19</t>
  </si>
  <si>
    <t>2021-09-01</t>
  </si>
  <si>
    <t>LN10148</t>
  </si>
  <si>
    <t>Kiran Yadav</t>
  </si>
  <si>
    <t>LN10149</t>
  </si>
  <si>
    <t>Anita Deshpande</t>
  </si>
  <si>
    <t>2022-04-28</t>
  </si>
  <si>
    <t>2022-05-15</t>
  </si>
  <si>
    <t>LN10150</t>
  </si>
  <si>
    <t>2021-12-09</t>
  </si>
  <si>
    <t>LN10151</t>
  </si>
  <si>
    <t>Varsha Chatterjee</t>
  </si>
  <si>
    <t>2023-02-21</t>
  </si>
  <si>
    <t>LN10152</t>
  </si>
  <si>
    <t>Abhishek Saxena</t>
  </si>
  <si>
    <t>2023-11-11</t>
  </si>
  <si>
    <t>LN10153</t>
  </si>
  <si>
    <t>Ajay Mehta</t>
  </si>
  <si>
    <t>2021-05-11</t>
  </si>
  <si>
    <t>LN10154</t>
  </si>
  <si>
    <t>Arjun Malhotra</t>
  </si>
  <si>
    <t xml:space="preserve">  Self-Employed</t>
  </si>
  <si>
    <t>2021-05-30</t>
  </si>
  <si>
    <t>2021-06-03</t>
  </si>
  <si>
    <t>LN10155</t>
  </si>
  <si>
    <t>Anita Jain</t>
  </si>
  <si>
    <t>2023-07-08</t>
  </si>
  <si>
    <t>2023-08-07</t>
  </si>
  <si>
    <t>LN10156</t>
  </si>
  <si>
    <t>Harish Nayak</t>
  </si>
  <si>
    <t>2022-09-21</t>
  </si>
  <si>
    <t>LN10157</t>
  </si>
  <si>
    <t>Varsha Tiwari</t>
  </si>
  <si>
    <t>2023-05-31</t>
  </si>
  <si>
    <t>LN10158</t>
  </si>
  <si>
    <t>Priya Verma</t>
  </si>
  <si>
    <t>2022-04-17</t>
  </si>
  <si>
    <t>LN10159</t>
  </si>
  <si>
    <t>Sunita Joshi</t>
  </si>
  <si>
    <t>2022-03-29</t>
  </si>
  <si>
    <t>LN10160</t>
  </si>
  <si>
    <t>2023-12-11</t>
  </si>
  <si>
    <t>LN10161</t>
  </si>
  <si>
    <t>Abhishek Malhotra</t>
  </si>
  <si>
    <t>2023-08-11</t>
  </si>
  <si>
    <t>LN10162</t>
  </si>
  <si>
    <t>Sarala Malhotra</t>
  </si>
  <si>
    <t>2022-01-26</t>
  </si>
  <si>
    <t>2022-01-30</t>
  </si>
  <si>
    <t>LN10163</t>
  </si>
  <si>
    <t>Pooja Nayak</t>
  </si>
  <si>
    <t>2022-03-10</t>
  </si>
  <si>
    <t>2022-03-19</t>
  </si>
  <si>
    <t>LN10164</t>
  </si>
  <si>
    <t>Chetna Rao</t>
  </si>
  <si>
    <t>2024-01-21</t>
  </si>
  <si>
    <t>LN10165</t>
  </si>
  <si>
    <t>Ashok Chatterjee</t>
  </si>
  <si>
    <t>2021-04-25</t>
  </si>
  <si>
    <t>LN10166</t>
  </si>
  <si>
    <t>Anil Mehta</t>
  </si>
  <si>
    <t>2022-06-06</t>
  </si>
  <si>
    <t>LN10167</t>
  </si>
  <si>
    <t>Sarala Kulkarni</t>
  </si>
  <si>
    <t>2021-05-01</t>
  </si>
  <si>
    <t>2021-05-20</t>
  </si>
  <si>
    <t>LN10168</t>
  </si>
  <si>
    <t>Amit Kumar</t>
  </si>
  <si>
    <t>2023-07-23</t>
  </si>
  <si>
    <t>2023-08-06</t>
  </si>
  <si>
    <t>LN10169</t>
  </si>
  <si>
    <t>Sunita Saxena</t>
  </si>
  <si>
    <t>2021-02-05</t>
  </si>
  <si>
    <t>2021-02-24</t>
  </si>
  <si>
    <t>LN10170</t>
  </si>
  <si>
    <t>Abhishek Tiwari</t>
  </si>
  <si>
    <t>2023-04-12</t>
  </si>
  <si>
    <t>2023-04-29</t>
  </si>
  <si>
    <t>LN10171</t>
  </si>
  <si>
    <t>Ajay Verma</t>
  </si>
  <si>
    <t>2021-02-14</t>
  </si>
  <si>
    <t>LN10172</t>
  </si>
  <si>
    <t>Kiran Nair</t>
  </si>
  <si>
    <t>2023-09-12</t>
  </si>
  <si>
    <t>LN10173</t>
  </si>
  <si>
    <t>2023-03-27</t>
  </si>
  <si>
    <t>2023-04-01</t>
  </si>
  <si>
    <t>LN10174</t>
  </si>
  <si>
    <t>Nisha Gupta</t>
  </si>
  <si>
    <t>2023-06-15</t>
  </si>
  <si>
    <t>LN10175</t>
  </si>
  <si>
    <t>Vikram Kulkarni</t>
  </si>
  <si>
    <t>2023-02-24</t>
  </si>
  <si>
    <t>LN10176</t>
  </si>
  <si>
    <t>Divya Nayak</t>
  </si>
  <si>
    <t>2021-12-08</t>
  </si>
  <si>
    <t>LN10177</t>
  </si>
  <si>
    <t>2023-07-29</t>
  </si>
  <si>
    <t>LN10178</t>
  </si>
  <si>
    <t>2021-06-23</t>
  </si>
  <si>
    <t>2021-07-19</t>
  </si>
  <si>
    <t>LN10179</t>
  </si>
  <si>
    <t>Sarala Verma</t>
  </si>
  <si>
    <t>LN10180</t>
  </si>
  <si>
    <t>Pooja Malhotra</t>
  </si>
  <si>
    <t>2021-08-08</t>
  </si>
  <si>
    <t>2021-08-15</t>
  </si>
  <si>
    <t>LN10181</t>
  </si>
  <si>
    <t>Nisha Sharma</t>
  </si>
  <si>
    <t>2021-10-06</t>
  </si>
  <si>
    <t>2021-10-18</t>
  </si>
  <si>
    <t>LN10182</t>
  </si>
  <si>
    <t>2023-03-16</t>
  </si>
  <si>
    <t>2023-03-30</t>
  </si>
  <si>
    <t>LN10183</t>
  </si>
  <si>
    <t>Kavitha Pillai</t>
  </si>
  <si>
    <t>2023-05-12</t>
  </si>
  <si>
    <t>LN10184</t>
  </si>
  <si>
    <t>Jyoti Joshi</t>
  </si>
  <si>
    <t>2024-01-19</t>
  </si>
  <si>
    <t>LN10185</t>
  </si>
  <si>
    <t>2021-04-22</t>
  </si>
  <si>
    <t>LN10186</t>
  </si>
  <si>
    <t>Komal Kaur</t>
  </si>
  <si>
    <t>2023-10-22</t>
  </si>
  <si>
    <t>2023-10-29</t>
  </si>
  <si>
    <t>LN10187</t>
  </si>
  <si>
    <t>Ashok Patel</t>
  </si>
  <si>
    <t>2023-12-04</t>
  </si>
  <si>
    <t>2023-12-22</t>
  </si>
  <si>
    <t>LN10188</t>
  </si>
  <si>
    <t>Ashok Saxena</t>
  </si>
  <si>
    <t>2021-09-05</t>
  </si>
  <si>
    <t>LN10189</t>
  </si>
  <si>
    <t>Kiran Verma</t>
  </si>
  <si>
    <t>2023-06-05</t>
  </si>
  <si>
    <t>2023-06-20</t>
  </si>
  <si>
    <t>LN10190</t>
  </si>
  <si>
    <t>Priya Pillai</t>
  </si>
  <si>
    <t>2022-02-01</t>
  </si>
  <si>
    <t>LN10191</t>
  </si>
  <si>
    <t>2022-12-14</t>
  </si>
  <si>
    <t>2022-12-28</t>
  </si>
  <si>
    <t>LN10192</t>
  </si>
  <si>
    <t>LN10193</t>
  </si>
  <si>
    <t>Meena Nayak</t>
  </si>
  <si>
    <t>2022-08-22</t>
  </si>
  <si>
    <t>LN10194</t>
  </si>
  <si>
    <t>Divya Deshpande</t>
  </si>
  <si>
    <t>LN10195</t>
  </si>
  <si>
    <t>Jyoti Malhotra</t>
  </si>
  <si>
    <t>2022-08-23</t>
  </si>
  <si>
    <t>LN10196</t>
  </si>
  <si>
    <t>Smita Kapoor</t>
  </si>
  <si>
    <t>2023-05-27</t>
  </si>
  <si>
    <t>LN10197</t>
  </si>
  <si>
    <t>Chetna Verma</t>
  </si>
  <si>
    <t>2022-12-20</t>
  </si>
  <si>
    <t>2023-01-19</t>
  </si>
  <si>
    <t>LN10198</t>
  </si>
  <si>
    <t>Pallavi Tiwari</t>
  </si>
  <si>
    <t>2021-12-24</t>
  </si>
  <si>
    <t>LN10199</t>
  </si>
  <si>
    <t>Pallavi Banerjee</t>
  </si>
  <si>
    <t>2022-06-03</t>
  </si>
  <si>
    <t>LN10200</t>
  </si>
  <si>
    <t>2022-07-24</t>
  </si>
  <si>
    <t>2022-08-18</t>
  </si>
  <si>
    <t>LN10201</t>
  </si>
  <si>
    <t>Geeta Yadav</t>
  </si>
  <si>
    <t>2023-06-28</t>
  </si>
  <si>
    <t>LN10202</t>
  </si>
  <si>
    <t>2021-04-05</t>
  </si>
  <si>
    <t>2021-04-11</t>
  </si>
  <si>
    <t>LN10203</t>
  </si>
  <si>
    <t>Tarun Yadav</t>
  </si>
  <si>
    <t>2021-07-11</t>
  </si>
  <si>
    <t>2021-08-03</t>
  </si>
  <si>
    <t>LN10204</t>
  </si>
  <si>
    <t>Geeta Das</t>
  </si>
  <si>
    <t>LN10205</t>
  </si>
  <si>
    <t>Ganesh Kumar</t>
  </si>
  <si>
    <t>LN10206</t>
  </si>
  <si>
    <t>Deepa Iyer</t>
  </si>
  <si>
    <t>2021-12-20</t>
  </si>
  <si>
    <t>LN10207</t>
  </si>
  <si>
    <t>Ashok Menon</t>
  </si>
  <si>
    <t>2023-01-06</t>
  </si>
  <si>
    <t>LN10208</t>
  </si>
  <si>
    <t>Vinod Joshi</t>
  </si>
  <si>
    <t>2023-11-19</t>
  </si>
  <si>
    <t>LN10209</t>
  </si>
  <si>
    <t>Chetna Kaur</t>
  </si>
  <si>
    <t>2021-01-25</t>
  </si>
  <si>
    <t>LN10210</t>
  </si>
  <si>
    <t>2022-06-21</t>
  </si>
  <si>
    <t>2022-06-30</t>
  </si>
  <si>
    <t>LN10211</t>
  </si>
  <si>
    <t>Amit Reddy</t>
  </si>
  <si>
    <t>2021-11-09</t>
  </si>
  <si>
    <t>LN10212</t>
  </si>
  <si>
    <t>Deepa Chatterjee</t>
  </si>
  <si>
    <t>2022-05-04</t>
  </si>
  <si>
    <t>LN10213</t>
  </si>
  <si>
    <t>2021-12-02</t>
  </si>
  <si>
    <t>LN10214</t>
  </si>
  <si>
    <t>LN10215</t>
  </si>
  <si>
    <t>Pallavi Kumar</t>
  </si>
  <si>
    <t>2021-09-04</t>
  </si>
  <si>
    <t>LN10216</t>
  </si>
  <si>
    <t>Chetna Sharma</t>
  </si>
  <si>
    <t>LN10217</t>
  </si>
  <si>
    <t>Vinod Verma</t>
  </si>
  <si>
    <t>2021-06-08</t>
  </si>
  <si>
    <t>LN10218</t>
  </si>
  <si>
    <t>Sanjay Chatterjee</t>
  </si>
  <si>
    <t>2023-01-25</t>
  </si>
  <si>
    <t>LN10219</t>
  </si>
  <si>
    <t>Jyoti Pillai</t>
  </si>
  <si>
    <t>2023-02-10</t>
  </si>
  <si>
    <t>LN10220</t>
  </si>
  <si>
    <t>Chetna Chatterjee</t>
  </si>
  <si>
    <t>2022-05-20</t>
  </si>
  <si>
    <t>LN10221</t>
  </si>
  <si>
    <t>Madhuri Malhotra</t>
  </si>
  <si>
    <t>LN10222</t>
  </si>
  <si>
    <t>Sanjay Das</t>
  </si>
  <si>
    <t>LN10223</t>
  </si>
  <si>
    <t>Suresh Gupta</t>
  </si>
  <si>
    <t>LN10224</t>
  </si>
  <si>
    <t>2022-06-17</t>
  </si>
  <si>
    <t>2022-07-16</t>
  </si>
  <si>
    <t>LN10225</t>
  </si>
  <si>
    <t>Divya Patel</t>
  </si>
  <si>
    <t>2022-04-01</t>
  </si>
  <si>
    <t>2022-04-08</t>
  </si>
  <si>
    <t>LN10226</t>
  </si>
  <si>
    <t>Mohan Kaur</t>
  </si>
  <si>
    <t>2021-09-26</t>
  </si>
  <si>
    <t>LN10227</t>
  </si>
  <si>
    <t>Lakshmi Rao</t>
  </si>
  <si>
    <t>2022-01-03</t>
  </si>
  <si>
    <t>LN10228</t>
  </si>
  <si>
    <t>Rekha Shah</t>
  </si>
  <si>
    <t>2021-05-10</t>
  </si>
  <si>
    <t>LN10229</t>
  </si>
  <si>
    <t>2023-09-20</t>
  </si>
  <si>
    <t>2023-10-04</t>
  </si>
  <si>
    <t>LN10230</t>
  </si>
  <si>
    <t>Ajay Deshpande</t>
  </si>
  <si>
    <t>2022-04-22</t>
  </si>
  <si>
    <t>2022-04-30</t>
  </si>
  <si>
    <t>LN10231</t>
  </si>
  <si>
    <t>2022-05-21</t>
  </si>
  <si>
    <t>LN10232</t>
  </si>
  <si>
    <t>Vinod Jain</t>
  </si>
  <si>
    <t>LN10233</t>
  </si>
  <si>
    <t>Amit Nair</t>
  </si>
  <si>
    <t>2021-12-30</t>
  </si>
  <si>
    <t>2022-01-27</t>
  </si>
  <si>
    <t>LN10234</t>
  </si>
  <si>
    <t>2022-11-21</t>
  </si>
  <si>
    <t>2022-12-03</t>
  </si>
  <si>
    <t>LN10235</t>
  </si>
  <si>
    <t>2022-01-10</t>
  </si>
  <si>
    <t>LN10236</t>
  </si>
  <si>
    <t>2021-08-02</t>
  </si>
  <si>
    <t>2021-08-20</t>
  </si>
  <si>
    <t>LN10237</t>
  </si>
  <si>
    <t>Meena Kulkarni</t>
  </si>
  <si>
    <t>LN10238</t>
  </si>
  <si>
    <t>Vikram Jain</t>
  </si>
  <si>
    <t>2023-02-14</t>
  </si>
  <si>
    <t>LN10239</t>
  </si>
  <si>
    <t>Ganesh Chaudhary</t>
  </si>
  <si>
    <t>LN10240</t>
  </si>
  <si>
    <t>Rohit Kumar</t>
  </si>
  <si>
    <t>2021-08-09</t>
  </si>
  <si>
    <t>LN10241</t>
  </si>
  <si>
    <t>Rekha Pillai</t>
  </si>
  <si>
    <t>2023-10-03</t>
  </si>
  <si>
    <t>2023-10-10</t>
  </si>
  <si>
    <t>LN10242</t>
  </si>
  <si>
    <t>Sunita Shetty</t>
  </si>
  <si>
    <t>LN10243</t>
  </si>
  <si>
    <t>Usha Saxena</t>
  </si>
  <si>
    <t>2022-06-24</t>
  </si>
  <si>
    <t>2022-07-11</t>
  </si>
  <si>
    <t>LN10244</t>
  </si>
  <si>
    <t>Smita Das</t>
  </si>
  <si>
    <t>LN10245</t>
  </si>
  <si>
    <t>Harish Malhotra</t>
  </si>
  <si>
    <t>LN10246</t>
  </si>
  <si>
    <t>Ramesh Shah</t>
  </si>
  <si>
    <t>LN10247</t>
  </si>
  <si>
    <t>LN10248</t>
  </si>
  <si>
    <t>Meena Mehta</t>
  </si>
  <si>
    <t>2023-03-19</t>
  </si>
  <si>
    <t>LN10249</t>
  </si>
  <si>
    <t>LN10250</t>
  </si>
  <si>
    <t>Ganesh Mishra</t>
  </si>
  <si>
    <t>2023-07-24</t>
  </si>
  <si>
    <t>LN10251</t>
  </si>
  <si>
    <t>Vinod Mishra</t>
  </si>
  <si>
    <t>2021-11-22</t>
  </si>
  <si>
    <t>2021-11-27</t>
  </si>
  <si>
    <t>LN10252</t>
  </si>
  <si>
    <t>2023-01-09</t>
  </si>
  <si>
    <t>2023-02-03</t>
  </si>
  <si>
    <t>LN10253</t>
  </si>
  <si>
    <t>Mohan Mishra</t>
  </si>
  <si>
    <t>LN10254</t>
  </si>
  <si>
    <t>Sarala Jain</t>
  </si>
  <si>
    <t>LN10255</t>
  </si>
  <si>
    <t>Anil Menon</t>
  </si>
  <si>
    <t>2022-10-13</t>
  </si>
  <si>
    <t>LN10256</t>
  </si>
  <si>
    <t>Pallavi Mishra</t>
  </si>
  <si>
    <t>2021-07-29</t>
  </si>
  <si>
    <t>2021-08-01</t>
  </si>
  <si>
    <t>LN10257</t>
  </si>
  <si>
    <t>Sunil Shetty</t>
  </si>
  <si>
    <t>2022-07-22</t>
  </si>
  <si>
    <t>2022-08-02</t>
  </si>
  <si>
    <t>LN10258</t>
  </si>
  <si>
    <t>Komal Chatterjee</t>
  </si>
  <si>
    <t>2022-08-29</t>
  </si>
  <si>
    <t>2022-09-09</t>
  </si>
  <si>
    <t>LN10259</t>
  </si>
  <si>
    <t>Manoj Kaur</t>
  </si>
  <si>
    <t>2021-12-15</t>
  </si>
  <si>
    <t>LN10260</t>
  </si>
  <si>
    <t>Siddharth Shah</t>
  </si>
  <si>
    <t>LN10261</t>
  </si>
  <si>
    <t>Lakshmi Shetty</t>
  </si>
  <si>
    <t>LN10262</t>
  </si>
  <si>
    <t>Nisha Malhotra</t>
  </si>
  <si>
    <t>2022-12-06</t>
  </si>
  <si>
    <t>LN10263</t>
  </si>
  <si>
    <t>2023-06-08</t>
  </si>
  <si>
    <t>2023-07-01</t>
  </si>
  <si>
    <t>LN10264</t>
  </si>
  <si>
    <t>Anita Kaur</t>
  </si>
  <si>
    <t>2021-02-01</t>
  </si>
  <si>
    <t>LN10265</t>
  </si>
  <si>
    <t>Rohit Verma</t>
  </si>
  <si>
    <t>2023-08-18</t>
  </si>
  <si>
    <t>LN10266</t>
  </si>
  <si>
    <t>Madhuri Kulkarni</t>
  </si>
  <si>
    <t>2022-03-09</t>
  </si>
  <si>
    <t>2022-04-04</t>
  </si>
  <si>
    <t>LN10267</t>
  </si>
  <si>
    <t>Priya Gupta</t>
  </si>
  <si>
    <t>2021-09-02</t>
  </si>
  <si>
    <t>LN10268</t>
  </si>
  <si>
    <t>Priya Reddy</t>
  </si>
  <si>
    <t>LN10269</t>
  </si>
  <si>
    <t>Madhuri Mishra</t>
  </si>
  <si>
    <t>2021-08-24</t>
  </si>
  <si>
    <t>LN10270</t>
  </si>
  <si>
    <t>Mohan Pillai</t>
  </si>
  <si>
    <t>2023-09-25</t>
  </si>
  <si>
    <t>LN10271</t>
  </si>
  <si>
    <t>Shweta Sharma</t>
  </si>
  <si>
    <t>2022-04-19</t>
  </si>
  <si>
    <t>2022-05-06</t>
  </si>
  <si>
    <t>LN10272</t>
  </si>
  <si>
    <t>2021-04-07</t>
  </si>
  <si>
    <t>LN10273</t>
  </si>
  <si>
    <t>Arjun Gupta</t>
  </si>
  <si>
    <t>2023-04-17</t>
  </si>
  <si>
    <t>LN10274</t>
  </si>
  <si>
    <t>LN10275</t>
  </si>
  <si>
    <t>Bhavna Nayak</t>
  </si>
  <si>
    <t>LN10276</t>
  </si>
  <si>
    <t>Vinod Sharma</t>
  </si>
  <si>
    <t>2022-06-12</t>
  </si>
  <si>
    <t>LN10277</t>
  </si>
  <si>
    <t>Ashok Nayak</t>
  </si>
  <si>
    <t>2023-10-17</t>
  </si>
  <si>
    <t>LN10278</t>
  </si>
  <si>
    <t>Shweta Kulkarni</t>
  </si>
  <si>
    <t>2023-07-12</t>
  </si>
  <si>
    <t>LN10279</t>
  </si>
  <si>
    <t>Jyoti Dubey</t>
  </si>
  <si>
    <t>2022-09-16</t>
  </si>
  <si>
    <t>2022-10-05</t>
  </si>
  <si>
    <t>LN10280</t>
  </si>
  <si>
    <t>Sarala Menon</t>
  </si>
  <si>
    <t>2023-02-09</t>
  </si>
  <si>
    <t>LN10281</t>
  </si>
  <si>
    <t>Ramesh Rao</t>
  </si>
  <si>
    <t>2021-04-12</t>
  </si>
  <si>
    <t>LN10282</t>
  </si>
  <si>
    <t>LN10283</t>
  </si>
  <si>
    <t>Manoj Singh</t>
  </si>
  <si>
    <t>2023-07-05</t>
  </si>
  <si>
    <t>LN10284</t>
  </si>
  <si>
    <t>Rani Saxena</t>
  </si>
  <si>
    <t>2023-11-14</t>
  </si>
  <si>
    <t>LN10285</t>
  </si>
  <si>
    <t>2022-10-30</t>
  </si>
  <si>
    <t>LN10286</t>
  </si>
  <si>
    <t>Chetna Menon</t>
  </si>
  <si>
    <t>2022-10-23</t>
  </si>
  <si>
    <t>2022-11-17</t>
  </si>
  <si>
    <t>LN10287</t>
  </si>
  <si>
    <t>Kavitha Jain</t>
  </si>
  <si>
    <t>LN10288</t>
  </si>
  <si>
    <t>Sunita Reddy</t>
  </si>
  <si>
    <t>2021-03-08</t>
  </si>
  <si>
    <t>2021-03-22</t>
  </si>
  <si>
    <t>LN10289</t>
  </si>
  <si>
    <t>Ramesh Iyer</t>
  </si>
  <si>
    <t>LN10290</t>
  </si>
  <si>
    <t>Sunita Sharma</t>
  </si>
  <si>
    <t>2022-08-26</t>
  </si>
  <si>
    <t>2022-09-12</t>
  </si>
  <si>
    <t>LN10291</t>
  </si>
  <si>
    <t>Divya Kumar</t>
  </si>
  <si>
    <t>2022-06-07</t>
  </si>
  <si>
    <t>2022-06-10</t>
  </si>
  <si>
    <t>LN10292</t>
  </si>
  <si>
    <t>Lakshmi Yadav</t>
  </si>
  <si>
    <t>2022-11-01</t>
  </si>
  <si>
    <t>LN10293</t>
  </si>
  <si>
    <t>Anil Shah</t>
  </si>
  <si>
    <t>2022-11-24</t>
  </si>
  <si>
    <t>LN10294</t>
  </si>
  <si>
    <t>Sanjay Menon</t>
  </si>
  <si>
    <t>LN10295</t>
  </si>
  <si>
    <t>Vinod Nayak</t>
  </si>
  <si>
    <t>2022-09-23</t>
  </si>
  <si>
    <t>LN10296</t>
  </si>
  <si>
    <t>Mohan Deshpande</t>
  </si>
  <si>
    <t>2023-06-11</t>
  </si>
  <si>
    <t>2023-07-04</t>
  </si>
  <si>
    <t>LN10297</t>
  </si>
  <si>
    <t>Vikram Mehta</t>
  </si>
  <si>
    <t>2022-04-23</t>
  </si>
  <si>
    <t>LN10298</t>
  </si>
  <si>
    <t>Manoj Nayak</t>
  </si>
  <si>
    <t>2021-04-29</t>
  </si>
  <si>
    <t>LN10299</t>
  </si>
  <si>
    <t>2023-08-29</t>
  </si>
  <si>
    <t>LN10300</t>
  </si>
  <si>
    <t>Dinesh Chaudhary</t>
  </si>
  <si>
    <t>2021-10-23</t>
  </si>
  <si>
    <t>LN10301</t>
  </si>
  <si>
    <t>2023-11-16</t>
  </si>
  <si>
    <t>2023-11-23</t>
  </si>
  <si>
    <t>LN10302</t>
  </si>
  <si>
    <t>2021-05-18</t>
  </si>
  <si>
    <t>2021-05-29</t>
  </si>
  <si>
    <t>LN10303</t>
  </si>
  <si>
    <t>Suresh Pillai</t>
  </si>
  <si>
    <t>2022-10-31</t>
  </si>
  <si>
    <t>LN10304</t>
  </si>
  <si>
    <t>LN10305</t>
  </si>
  <si>
    <t>2021-08-11</t>
  </si>
  <si>
    <t>LN10306</t>
  </si>
  <si>
    <t>Komal Nair</t>
  </si>
  <si>
    <t>2023-05-07</t>
  </si>
  <si>
    <t>LN10307</t>
  </si>
  <si>
    <t>Rani Menon</t>
  </si>
  <si>
    <t>2022-08-19</t>
  </si>
  <si>
    <t>LN10308</t>
  </si>
  <si>
    <t>Smita Nair</t>
  </si>
  <si>
    <t>2021-10-27</t>
  </si>
  <si>
    <t>LN10309</t>
  </si>
  <si>
    <t>Rohit Saxena</t>
  </si>
  <si>
    <t>2023-11-27</t>
  </si>
  <si>
    <t>2023-12-25</t>
  </si>
  <si>
    <t>LN10310</t>
  </si>
  <si>
    <t>Geeta Nayak</t>
  </si>
  <si>
    <t>2022-01-07</t>
  </si>
  <si>
    <t>LN10311</t>
  </si>
  <si>
    <t>Komal Nayak</t>
  </si>
  <si>
    <t>2023-09-15</t>
  </si>
  <si>
    <t>LN10312</t>
  </si>
  <si>
    <t>Rajesh Joshi</t>
  </si>
  <si>
    <t>2021-09-24</t>
  </si>
  <si>
    <t>LN10313</t>
  </si>
  <si>
    <t>Anil Malhotra</t>
  </si>
  <si>
    <t>LN10314</t>
  </si>
  <si>
    <t>Tarun Singh</t>
  </si>
  <si>
    <t>LN10315</t>
  </si>
  <si>
    <t>2023-08-09</t>
  </si>
  <si>
    <t>LN10316</t>
  </si>
  <si>
    <t>Rani Kumar</t>
  </si>
  <si>
    <t>2021-04-18</t>
  </si>
  <si>
    <t>LN10317</t>
  </si>
  <si>
    <t>Dinesh Rao</t>
  </si>
  <si>
    <t>LN10318</t>
  </si>
  <si>
    <t>Anil Saxena</t>
  </si>
  <si>
    <t>2023-04-28</t>
  </si>
  <si>
    <t>LN10319</t>
  </si>
  <si>
    <t>Mohan Sharma</t>
  </si>
  <si>
    <t>2023-05-23</t>
  </si>
  <si>
    <t>LN10320</t>
  </si>
  <si>
    <t>Rani Das</t>
  </si>
  <si>
    <t>2022-01-02</t>
  </si>
  <si>
    <t>2022-01-16</t>
  </si>
  <si>
    <t>LN10321</t>
  </si>
  <si>
    <t>Sarala Saxena</t>
  </si>
  <si>
    <t>2023-11-08</t>
  </si>
  <si>
    <t>LN10322</t>
  </si>
  <si>
    <t>Lakshmi Reddy</t>
  </si>
  <si>
    <t>LN10323</t>
  </si>
  <si>
    <t>Naveen Singh</t>
  </si>
  <si>
    <t>2023-12-10</t>
  </si>
  <si>
    <t>LN10324</t>
  </si>
  <si>
    <t>Mohan Singh</t>
  </si>
  <si>
    <t>2022-08-16</t>
  </si>
  <si>
    <t>LN10325</t>
  </si>
  <si>
    <t>Usha Jain</t>
  </si>
  <si>
    <t>LN10326</t>
  </si>
  <si>
    <t>Pooja Chaudhary</t>
  </si>
  <si>
    <t>2022-09-08</t>
  </si>
  <si>
    <t>LN10327</t>
  </si>
  <si>
    <t>2021-03-16</t>
  </si>
  <si>
    <t>LN10328</t>
  </si>
  <si>
    <t>LN10329</t>
  </si>
  <si>
    <t>Ravi Verma</t>
  </si>
  <si>
    <t>2022-07-06</t>
  </si>
  <si>
    <t>LN10330</t>
  </si>
  <si>
    <t>Chetna Pillai</t>
  </si>
  <si>
    <t>2021-11-16</t>
  </si>
  <si>
    <t>2021-12-13</t>
  </si>
  <si>
    <t>LN10331</t>
  </si>
  <si>
    <t>Suresh Rao</t>
  </si>
  <si>
    <t>2022-08-04</t>
  </si>
  <si>
    <t>LN10332</t>
  </si>
  <si>
    <t>Divya Mishra</t>
  </si>
  <si>
    <t>LN10333</t>
  </si>
  <si>
    <t>Varsha Shah</t>
  </si>
  <si>
    <t>LN10334</t>
  </si>
  <si>
    <t>Bhavna Das</t>
  </si>
  <si>
    <t>2023-06-03</t>
  </si>
  <si>
    <t>LN10335</t>
  </si>
  <si>
    <t>Geeta Shetty</t>
  </si>
  <si>
    <t>LN10336</t>
  </si>
  <si>
    <t>2021-04-08</t>
  </si>
  <si>
    <t>2021-04-23</t>
  </si>
  <si>
    <t>LN10337</t>
  </si>
  <si>
    <t>2022-06-26</t>
  </si>
  <si>
    <t>LN10338</t>
  </si>
  <si>
    <t>Priya Malhotra</t>
  </si>
  <si>
    <t>2023-10-23</t>
  </si>
  <si>
    <t>LN10339</t>
  </si>
  <si>
    <t>Chetna Dubey</t>
  </si>
  <si>
    <t>2023-04-09</t>
  </si>
  <si>
    <t>LN10340</t>
  </si>
  <si>
    <t>Vikram Nair</t>
  </si>
  <si>
    <t>2023-12-03</t>
  </si>
  <si>
    <t>LN10341</t>
  </si>
  <si>
    <t>Manoj Gupta</t>
  </si>
  <si>
    <t>LN10342</t>
  </si>
  <si>
    <t>Sarala Reddy</t>
  </si>
  <si>
    <t>LN10343</t>
  </si>
  <si>
    <t>Tarun Joshi</t>
  </si>
  <si>
    <t>LN10344</t>
  </si>
  <si>
    <t>Abhishek Shah</t>
  </si>
  <si>
    <t>LN10345</t>
  </si>
  <si>
    <t>Nisha Shetty</t>
  </si>
  <si>
    <t>2023-11-01</t>
  </si>
  <si>
    <t>LN10346</t>
  </si>
  <si>
    <t>Ganesh Chatterjee</t>
  </si>
  <si>
    <t>2022-06-04</t>
  </si>
  <si>
    <t>LN10347</t>
  </si>
  <si>
    <t>Pallavi Nayak</t>
  </si>
  <si>
    <t>2021-05-21</t>
  </si>
  <si>
    <t>LN10348</t>
  </si>
  <si>
    <t>Arjun Banerjee</t>
  </si>
  <si>
    <t>2024-01-01</t>
  </si>
  <si>
    <t>2024-01-04</t>
  </si>
  <si>
    <t>LN10349</t>
  </si>
  <si>
    <t>Divya Iyer</t>
  </si>
  <si>
    <t>2022-12-02</t>
  </si>
  <si>
    <t>2022-12-18</t>
  </si>
  <si>
    <t>LN10350</t>
  </si>
  <si>
    <t>Nisha Kapoor</t>
  </si>
  <si>
    <t>LN10351</t>
  </si>
  <si>
    <t>2021-07-31</t>
  </si>
  <si>
    <t>LN10352</t>
  </si>
  <si>
    <t>Siddharth Menon</t>
  </si>
  <si>
    <t>LN10353</t>
  </si>
  <si>
    <t>Geeta Reddy</t>
  </si>
  <si>
    <t>2022-05-13</t>
  </si>
  <si>
    <t>2022-05-16</t>
  </si>
  <si>
    <t>LN10354</t>
  </si>
  <si>
    <t>Amit Saxena</t>
  </si>
  <si>
    <t>2021-05-03</t>
  </si>
  <si>
    <t>LN10355</t>
  </si>
  <si>
    <t>LN10356</t>
  </si>
  <si>
    <t>Arjun Das</t>
  </si>
  <si>
    <t>2022-10-25</t>
  </si>
  <si>
    <t>2022-11-20</t>
  </si>
  <si>
    <t>LN10357</t>
  </si>
  <si>
    <t>Smita Mishra</t>
  </si>
  <si>
    <t>LN10358</t>
  </si>
  <si>
    <t>Rohit Shah</t>
  </si>
  <si>
    <t>2023-11-12</t>
  </si>
  <si>
    <t>LN10359</t>
  </si>
  <si>
    <t>Sarala Mehta</t>
  </si>
  <si>
    <t>2021-08-26</t>
  </si>
  <si>
    <t>LN10360</t>
  </si>
  <si>
    <t>Mohan Iyer</t>
  </si>
  <si>
    <t>2021-01-27</t>
  </si>
  <si>
    <t>LN10361</t>
  </si>
  <si>
    <t>2021-03-25</t>
  </si>
  <si>
    <t>LN10362</t>
  </si>
  <si>
    <t>Vikram Chatterjee</t>
  </si>
  <si>
    <t>2022-01-22</t>
  </si>
  <si>
    <t>LN10363</t>
  </si>
  <si>
    <t>Chetna Malhotra</t>
  </si>
  <si>
    <t>2023-11-13</t>
  </si>
  <si>
    <t>LN10364</t>
  </si>
  <si>
    <t>Siddharth Gupta</t>
  </si>
  <si>
    <t>LN10365</t>
  </si>
  <si>
    <t>Dinesh Menon</t>
  </si>
  <si>
    <t>2021-02-22</t>
  </si>
  <si>
    <t>LN10366</t>
  </si>
  <si>
    <t>Arjun Chatterjee</t>
  </si>
  <si>
    <t>2021-11-19</t>
  </si>
  <si>
    <t>LN10367</t>
  </si>
  <si>
    <t>Amit Yadav</t>
  </si>
  <si>
    <t>2023-04-20</t>
  </si>
  <si>
    <t>LN10368</t>
  </si>
  <si>
    <t>Rekha Kumar</t>
  </si>
  <si>
    <t>LN10369</t>
  </si>
  <si>
    <t>Lakshmi Jain</t>
  </si>
  <si>
    <t>2022-11-05</t>
  </si>
  <si>
    <t>LN10370</t>
  </si>
  <si>
    <t>2022-04-16</t>
  </si>
  <si>
    <t>LN10371</t>
  </si>
  <si>
    <t>Sanjay Kaur</t>
  </si>
  <si>
    <t>LN10372</t>
  </si>
  <si>
    <t>Abhishek Joshi</t>
  </si>
  <si>
    <t>2021-06-07</t>
  </si>
  <si>
    <t>LN10373</t>
  </si>
  <si>
    <t>2021-02-19</t>
  </si>
  <si>
    <t>LN10374</t>
  </si>
  <si>
    <t>LN10375</t>
  </si>
  <si>
    <t>Rohit Nair</t>
  </si>
  <si>
    <t>LN10376</t>
  </si>
  <si>
    <t>Lakshmi Menon</t>
  </si>
  <si>
    <t>2023-12-15</t>
  </si>
  <si>
    <t>2023-12-19</t>
  </si>
  <si>
    <t>LN10377</t>
  </si>
  <si>
    <t>Ravi Gupta</t>
  </si>
  <si>
    <t>2023-01-08</t>
  </si>
  <si>
    <t>LN10378</t>
  </si>
  <si>
    <t>Suresh Patel</t>
  </si>
  <si>
    <t>2022-01-17</t>
  </si>
  <si>
    <t>LN10379</t>
  </si>
  <si>
    <t>2023-01-05</t>
  </si>
  <si>
    <t>LN10380</t>
  </si>
  <si>
    <t>Tarun Chatterjee</t>
  </si>
  <si>
    <t>LN10381</t>
  </si>
  <si>
    <t>Siddharth Joshi</t>
  </si>
  <si>
    <t>2021-09-27</t>
  </si>
  <si>
    <t>LN10382</t>
  </si>
  <si>
    <t>Komal Joshi</t>
  </si>
  <si>
    <t>LN10383</t>
  </si>
  <si>
    <t>Vikram Rao</t>
  </si>
  <si>
    <t>LN10384</t>
  </si>
  <si>
    <t>2023-09-11</t>
  </si>
  <si>
    <t>LN10385</t>
  </si>
  <si>
    <t>Sunil Saxena</t>
  </si>
  <si>
    <t>2022-07-23</t>
  </si>
  <si>
    <t>LN10386</t>
  </si>
  <si>
    <t>Anil Pillai</t>
  </si>
  <si>
    <t>2023-02-19</t>
  </si>
  <si>
    <t>2023-03-17</t>
  </si>
  <si>
    <t>LN10387</t>
  </si>
  <si>
    <t>Vinod Kaur</t>
  </si>
  <si>
    <t>LN10388</t>
  </si>
  <si>
    <t>Madhuri Kaur</t>
  </si>
  <si>
    <t>2023-05-28</t>
  </si>
  <si>
    <t>LN10389</t>
  </si>
  <si>
    <t>Bhavna Reddy</t>
  </si>
  <si>
    <t>LN10390</t>
  </si>
  <si>
    <t>2021-09-11</t>
  </si>
  <si>
    <t>LN10391</t>
  </si>
  <si>
    <t>Kavitha Dubey</t>
  </si>
  <si>
    <t>2021-12-16</t>
  </si>
  <si>
    <t>2021-12-29</t>
  </si>
  <si>
    <t>LN10392</t>
  </si>
  <si>
    <t>2022-02-20</t>
  </si>
  <si>
    <t>2022-02-23</t>
  </si>
  <si>
    <t>LN10393</t>
  </si>
  <si>
    <t>2023-08-04</t>
  </si>
  <si>
    <t>LN10394</t>
  </si>
  <si>
    <t>Ramesh Nair</t>
  </si>
  <si>
    <t>LN10395</t>
  </si>
  <si>
    <t>2022-08-28</t>
  </si>
  <si>
    <t>LN10396</t>
  </si>
  <si>
    <t>2021-05-13</t>
  </si>
  <si>
    <t>2021-05-25</t>
  </si>
  <si>
    <t>LN10397</t>
  </si>
  <si>
    <t>Ganesh Joshi</t>
  </si>
  <si>
    <t>LN10398</t>
  </si>
  <si>
    <t>Ganesh Banerjee</t>
  </si>
  <si>
    <t>2023-11-04</t>
  </si>
  <si>
    <t>LN10399</t>
  </si>
  <si>
    <t>Divya Chaudhary</t>
  </si>
  <si>
    <t>2022-11-29</t>
  </si>
  <si>
    <t>LN10400</t>
  </si>
  <si>
    <t>2021-01-19</t>
  </si>
  <si>
    <t>LN10401</t>
  </si>
  <si>
    <t>Varsha Kulkarni</t>
  </si>
  <si>
    <t>2021-04-06</t>
  </si>
  <si>
    <t>LN10402</t>
  </si>
  <si>
    <t>Arjun Saxena</t>
  </si>
  <si>
    <t>2021-02-17</t>
  </si>
  <si>
    <t>LN10403</t>
  </si>
  <si>
    <t>Ajay Kulkarni</t>
  </si>
  <si>
    <t>2022-01-19</t>
  </si>
  <si>
    <t>LN10404</t>
  </si>
  <si>
    <t>Kavitha Chatterjee</t>
  </si>
  <si>
    <t>2022-09-20</t>
  </si>
  <si>
    <t>LN10405</t>
  </si>
  <si>
    <t>Kavitha Shetty</t>
  </si>
  <si>
    <t>2023-09-18</t>
  </si>
  <si>
    <t>2023-10-14</t>
  </si>
  <si>
    <t>LN10406</t>
  </si>
  <si>
    <t>Madhuri Chatterjee</t>
  </si>
  <si>
    <t>2023-12-12</t>
  </si>
  <si>
    <t>LN10407</t>
  </si>
  <si>
    <t>Rajesh Chatterjee</t>
  </si>
  <si>
    <t>2022-10-02</t>
  </si>
  <si>
    <t>LN10408</t>
  </si>
  <si>
    <t>Rekha Deshpande</t>
  </si>
  <si>
    <t>LN10409</t>
  </si>
  <si>
    <t>Bhavna Iyer</t>
  </si>
  <si>
    <t>2022-12-15</t>
  </si>
  <si>
    <t>LN10410</t>
  </si>
  <si>
    <t>Ramesh Reddy</t>
  </si>
  <si>
    <t>2023-07-03</t>
  </si>
  <si>
    <t>2023-07-25</t>
  </si>
  <si>
    <t>LN10411</t>
  </si>
  <si>
    <t>2021-08-05</t>
  </si>
  <si>
    <t>LN10412</t>
  </si>
  <si>
    <t>Nisha Yadav</t>
  </si>
  <si>
    <t>2021-03-03</t>
  </si>
  <si>
    <t>LN10413</t>
  </si>
  <si>
    <t>Ganesh Rao</t>
  </si>
  <si>
    <t>2021-08-21</t>
  </si>
  <si>
    <t>LN10414</t>
  </si>
  <si>
    <t>Sarala Kumar</t>
  </si>
  <si>
    <t>2022-12-08</t>
  </si>
  <si>
    <t>LN10415</t>
  </si>
  <si>
    <t>LN10416</t>
  </si>
  <si>
    <t>Sarala Iyer</t>
  </si>
  <si>
    <t>LN10417</t>
  </si>
  <si>
    <t>Tarun Sharma</t>
  </si>
  <si>
    <t>LN10418</t>
  </si>
  <si>
    <t>Pallavi Jain</t>
  </si>
  <si>
    <t>LN10419</t>
  </si>
  <si>
    <t>LN10420</t>
  </si>
  <si>
    <t>Divya Saxena</t>
  </si>
  <si>
    <t>2021-02-09</t>
  </si>
  <si>
    <t>LN10421</t>
  </si>
  <si>
    <t>Rohit Kapoor</t>
  </si>
  <si>
    <t>2023-08-08</t>
  </si>
  <si>
    <t>LN10422</t>
  </si>
  <si>
    <t>Anita Dubey</t>
  </si>
  <si>
    <t>2023-01-26</t>
  </si>
  <si>
    <t>LN10423</t>
  </si>
  <si>
    <t>2021-07-01</t>
  </si>
  <si>
    <t>LN10424</t>
  </si>
  <si>
    <t>2023-09-09</t>
  </si>
  <si>
    <t>LN10425</t>
  </si>
  <si>
    <t>Rohit Kulkarni</t>
  </si>
  <si>
    <t>LN10426</t>
  </si>
  <si>
    <t>Sunita Banerjee</t>
  </si>
  <si>
    <t>2022-08-17</t>
  </si>
  <si>
    <t>LN10427</t>
  </si>
  <si>
    <t>Ravi Sharma</t>
  </si>
  <si>
    <t>2024-01-16</t>
  </si>
  <si>
    <t>LN10428</t>
  </si>
  <si>
    <t>Amit Kulkarni</t>
  </si>
  <si>
    <t>2021-12-18</t>
  </si>
  <si>
    <t>LN10429</t>
  </si>
  <si>
    <t>Ajay Jain</t>
  </si>
  <si>
    <t>2023-12-27</t>
  </si>
  <si>
    <t>2024-01-06</t>
  </si>
  <si>
    <t>LN10430</t>
  </si>
  <si>
    <t>LN10431</t>
  </si>
  <si>
    <t>Tarun Jain</t>
  </si>
  <si>
    <t>2022-02-04</t>
  </si>
  <si>
    <t>LN10432</t>
  </si>
  <si>
    <t>Lakshmi Shah</t>
  </si>
  <si>
    <t>2023-07-17</t>
  </si>
  <si>
    <t>LN10433</t>
  </si>
  <si>
    <t>Anil Banerjee</t>
  </si>
  <si>
    <t>2023-03-05</t>
  </si>
  <si>
    <t>LN10434</t>
  </si>
  <si>
    <t>Komal Shah</t>
  </si>
  <si>
    <t>LN10435</t>
  </si>
  <si>
    <t>Kiran Kumar</t>
  </si>
  <si>
    <t>2022-02-15</t>
  </si>
  <si>
    <t>LN10436</t>
  </si>
  <si>
    <t>Usha Shah</t>
  </si>
  <si>
    <t>LN10437</t>
  </si>
  <si>
    <t>Ajay Das</t>
  </si>
  <si>
    <t>LN10438</t>
  </si>
  <si>
    <t>Pallavi Kapoor</t>
  </si>
  <si>
    <t>LN10439</t>
  </si>
  <si>
    <t>LN10440</t>
  </si>
  <si>
    <t>Amit Nayak</t>
  </si>
  <si>
    <t>LN10441</t>
  </si>
  <si>
    <t>Mohan Patel</t>
  </si>
  <si>
    <t>LN10442</t>
  </si>
  <si>
    <t>Lakshmi Singh</t>
  </si>
  <si>
    <t>LN10443</t>
  </si>
  <si>
    <t>Komal Patel</t>
  </si>
  <si>
    <t>2021-06-09</t>
  </si>
  <si>
    <t>LN10444</t>
  </si>
  <si>
    <t>LN10445</t>
  </si>
  <si>
    <t>Rekha Singh</t>
  </si>
  <si>
    <t>2022-05-14</t>
  </si>
  <si>
    <t>LN10446</t>
  </si>
  <si>
    <t>Amit Joshi</t>
  </si>
  <si>
    <t>2022-08-21</t>
  </si>
  <si>
    <t>LN10447</t>
  </si>
  <si>
    <t>2022-01-29</t>
  </si>
  <si>
    <t>LN10448</t>
  </si>
  <si>
    <t>Jyoti Nair</t>
  </si>
  <si>
    <t>LN10449</t>
  </si>
  <si>
    <t>Smita Menon</t>
  </si>
  <si>
    <t>2021-05-14</t>
  </si>
  <si>
    <t>LN10450</t>
  </si>
  <si>
    <t>Geeta Banerjee</t>
  </si>
  <si>
    <t>2023-11-21</t>
  </si>
  <si>
    <t>LN10451</t>
  </si>
  <si>
    <t>LN10452</t>
  </si>
  <si>
    <t>Manoj Pillai</t>
  </si>
  <si>
    <t>LN10453</t>
  </si>
  <si>
    <t>Arjun Yadav</t>
  </si>
  <si>
    <t>2023-05-15</t>
  </si>
  <si>
    <t>LN10454</t>
  </si>
  <si>
    <t>Lakshmi Chaudhary</t>
  </si>
  <si>
    <t>2023-08-28</t>
  </si>
  <si>
    <t>LN10455</t>
  </si>
  <si>
    <t>LN10456</t>
  </si>
  <si>
    <t>Rohit Singh</t>
  </si>
  <si>
    <t>2023-04-13</t>
  </si>
  <si>
    <t>LN10457</t>
  </si>
  <si>
    <t>Arjun Jain</t>
  </si>
  <si>
    <t>LN10458</t>
  </si>
  <si>
    <t>Smita Joshi</t>
  </si>
  <si>
    <t>LN10459</t>
  </si>
  <si>
    <t>Pooja Menon</t>
  </si>
  <si>
    <t>LN10460</t>
  </si>
  <si>
    <t>Geeta Shah</t>
  </si>
  <si>
    <t>LN10461</t>
  </si>
  <si>
    <t>2023-10-12</t>
  </si>
  <si>
    <t>LN10462</t>
  </si>
  <si>
    <t>Madhuri Rao</t>
  </si>
  <si>
    <t>2023-03-20</t>
  </si>
  <si>
    <t>LN10463</t>
  </si>
  <si>
    <t>Sanjay Kumar</t>
  </si>
  <si>
    <t>LN10464</t>
  </si>
  <si>
    <t>2022-11-18</t>
  </si>
  <si>
    <t>LN10465</t>
  </si>
  <si>
    <t>Rani Dubey</t>
  </si>
  <si>
    <t>LN10466</t>
  </si>
  <si>
    <t>Ashok Banerjee</t>
  </si>
  <si>
    <t>LN10467</t>
  </si>
  <si>
    <t>Arjun Dubey</t>
  </si>
  <si>
    <t>2021-12-19</t>
  </si>
  <si>
    <t>LN10468</t>
  </si>
  <si>
    <t>Nisha Rao</t>
  </si>
  <si>
    <t>LN10469</t>
  </si>
  <si>
    <t>Sanjay Mehta</t>
  </si>
  <si>
    <t>2023-04-25</t>
  </si>
  <si>
    <t>LN10470</t>
  </si>
  <si>
    <t>Anil Dubey</t>
  </si>
  <si>
    <t>2023-07-02</t>
  </si>
  <si>
    <t>2023-07-26</t>
  </si>
  <si>
    <t>LN10471</t>
  </si>
  <si>
    <t>Siddharth Nair</t>
  </si>
  <si>
    <t>LN10472</t>
  </si>
  <si>
    <t>Geeta Sharma</t>
  </si>
  <si>
    <t>LN10473</t>
  </si>
  <si>
    <t>Rohit Tiwari</t>
  </si>
  <si>
    <t>LN10474</t>
  </si>
  <si>
    <t>Rajesh Malhotra</t>
  </si>
  <si>
    <t>2023-10-06</t>
  </si>
  <si>
    <t>LN10475</t>
  </si>
  <si>
    <t>Nisha Chatterjee</t>
  </si>
  <si>
    <t>LN10476</t>
  </si>
  <si>
    <t>Komal Banerjee</t>
  </si>
  <si>
    <t>LN10477</t>
  </si>
  <si>
    <t>Anita Das</t>
  </si>
  <si>
    <t>2022-11-03</t>
  </si>
  <si>
    <t>LN10478</t>
  </si>
  <si>
    <t>2021-06-26</t>
  </si>
  <si>
    <t>LN10479</t>
  </si>
  <si>
    <t>Mohan Shah</t>
  </si>
  <si>
    <t>2023-01-20</t>
  </si>
  <si>
    <t>LN10480</t>
  </si>
  <si>
    <t>Meena Sharma</t>
  </si>
  <si>
    <t>2022-01-21</t>
  </si>
  <si>
    <t>2022-02-18</t>
  </si>
  <si>
    <t>LN10481</t>
  </si>
  <si>
    <t>Sarala Rao</t>
  </si>
  <si>
    <t>2023-12-08</t>
  </si>
  <si>
    <t>LN10482</t>
  </si>
  <si>
    <t>2021-06-10</t>
  </si>
  <si>
    <t>LN10483</t>
  </si>
  <si>
    <t>Abhishek Rao</t>
  </si>
  <si>
    <t>2021-09-12</t>
  </si>
  <si>
    <t>LN10484</t>
  </si>
  <si>
    <t>2021-11-25</t>
  </si>
  <si>
    <t>LN10485</t>
  </si>
  <si>
    <t>Chetna Mishra</t>
  </si>
  <si>
    <t>LN10486</t>
  </si>
  <si>
    <t>2022-01-15</t>
  </si>
  <si>
    <t>LN10487</t>
  </si>
  <si>
    <t>Varsha Iyer</t>
  </si>
  <si>
    <t>LN10488</t>
  </si>
  <si>
    <t>Jyoti Shetty</t>
  </si>
  <si>
    <t>LN10489</t>
  </si>
  <si>
    <t>Ramesh Chaudhary</t>
  </si>
  <si>
    <t>LN10490</t>
  </si>
  <si>
    <t>2023-04-14</t>
  </si>
  <si>
    <t>LN10491</t>
  </si>
  <si>
    <t>LN10492</t>
  </si>
  <si>
    <t>Meena Yadav</t>
  </si>
  <si>
    <t>2021-03-04</t>
  </si>
  <si>
    <t>LN10493</t>
  </si>
  <si>
    <t>2023-10-21</t>
  </si>
  <si>
    <t>LN10494</t>
  </si>
  <si>
    <t>Ravi Kulkarni</t>
  </si>
  <si>
    <t>LN10495</t>
  </si>
  <si>
    <t>Amit Shah</t>
  </si>
  <si>
    <t>2023-10-26</t>
  </si>
  <si>
    <t>LN10496</t>
  </si>
  <si>
    <t>LN10497</t>
  </si>
  <si>
    <t>LN10498</t>
  </si>
  <si>
    <t>2021-12-14</t>
  </si>
  <si>
    <t>2021-12-17</t>
  </si>
  <si>
    <t>LN10499</t>
  </si>
  <si>
    <t>Dinesh Deshpande</t>
  </si>
  <si>
    <t>2023-02-13</t>
  </si>
  <si>
    <t>2023-03-06</t>
  </si>
  <si>
    <t>LN10500</t>
  </si>
  <si>
    <t>LN10501</t>
  </si>
  <si>
    <t>2023-05-02</t>
  </si>
  <si>
    <t>LN10502</t>
  </si>
  <si>
    <t>Anil Nair</t>
  </si>
  <si>
    <t>2022-09-30</t>
  </si>
  <si>
    <t>LN10503</t>
  </si>
  <si>
    <t>Nisha Tiwari</t>
  </si>
  <si>
    <t>LN10504</t>
  </si>
  <si>
    <t>Divya Kapoor</t>
  </si>
  <si>
    <t>2023-08-13</t>
  </si>
  <si>
    <t>LN10505</t>
  </si>
  <si>
    <t>Shweta Mehta</t>
  </si>
  <si>
    <t>2021-12-06</t>
  </si>
  <si>
    <t>LN10506</t>
  </si>
  <si>
    <t>Varsha Verma</t>
  </si>
  <si>
    <t>2021-03-26</t>
  </si>
  <si>
    <t>LN10507</t>
  </si>
  <si>
    <t>Kiran Mishra</t>
  </si>
  <si>
    <t>LN10508</t>
  </si>
  <si>
    <t>Naveen Chatterjee</t>
  </si>
  <si>
    <t>LN10509</t>
  </si>
  <si>
    <t>Siddharth Das</t>
  </si>
  <si>
    <t>LN10510</t>
  </si>
  <si>
    <t>Rekha Mehta</t>
  </si>
  <si>
    <t>LN10511</t>
  </si>
  <si>
    <t>Anita Saxena</t>
  </si>
  <si>
    <t>2022-05-17</t>
  </si>
  <si>
    <t>LN10512</t>
  </si>
  <si>
    <t>Sarala Nayak</t>
  </si>
  <si>
    <t>LN10513</t>
  </si>
  <si>
    <t>Shweta Chatterjee</t>
  </si>
  <si>
    <t>2023-05-25</t>
  </si>
  <si>
    <t>LN10514</t>
  </si>
  <si>
    <t>Lakshmi Tiwari</t>
  </si>
  <si>
    <t>LN10515</t>
  </si>
  <si>
    <t>2021-11-30</t>
  </si>
  <si>
    <t>LN10516</t>
  </si>
  <si>
    <t>Madhuri Joshi</t>
  </si>
  <si>
    <t>2022-02-11</t>
  </si>
  <si>
    <t>2022-02-16</t>
  </si>
  <si>
    <t>LN10517</t>
  </si>
  <si>
    <t>Manoj Shetty</t>
  </si>
  <si>
    <t>2022-02-22</t>
  </si>
  <si>
    <t>LN10518</t>
  </si>
  <si>
    <t>Abhishek Gupta</t>
  </si>
  <si>
    <t>LN10519</t>
  </si>
  <si>
    <t>2022-03-22</t>
  </si>
  <si>
    <t>LN10520</t>
  </si>
  <si>
    <t>Rekha Banerjee</t>
  </si>
  <si>
    <t>2022-05-24</t>
  </si>
  <si>
    <t>LN10521</t>
  </si>
  <si>
    <t>Rani Yadav</t>
  </si>
  <si>
    <t>2022-06-09</t>
  </si>
  <si>
    <t>2022-06-14</t>
  </si>
  <si>
    <t>LN10522</t>
  </si>
  <si>
    <t>Suresh Reddy</t>
  </si>
  <si>
    <t>LN10523</t>
  </si>
  <si>
    <t>Siddharth Shetty</t>
  </si>
  <si>
    <t>2024-01-08</t>
  </si>
  <si>
    <t>LN10524</t>
  </si>
  <si>
    <t>Meena Das</t>
  </si>
  <si>
    <t>2022-06-25</t>
  </si>
  <si>
    <t>LN10525</t>
  </si>
  <si>
    <t>LN10526</t>
  </si>
  <si>
    <t>Ganesh Das</t>
  </si>
  <si>
    <t>2021-11-06</t>
  </si>
  <si>
    <t>LN10527</t>
  </si>
  <si>
    <t>Ashok Nair</t>
  </si>
  <si>
    <t>LN10528</t>
  </si>
  <si>
    <t>2021-11-11</t>
  </si>
  <si>
    <t>2021-11-14</t>
  </si>
  <si>
    <t>LN10529</t>
  </si>
  <si>
    <t>Deepa Yadav</t>
  </si>
  <si>
    <t>2021-09-22</t>
  </si>
  <si>
    <t>2021-10-01</t>
  </si>
  <si>
    <t>LN10530</t>
  </si>
  <si>
    <t>LN10531</t>
  </si>
  <si>
    <t>Priya Menon</t>
  </si>
  <si>
    <t>LN10532</t>
  </si>
  <si>
    <t>Naveen Joshi</t>
  </si>
  <si>
    <t>2023-05-22</t>
  </si>
  <si>
    <t>LN10533</t>
  </si>
  <si>
    <t>2023-12-16</t>
  </si>
  <si>
    <t>LN10534</t>
  </si>
  <si>
    <t>Sanjay Yadav</t>
  </si>
  <si>
    <t>2021-04-28</t>
  </si>
  <si>
    <t>LN10535</t>
  </si>
  <si>
    <t>Vikram Singh</t>
  </si>
  <si>
    <t>LN10536</t>
  </si>
  <si>
    <t>Kavitha Yadav</t>
  </si>
  <si>
    <t>LN10537</t>
  </si>
  <si>
    <t>Divya Menon</t>
  </si>
  <si>
    <t>2021-08-30</t>
  </si>
  <si>
    <t>LN10538</t>
  </si>
  <si>
    <t>Kiran Saxena</t>
  </si>
  <si>
    <t>2021-02-07</t>
  </si>
  <si>
    <t>LN10539</t>
  </si>
  <si>
    <t>Kavitha Patel</t>
  </si>
  <si>
    <t>2021-11-18</t>
  </si>
  <si>
    <t>LN10540</t>
  </si>
  <si>
    <t>Anita Patel</t>
  </si>
  <si>
    <t>2022-09-17</t>
  </si>
  <si>
    <t>LN10541</t>
  </si>
  <si>
    <t>Usha Reddy</t>
  </si>
  <si>
    <t>2023-10-11</t>
  </si>
  <si>
    <t>LN10542</t>
  </si>
  <si>
    <t>Jyoti Kapoor</t>
  </si>
  <si>
    <t>2022-12-29</t>
  </si>
  <si>
    <t>LN10543</t>
  </si>
  <si>
    <t>LN10544</t>
  </si>
  <si>
    <t>Pallavi Yadav</t>
  </si>
  <si>
    <t>LN10545</t>
  </si>
  <si>
    <t>2021-04-10</t>
  </si>
  <si>
    <t>LN10546</t>
  </si>
  <si>
    <t>LN10547</t>
  </si>
  <si>
    <t>2021-07-28</t>
  </si>
  <si>
    <t>LN10548</t>
  </si>
  <si>
    <t>Sarala Singh</t>
  </si>
  <si>
    <t>2021-07-30</t>
  </si>
  <si>
    <t>LN10549</t>
  </si>
  <si>
    <t>LN10550</t>
  </si>
  <si>
    <t>Pooja Shetty</t>
  </si>
  <si>
    <t>LN10551</t>
  </si>
  <si>
    <t>Madhuri Shetty</t>
  </si>
  <si>
    <t>LN10552</t>
  </si>
  <si>
    <t>Sunita Kaur</t>
  </si>
  <si>
    <t>2022-10-19</t>
  </si>
  <si>
    <t>LN10553</t>
  </si>
  <si>
    <t>Rajesh Mishra</t>
  </si>
  <si>
    <t>LN10554</t>
  </si>
  <si>
    <t>LN10555</t>
  </si>
  <si>
    <t>Nisha Kulkarni</t>
  </si>
  <si>
    <t>2021-06-01</t>
  </si>
  <si>
    <t>LN10556</t>
  </si>
  <si>
    <t>LN10557</t>
  </si>
  <si>
    <t>Shweta Chaudhary</t>
  </si>
  <si>
    <t>2023-01-27</t>
  </si>
  <si>
    <t>LN10558</t>
  </si>
  <si>
    <t>Suresh Mehta</t>
  </si>
  <si>
    <t>LN10559</t>
  </si>
  <si>
    <t>Rani Kaur</t>
  </si>
  <si>
    <t>2023-10-15</t>
  </si>
  <si>
    <t>LN10560</t>
  </si>
  <si>
    <t>2023-04-23</t>
  </si>
  <si>
    <t>LN10561</t>
  </si>
  <si>
    <t>2021-10-20</t>
  </si>
  <si>
    <t>LN10562</t>
  </si>
  <si>
    <t>Rani Malhotra</t>
  </si>
  <si>
    <t>2021-04-02</t>
  </si>
  <si>
    <t>LN10563</t>
  </si>
  <si>
    <t>2023-07-16</t>
  </si>
  <si>
    <t>LN10564</t>
  </si>
  <si>
    <t>Rohit Deshpande</t>
  </si>
  <si>
    <t>LN10565</t>
  </si>
  <si>
    <t>Pooja Nair</t>
  </si>
  <si>
    <t>2021-04-19</t>
  </si>
  <si>
    <t>LN10566</t>
  </si>
  <si>
    <t>Madhuri Pillai</t>
  </si>
  <si>
    <t>2023-06-29</t>
  </si>
  <si>
    <t>LN10567</t>
  </si>
  <si>
    <t>2022-06-16</t>
  </si>
  <si>
    <t>LN10568</t>
  </si>
  <si>
    <t>Kavitha Iyer</t>
  </si>
  <si>
    <t>2021-05-23</t>
  </si>
  <si>
    <t>LN10569</t>
  </si>
  <si>
    <t>Vinod Shah</t>
  </si>
  <si>
    <t>2022-03-01</t>
  </si>
  <si>
    <t>LN10570</t>
  </si>
  <si>
    <t>Naveen Verma</t>
  </si>
  <si>
    <t>2021-06-02</t>
  </si>
  <si>
    <t>LN10571</t>
  </si>
  <si>
    <t>2023-05-01</t>
  </si>
  <si>
    <t>LN10572</t>
  </si>
  <si>
    <t>Deepa Menon</t>
  </si>
  <si>
    <t>LN10573</t>
  </si>
  <si>
    <t>Kiran Sharma</t>
  </si>
  <si>
    <t>LN10574</t>
  </si>
  <si>
    <t>Chetna Kumar</t>
  </si>
  <si>
    <t>2022-12-26</t>
  </si>
  <si>
    <t>LN10575</t>
  </si>
  <si>
    <t>Ravi Dubey</t>
  </si>
  <si>
    <t>LN10576</t>
  </si>
  <si>
    <t>2021-09-10</t>
  </si>
  <si>
    <t>LN10577</t>
  </si>
  <si>
    <t>Harish Jain</t>
  </si>
  <si>
    <t>2021-03-09</t>
  </si>
  <si>
    <t>LN10578</t>
  </si>
  <si>
    <t>Pooja Jain</t>
  </si>
  <si>
    <t>LN10579</t>
  </si>
  <si>
    <t>Pallavi Menon</t>
  </si>
  <si>
    <t>2022-02-25</t>
  </si>
  <si>
    <t>LN10580</t>
  </si>
  <si>
    <t>2023-12-28</t>
  </si>
  <si>
    <t>LN10581</t>
  </si>
  <si>
    <t>LN10582</t>
  </si>
  <si>
    <t>LN10583</t>
  </si>
  <si>
    <t>Deepa Patel</t>
  </si>
  <si>
    <t>2021-03-12</t>
  </si>
  <si>
    <t>LN10584</t>
  </si>
  <si>
    <t>Tarun Kulkarni</t>
  </si>
  <si>
    <t>2023-06-18</t>
  </si>
  <si>
    <t>2023-07-15</t>
  </si>
  <si>
    <t>LN10585</t>
  </si>
  <si>
    <t>Suresh Dubey</t>
  </si>
  <si>
    <t>2023-06-09</t>
  </si>
  <si>
    <t>LN10586</t>
  </si>
  <si>
    <t>2023-02-26</t>
  </si>
  <si>
    <t>LN10587</t>
  </si>
  <si>
    <t>LN10588</t>
  </si>
  <si>
    <t>2023-06-12</t>
  </si>
  <si>
    <t>LN10589</t>
  </si>
  <si>
    <t>Komal Jain</t>
  </si>
  <si>
    <t>LN10590</t>
  </si>
  <si>
    <t>Shweta Reddy</t>
  </si>
  <si>
    <t>LN10591</t>
  </si>
  <si>
    <t>LN10592</t>
  </si>
  <si>
    <t>Bhavna Menon</t>
  </si>
  <si>
    <t>2021-01-26</t>
  </si>
  <si>
    <t>LN10593</t>
  </si>
  <si>
    <t>LN10594</t>
  </si>
  <si>
    <t>Ravi Shah</t>
  </si>
  <si>
    <t>LN10595</t>
  </si>
  <si>
    <t>Rekha Chatterjee</t>
  </si>
  <si>
    <t>2022-02-17</t>
  </si>
  <si>
    <t>LN10596</t>
  </si>
  <si>
    <t>Harish Shetty</t>
  </si>
  <si>
    <t>LN10597</t>
  </si>
  <si>
    <t>Pooja Joshi</t>
  </si>
  <si>
    <t>2023-11-09</t>
  </si>
  <si>
    <t>LN10598</t>
  </si>
  <si>
    <t>Jyoti Yadav</t>
  </si>
  <si>
    <t>LN10599</t>
  </si>
  <si>
    <t>LN10600</t>
  </si>
  <si>
    <t>Deepa Banerjee</t>
  </si>
  <si>
    <t>LN10601</t>
  </si>
  <si>
    <t>Jyoti Deshpande</t>
  </si>
  <si>
    <t>2021-07-08</t>
  </si>
  <si>
    <t>LN10602</t>
  </si>
  <si>
    <t>LN10603</t>
  </si>
  <si>
    <t>Pallavi Joshi</t>
  </si>
  <si>
    <t>2021-02-12</t>
  </si>
  <si>
    <t>LN10604</t>
  </si>
  <si>
    <t>Komal Mehta</t>
  </si>
  <si>
    <t>LN10605</t>
  </si>
  <si>
    <t>2022-12-07</t>
  </si>
  <si>
    <t>LN10606</t>
  </si>
  <si>
    <t>Manoj Tiwari</t>
  </si>
  <si>
    <t>LN10607</t>
  </si>
  <si>
    <t>Rekha Kaur</t>
  </si>
  <si>
    <t>LN10608</t>
  </si>
  <si>
    <t>Abhishek Kapoor</t>
  </si>
  <si>
    <t>LN10609</t>
  </si>
  <si>
    <t>Rajesh Gupta</t>
  </si>
  <si>
    <t>LN10610</t>
  </si>
  <si>
    <t>2021-05-12</t>
  </si>
  <si>
    <t>LN10611</t>
  </si>
  <si>
    <t>Usha Verma</t>
  </si>
  <si>
    <t>LN10612</t>
  </si>
  <si>
    <t>Bhavna Shah</t>
  </si>
  <si>
    <t>2022-06-05</t>
  </si>
  <si>
    <t>LN10613</t>
  </si>
  <si>
    <t>LN10614</t>
  </si>
  <si>
    <t>Suresh Deshpande</t>
  </si>
  <si>
    <t>LN10615</t>
  </si>
  <si>
    <t>LN10616</t>
  </si>
  <si>
    <t>Ramesh Joshi</t>
  </si>
  <si>
    <t>LN10617</t>
  </si>
  <si>
    <t>Siddharth Sharma</t>
  </si>
  <si>
    <t>2023-12-30</t>
  </si>
  <si>
    <t>LN10618</t>
  </si>
  <si>
    <t>Siddharth Iyer</t>
  </si>
  <si>
    <t>2021-07-10</t>
  </si>
  <si>
    <t>LN10619</t>
  </si>
  <si>
    <t>Manoj Patel</t>
  </si>
  <si>
    <t>2021-09-07</t>
  </si>
  <si>
    <t>LN10620</t>
  </si>
  <si>
    <t>Vinod Deshpande</t>
  </si>
  <si>
    <t>2022-11-02</t>
  </si>
  <si>
    <t>LN10621</t>
  </si>
  <si>
    <t>Rajesh Kaur</t>
  </si>
  <si>
    <t>2022-04-09</t>
  </si>
  <si>
    <t>LN10622</t>
  </si>
  <si>
    <t>2022-10-14</t>
  </si>
  <si>
    <t>LN10623</t>
  </si>
  <si>
    <t>Siddharth Saxena</t>
  </si>
  <si>
    <t>LN10624</t>
  </si>
  <si>
    <t>Shweta Tiwari</t>
  </si>
  <si>
    <t>LN10625</t>
  </si>
  <si>
    <t>Naveen Dubey</t>
  </si>
  <si>
    <t>2022-12-13</t>
  </si>
  <si>
    <t>LN10626</t>
  </si>
  <si>
    <t>Rekha Reddy</t>
  </si>
  <si>
    <t>2021-01-18</t>
  </si>
  <si>
    <t>LN10627</t>
  </si>
  <si>
    <t>Jyoti Kumar</t>
  </si>
  <si>
    <t>LN10628</t>
  </si>
  <si>
    <t>Smita Chatterjee</t>
  </si>
  <si>
    <t>2022-08-10</t>
  </si>
  <si>
    <t>LN10629</t>
  </si>
  <si>
    <t>Ganesh Nair</t>
  </si>
  <si>
    <t>2021-07-17</t>
  </si>
  <si>
    <t>LN10630</t>
  </si>
  <si>
    <t>Nisha Mehta</t>
  </si>
  <si>
    <t>2022-11-14</t>
  </si>
  <si>
    <t>LN10631</t>
  </si>
  <si>
    <t>Pallavi Saxena</t>
  </si>
  <si>
    <t>LN10632</t>
  </si>
  <si>
    <t>Jyoti Chatterjee</t>
  </si>
  <si>
    <t>2023-06-24</t>
  </si>
  <si>
    <t>LN10633</t>
  </si>
  <si>
    <t>Rohit Jain</t>
  </si>
  <si>
    <t>LN10634</t>
  </si>
  <si>
    <t>Pallavi Patel</t>
  </si>
  <si>
    <t>LN10635</t>
  </si>
  <si>
    <t>Kavitha Nair</t>
  </si>
  <si>
    <t>LN10636</t>
  </si>
  <si>
    <t>Dinesh Nayak</t>
  </si>
  <si>
    <t>2022-09-26</t>
  </si>
  <si>
    <t>LN10637</t>
  </si>
  <si>
    <t>Kiran Kapoor</t>
  </si>
  <si>
    <t>LN10638</t>
  </si>
  <si>
    <t>Jyoti Shah</t>
  </si>
  <si>
    <t>LN10639</t>
  </si>
  <si>
    <t>Tarun Gupta</t>
  </si>
  <si>
    <t>LN10640</t>
  </si>
  <si>
    <t>Sunita Mishra</t>
  </si>
  <si>
    <t>LN10641</t>
  </si>
  <si>
    <t>LN10642</t>
  </si>
  <si>
    <t>Suresh Sharma</t>
  </si>
  <si>
    <t>LN10643</t>
  </si>
  <si>
    <t>2021-06-16</t>
  </si>
  <si>
    <t>LN10644</t>
  </si>
  <si>
    <t>LN10645</t>
  </si>
  <si>
    <t>2022-01-12</t>
  </si>
  <si>
    <t>LN10646</t>
  </si>
  <si>
    <t>LN10647</t>
  </si>
  <si>
    <t>Kavitha Joshi</t>
  </si>
  <si>
    <t>LN10648</t>
  </si>
  <si>
    <t>2023-03-11</t>
  </si>
  <si>
    <t>LN10649</t>
  </si>
  <si>
    <t>2022-04-06</t>
  </si>
  <si>
    <t>LN10650</t>
  </si>
  <si>
    <t>Usha Sharma</t>
  </si>
  <si>
    <t>2021-04-03</t>
  </si>
  <si>
    <t>LN10651</t>
  </si>
  <si>
    <t>Vinod Chatterjee</t>
  </si>
  <si>
    <t>LN10652</t>
  </si>
  <si>
    <t>LN10653</t>
  </si>
  <si>
    <t>Varsha Saxena</t>
  </si>
  <si>
    <t>LN10654</t>
  </si>
  <si>
    <t>Rani Reddy</t>
  </si>
  <si>
    <t>LN10655</t>
  </si>
  <si>
    <t>Rohit Iyer</t>
  </si>
  <si>
    <t>LN10656</t>
  </si>
  <si>
    <t>2023-03-07</t>
  </si>
  <si>
    <t>LN10657</t>
  </si>
  <si>
    <t>Abhishek Nair</t>
  </si>
  <si>
    <t>2023-11-20</t>
  </si>
  <si>
    <t>LN10658</t>
  </si>
  <si>
    <t>Priya Saxena</t>
  </si>
  <si>
    <t>2021-06-05</t>
  </si>
  <si>
    <t>LN10659</t>
  </si>
  <si>
    <t>Dinesh Shah</t>
  </si>
  <si>
    <t>LN10660</t>
  </si>
  <si>
    <t>Rekha Rao</t>
  </si>
  <si>
    <t>LN10661</t>
  </si>
  <si>
    <t>Sarala Das</t>
  </si>
  <si>
    <t>LN10662</t>
  </si>
  <si>
    <t>Sanjay Dubey</t>
  </si>
  <si>
    <t>LN10663</t>
  </si>
  <si>
    <t>Amit Pillai</t>
  </si>
  <si>
    <t>LN10664</t>
  </si>
  <si>
    <t>Ravi Das</t>
  </si>
  <si>
    <t>LN10665</t>
  </si>
  <si>
    <t>Abhishek Pillai</t>
  </si>
  <si>
    <t>LN10666</t>
  </si>
  <si>
    <t>Pooja Rao</t>
  </si>
  <si>
    <t>LN10667</t>
  </si>
  <si>
    <t>Rajesh Iyer</t>
  </si>
  <si>
    <t>LN10668</t>
  </si>
  <si>
    <t>Pooja Iyer</t>
  </si>
  <si>
    <t>LN10669</t>
  </si>
  <si>
    <t>LN10670</t>
  </si>
  <si>
    <t>Ashok Yadav</t>
  </si>
  <si>
    <t>LN10671</t>
  </si>
  <si>
    <t>Deepa Nair</t>
  </si>
  <si>
    <t>LN10672</t>
  </si>
  <si>
    <t>LN10673</t>
  </si>
  <si>
    <t>Dinesh Jain</t>
  </si>
  <si>
    <t>LN10674</t>
  </si>
  <si>
    <t>Ashok Reddy</t>
  </si>
  <si>
    <t>2023-09-29</t>
  </si>
  <si>
    <t>LN10675</t>
  </si>
  <si>
    <t>2021-02-04</t>
  </si>
  <si>
    <t>LN10676</t>
  </si>
  <si>
    <t>Smita Kulkarni</t>
  </si>
  <si>
    <t>LN10677</t>
  </si>
  <si>
    <t>Deepa Mehta</t>
  </si>
  <si>
    <t>2023-02-02</t>
  </si>
  <si>
    <t>LN10678</t>
  </si>
  <si>
    <t>2022-08-11</t>
  </si>
  <si>
    <t>LN10679</t>
  </si>
  <si>
    <t>Arjun Kaur</t>
  </si>
  <si>
    <t>LN10680</t>
  </si>
  <si>
    <t>Usha Nayak</t>
  </si>
  <si>
    <t>LN10681</t>
  </si>
  <si>
    <t>Naveen Sharma</t>
  </si>
  <si>
    <t>LN10682</t>
  </si>
  <si>
    <t>LN10683</t>
  </si>
  <si>
    <t>2022-10-15</t>
  </si>
  <si>
    <t>LN10684</t>
  </si>
  <si>
    <t>2023-01-14</t>
  </si>
  <si>
    <t>LN10685</t>
  </si>
  <si>
    <t>LN10686</t>
  </si>
  <si>
    <t>LN10687</t>
  </si>
  <si>
    <t>Rani Shetty</t>
  </si>
  <si>
    <t>LN10688</t>
  </si>
  <si>
    <t>LN10689</t>
  </si>
  <si>
    <t>2023-11-26</t>
  </si>
  <si>
    <t>LN10690</t>
  </si>
  <si>
    <t>LN10691</t>
  </si>
  <si>
    <t>Kiran Dubey</t>
  </si>
  <si>
    <t>2022-04-13</t>
  </si>
  <si>
    <t>LN10692</t>
  </si>
  <si>
    <t>Abhishek Sharma</t>
  </si>
  <si>
    <t>LN10693</t>
  </si>
  <si>
    <t>Dinesh Verma</t>
  </si>
  <si>
    <t>LN10694</t>
  </si>
  <si>
    <t>Ashok Shetty</t>
  </si>
  <si>
    <t>2021-02-20</t>
  </si>
  <si>
    <t>LN10695</t>
  </si>
  <si>
    <t>Ashok Chaudhary</t>
  </si>
  <si>
    <t>LN10696</t>
  </si>
  <si>
    <t>LN10697</t>
  </si>
  <si>
    <t>Smita Shah</t>
  </si>
  <si>
    <t>LN10698</t>
  </si>
  <si>
    <t>Vikram Tiwari</t>
  </si>
  <si>
    <t>2021-02-18</t>
  </si>
  <si>
    <t>LN10699</t>
  </si>
  <si>
    <t>Rajesh Singh</t>
  </si>
  <si>
    <t>2022-12-25</t>
  </si>
  <si>
    <t>LN10700</t>
  </si>
  <si>
    <t>Pallavi Nair</t>
  </si>
  <si>
    <t>2022-07-02</t>
  </si>
  <si>
    <t>LN10701</t>
  </si>
  <si>
    <t>LN10702</t>
  </si>
  <si>
    <t>Meena Jain</t>
  </si>
  <si>
    <t>LN10703</t>
  </si>
  <si>
    <t>2022-08-25</t>
  </si>
  <si>
    <t>LN10704</t>
  </si>
  <si>
    <t>Suresh Mishra</t>
  </si>
  <si>
    <t>LN10705</t>
  </si>
  <si>
    <t>LN10706</t>
  </si>
  <si>
    <t>2022-05-02</t>
  </si>
  <si>
    <t>LN10707</t>
  </si>
  <si>
    <t>Deepa Malhotra</t>
  </si>
  <si>
    <t>2023-09-05</t>
  </si>
  <si>
    <t>LN10708</t>
  </si>
  <si>
    <t>Kavitha Reddy</t>
  </si>
  <si>
    <t>LN10709</t>
  </si>
  <si>
    <t>Arjun Rao</t>
  </si>
  <si>
    <t>LN10710</t>
  </si>
  <si>
    <t>Meena Shetty</t>
  </si>
  <si>
    <t>2024-01-11</t>
  </si>
  <si>
    <t>LN10711</t>
  </si>
  <si>
    <t>Nisha Saxena</t>
  </si>
  <si>
    <t>2021-11-28</t>
  </si>
  <si>
    <t>LN10712</t>
  </si>
  <si>
    <t>Usha Tiwari</t>
  </si>
  <si>
    <t>LN10713</t>
  </si>
  <si>
    <t>Arjun Menon</t>
  </si>
  <si>
    <t>LN10714</t>
  </si>
  <si>
    <t>Harish Gupta</t>
  </si>
  <si>
    <t>2022-05-18</t>
  </si>
  <si>
    <t>LN10715</t>
  </si>
  <si>
    <t>Kiran Iyer</t>
  </si>
  <si>
    <t>LN10716</t>
  </si>
  <si>
    <t>Ganesh Singh</t>
  </si>
  <si>
    <t>2023-04-07</t>
  </si>
  <si>
    <t>LN10717</t>
  </si>
  <si>
    <t>Ashok Joshi</t>
  </si>
  <si>
    <t>2021-03-30</t>
  </si>
  <si>
    <t>LN10718</t>
  </si>
  <si>
    <t>Kiran Mehta</t>
  </si>
  <si>
    <t>LN10719</t>
  </si>
  <si>
    <t>Lakshmi Dubey</t>
  </si>
  <si>
    <t>LN10720</t>
  </si>
  <si>
    <t>Tarun Kapoor</t>
  </si>
  <si>
    <t>LN10721</t>
  </si>
  <si>
    <t>Vikram Mishra</t>
  </si>
  <si>
    <t>2021-10-21</t>
  </si>
  <si>
    <t>LN10722</t>
  </si>
  <si>
    <t>Ajay Kapoor</t>
  </si>
  <si>
    <t>LN10723</t>
  </si>
  <si>
    <t>Varsha Malhotra</t>
  </si>
  <si>
    <t>2022-09-03</t>
  </si>
  <si>
    <t>LN10724</t>
  </si>
  <si>
    <t>Kiran Kaur</t>
  </si>
  <si>
    <t>LN10725</t>
  </si>
  <si>
    <t>Anita Pillai</t>
  </si>
  <si>
    <t>LN10726</t>
  </si>
  <si>
    <t>Meena Saxena</t>
  </si>
  <si>
    <t>2021-04-30</t>
  </si>
  <si>
    <t>LN10727</t>
  </si>
  <si>
    <t>Priya Tiwari</t>
  </si>
  <si>
    <t>LN10728</t>
  </si>
  <si>
    <t>Rekha Das</t>
  </si>
  <si>
    <t>2023-09-21</t>
  </si>
  <si>
    <t>LN10729</t>
  </si>
  <si>
    <t>LN10730</t>
  </si>
  <si>
    <t>LN10731</t>
  </si>
  <si>
    <t>Rani Iyer</t>
  </si>
  <si>
    <t>2021-01-30</t>
  </si>
  <si>
    <t>2021-02-13</t>
  </si>
  <si>
    <t>LN10732</t>
  </si>
  <si>
    <t>Geeta Patel</t>
  </si>
  <si>
    <t>LN10733</t>
  </si>
  <si>
    <t>LN10734</t>
  </si>
  <si>
    <t>LN10735</t>
  </si>
  <si>
    <t>LN10736</t>
  </si>
  <si>
    <t>Smita Malhotra</t>
  </si>
  <si>
    <t>LN10737</t>
  </si>
  <si>
    <t>Amit Sharma</t>
  </si>
  <si>
    <t>LN10738</t>
  </si>
  <si>
    <t>Bhavna Kaur</t>
  </si>
  <si>
    <t>2022-04-25</t>
  </si>
  <si>
    <t>LN10739</t>
  </si>
  <si>
    <t>2021-07-14</t>
  </si>
  <si>
    <t>LN10740</t>
  </si>
  <si>
    <t>Anita Sharma</t>
  </si>
  <si>
    <t>LN10741</t>
  </si>
  <si>
    <t>LN10742</t>
  </si>
  <si>
    <t>Priya Iyer</t>
  </si>
  <si>
    <t>2022-03-17</t>
  </si>
  <si>
    <t>LN10743</t>
  </si>
  <si>
    <t>Suresh Kapoor</t>
  </si>
  <si>
    <t>LN10744</t>
  </si>
  <si>
    <t>Divya Singh</t>
  </si>
  <si>
    <t>LN10745</t>
  </si>
  <si>
    <t>Sunil Mehta</t>
  </si>
  <si>
    <t>LN10746</t>
  </si>
  <si>
    <t>2022-10-09</t>
  </si>
  <si>
    <t>LN10747</t>
  </si>
  <si>
    <t>Rekha Kapoor</t>
  </si>
  <si>
    <t>LN10748</t>
  </si>
  <si>
    <t>Vikram Dubey</t>
  </si>
  <si>
    <t>LN10749</t>
  </si>
  <si>
    <t>Divya Jain</t>
  </si>
  <si>
    <t>LN10750</t>
  </si>
  <si>
    <t>Smita Deshpande</t>
  </si>
  <si>
    <t>2021-06-24</t>
  </si>
  <si>
    <t>LN10751</t>
  </si>
  <si>
    <t>Komal Malhotra</t>
  </si>
  <si>
    <t>LN10752</t>
  </si>
  <si>
    <t>Kiran Deshpande</t>
  </si>
  <si>
    <t>2024-01-17</t>
  </si>
  <si>
    <t>LN10753</t>
  </si>
  <si>
    <t>2021-06-13</t>
  </si>
  <si>
    <t>LN10754</t>
  </si>
  <si>
    <t>Vinod Kapoor</t>
  </si>
  <si>
    <t>LN10755</t>
  </si>
  <si>
    <t>LN10756</t>
  </si>
  <si>
    <t>Amit Rao</t>
  </si>
  <si>
    <t>LN10757</t>
  </si>
  <si>
    <t>Vinod Mehta</t>
  </si>
  <si>
    <t>LN10758</t>
  </si>
  <si>
    <t>Deepa Das</t>
  </si>
  <si>
    <t>LN10759</t>
  </si>
  <si>
    <t>Rekha Yadav</t>
  </si>
  <si>
    <t>2021-10-04</t>
  </si>
  <si>
    <t>LN10760</t>
  </si>
  <si>
    <t>LN10761</t>
  </si>
  <si>
    <t>Smita Iyer</t>
  </si>
  <si>
    <t>LN10762</t>
  </si>
  <si>
    <t>Anita Menon</t>
  </si>
  <si>
    <t>LN10763</t>
  </si>
  <si>
    <t>2022-05-31</t>
  </si>
  <si>
    <t>LN10764</t>
  </si>
  <si>
    <t>Anil Rao</t>
  </si>
  <si>
    <t>2023-04-24</t>
  </si>
  <si>
    <t>LN10765</t>
  </si>
  <si>
    <t>Usha Iyer</t>
  </si>
  <si>
    <t>2021-07-21</t>
  </si>
  <si>
    <t>LN10766</t>
  </si>
  <si>
    <t>LN10767</t>
  </si>
  <si>
    <t>Priya Shah</t>
  </si>
  <si>
    <t>2021-08-17</t>
  </si>
  <si>
    <t>LN10768</t>
  </si>
  <si>
    <t>Priya Banerjee</t>
  </si>
  <si>
    <t>LN10769</t>
  </si>
  <si>
    <t>Jyoti Das</t>
  </si>
  <si>
    <t>LN10770</t>
  </si>
  <si>
    <t>Manoj Chaudhary</t>
  </si>
  <si>
    <t>LN10771</t>
  </si>
  <si>
    <t>Tarun Dubey</t>
  </si>
  <si>
    <t>LN10772</t>
  </si>
  <si>
    <t>LN10773</t>
  </si>
  <si>
    <t>Bhavna Gupta</t>
  </si>
  <si>
    <t>LN10774</t>
  </si>
  <si>
    <t>Rajesh Tiwari</t>
  </si>
  <si>
    <t>2021-11-15</t>
  </si>
  <si>
    <t>LN10775</t>
  </si>
  <si>
    <t>LN10776</t>
  </si>
  <si>
    <t>LN10777</t>
  </si>
  <si>
    <t>Nisha Nair</t>
  </si>
  <si>
    <t>2022-10-04</t>
  </si>
  <si>
    <t>LN10778</t>
  </si>
  <si>
    <t>Varsha Jain</t>
  </si>
  <si>
    <t>LN10779</t>
  </si>
  <si>
    <t>Nisha Verma</t>
  </si>
  <si>
    <t>LN10780</t>
  </si>
  <si>
    <t>Madhuri Yadav</t>
  </si>
  <si>
    <t>LN10781</t>
  </si>
  <si>
    <t>Chetna Reddy</t>
  </si>
  <si>
    <t>LN10782</t>
  </si>
  <si>
    <t>Vikram Sharma</t>
  </si>
  <si>
    <t>LN10783</t>
  </si>
  <si>
    <t>LN10784</t>
  </si>
  <si>
    <t>LN10785</t>
  </si>
  <si>
    <t>Pooja Kaur</t>
  </si>
  <si>
    <t>LN10786</t>
  </si>
  <si>
    <t>Komal Dubey</t>
  </si>
  <si>
    <t>LN10787</t>
  </si>
  <si>
    <t>Sunil Kumar</t>
  </si>
  <si>
    <t>LN10788</t>
  </si>
  <si>
    <t>Ganesh Shah</t>
  </si>
  <si>
    <t>LN10789</t>
  </si>
  <si>
    <t>Amit Patel</t>
  </si>
  <si>
    <t>2023-03-25</t>
  </si>
  <si>
    <t>LN10790</t>
  </si>
  <si>
    <t>LN10791</t>
  </si>
  <si>
    <t>LN10792</t>
  </si>
  <si>
    <t>2021-05-28</t>
  </si>
  <si>
    <t>LN10793</t>
  </si>
  <si>
    <t>LN10794</t>
  </si>
  <si>
    <t>Deepa Joshi</t>
  </si>
  <si>
    <t>LN10795</t>
  </si>
  <si>
    <t>Kiran Banerjee</t>
  </si>
  <si>
    <t>LN10796</t>
  </si>
  <si>
    <t>2022-12-04</t>
  </si>
  <si>
    <t>LN10797</t>
  </si>
  <si>
    <t>Siddharth Reddy</t>
  </si>
  <si>
    <t>LN10798</t>
  </si>
  <si>
    <t>LN10799</t>
  </si>
  <si>
    <t>Mohan Nayak</t>
  </si>
  <si>
    <t>LN10800</t>
  </si>
  <si>
    <t>2021-05-02</t>
  </si>
  <si>
    <t>LN10801</t>
  </si>
  <si>
    <t>Rajesh Verma</t>
  </si>
  <si>
    <t>LN10802</t>
  </si>
  <si>
    <t>Naveen Kaur</t>
  </si>
  <si>
    <t>LN10803</t>
  </si>
  <si>
    <t>LN10804</t>
  </si>
  <si>
    <t>LN10805</t>
  </si>
  <si>
    <t>Priya Kapoor</t>
  </si>
  <si>
    <t>2021-03-10</t>
  </si>
  <si>
    <t>LN10806</t>
  </si>
  <si>
    <t>LN10807</t>
  </si>
  <si>
    <t>Naveen Kulkarni</t>
  </si>
  <si>
    <t>LN10808</t>
  </si>
  <si>
    <t>Dinesh Yadav</t>
  </si>
  <si>
    <t>2022-07-21</t>
  </si>
  <si>
    <t>LN10809</t>
  </si>
  <si>
    <t>Shweta Banerjee</t>
  </si>
  <si>
    <t>LN10810</t>
  </si>
  <si>
    <t>LN10811</t>
  </si>
  <si>
    <t>Bhavna Deshpande</t>
  </si>
  <si>
    <t>LN10812</t>
  </si>
  <si>
    <t>Kavitha Singh</t>
  </si>
  <si>
    <t>2021-04-24</t>
  </si>
  <si>
    <t>LN10813</t>
  </si>
  <si>
    <t>Shweta Jain</t>
  </si>
  <si>
    <t>LN10814</t>
  </si>
  <si>
    <t>Komal Tiwari</t>
  </si>
  <si>
    <t>LN10815</t>
  </si>
  <si>
    <t>Amit Banerjee</t>
  </si>
  <si>
    <t>LN10816</t>
  </si>
  <si>
    <t>LN10817</t>
  </si>
  <si>
    <t>Ramesh Deshpande</t>
  </si>
  <si>
    <t>LN10818</t>
  </si>
  <si>
    <t>Shweta Dubey</t>
  </si>
  <si>
    <t>2023-05-08</t>
  </si>
  <si>
    <t>LN10819</t>
  </si>
  <si>
    <t>Ajay Joshi</t>
  </si>
  <si>
    <t>2023-06-01</t>
  </si>
  <si>
    <t>LN10820</t>
  </si>
  <si>
    <t>Meena Kapoor</t>
  </si>
  <si>
    <t>LN10821</t>
  </si>
  <si>
    <t>Amit Tiwari</t>
  </si>
  <si>
    <t>LN10822</t>
  </si>
  <si>
    <t>Sanjay Rao</t>
  </si>
  <si>
    <t>LN10823</t>
  </si>
  <si>
    <t>Anita Banerjee</t>
  </si>
  <si>
    <t>LN10824</t>
  </si>
  <si>
    <t>Rohit Mishra</t>
  </si>
  <si>
    <t>2021-10-25</t>
  </si>
  <si>
    <t>LN10825</t>
  </si>
  <si>
    <t>LN10826</t>
  </si>
  <si>
    <t>LN10827</t>
  </si>
  <si>
    <t>LN10828</t>
  </si>
  <si>
    <t>LN10829</t>
  </si>
  <si>
    <t>Deepa Chaudhary</t>
  </si>
  <si>
    <t>LN10830</t>
  </si>
  <si>
    <t>2022-02-14</t>
  </si>
  <si>
    <t>LN10831</t>
  </si>
  <si>
    <t>Jyoti Banerjee</t>
  </si>
  <si>
    <t>LN10832</t>
  </si>
  <si>
    <t>2023-10-09</t>
  </si>
  <si>
    <t>LN10833</t>
  </si>
  <si>
    <t>Tarun Kaur</t>
  </si>
  <si>
    <t>LN10834</t>
  </si>
  <si>
    <t>2021-03-01</t>
  </si>
  <si>
    <t>2021-03-13</t>
  </si>
  <si>
    <t>LN10835</t>
  </si>
  <si>
    <t>2022-06-22</t>
  </si>
  <si>
    <t>LN10836</t>
  </si>
  <si>
    <t>Pooja Kapoor</t>
  </si>
  <si>
    <t>LN10837</t>
  </si>
  <si>
    <t>Bhavna Kulkarni</t>
  </si>
  <si>
    <t>LN10838</t>
  </si>
  <si>
    <t>Rekha Shetty</t>
  </si>
  <si>
    <t>2022-03-18</t>
  </si>
  <si>
    <t>2022-04-07</t>
  </si>
  <si>
    <t>LN10839</t>
  </si>
  <si>
    <t>LN10840</t>
  </si>
  <si>
    <t>Tarun Verma</t>
  </si>
  <si>
    <t>2023-05-04</t>
  </si>
  <si>
    <t>LN10841</t>
  </si>
  <si>
    <t>Rajesh Mehta</t>
  </si>
  <si>
    <t>2022-09-22</t>
  </si>
  <si>
    <t>LN10842</t>
  </si>
  <si>
    <t>Smita Pillai</t>
  </si>
  <si>
    <t>LN10843</t>
  </si>
  <si>
    <t>Abhishek Verma</t>
  </si>
  <si>
    <t>LN10844</t>
  </si>
  <si>
    <t>Geeta Saxena</t>
  </si>
  <si>
    <t>LN10845</t>
  </si>
  <si>
    <t>Meena Kaur</t>
  </si>
  <si>
    <t>LN10846</t>
  </si>
  <si>
    <t>Vinod Malhotra</t>
  </si>
  <si>
    <t>LN10847</t>
  </si>
  <si>
    <t>Sarala Nair</t>
  </si>
  <si>
    <t>LN10848</t>
  </si>
  <si>
    <t>LN10849</t>
  </si>
  <si>
    <t>Varsha Mishra</t>
  </si>
  <si>
    <t>2023-08-15</t>
  </si>
  <si>
    <t>LN10850</t>
  </si>
  <si>
    <t>Lakshmi Joshi</t>
  </si>
  <si>
    <t>LN10851</t>
  </si>
  <si>
    <t>Abhishek Iyer</t>
  </si>
  <si>
    <t>LN10852</t>
  </si>
  <si>
    <t>Pooja Banerjee</t>
  </si>
  <si>
    <t>2022-02-24</t>
  </si>
  <si>
    <t>LN10853</t>
  </si>
  <si>
    <t>Rani Mehta</t>
  </si>
  <si>
    <t>LN10854</t>
  </si>
  <si>
    <t>LN10855</t>
  </si>
  <si>
    <t>2023-09-13</t>
  </si>
  <si>
    <t>LN10856</t>
  </si>
  <si>
    <t>Nisha Deshpande</t>
  </si>
  <si>
    <t>LN10857</t>
  </si>
  <si>
    <t>Kavitha Tiwari</t>
  </si>
  <si>
    <t>2023-03-09</t>
  </si>
  <si>
    <t>LN10858</t>
  </si>
  <si>
    <t>Divya Sharma</t>
  </si>
  <si>
    <t>LN10859</t>
  </si>
  <si>
    <t>2023-09-14</t>
  </si>
  <si>
    <t>LN10860</t>
  </si>
  <si>
    <t>LN10861</t>
  </si>
  <si>
    <t>Arjun Nair</t>
  </si>
  <si>
    <t>LN10862</t>
  </si>
  <si>
    <t>2022-07-01</t>
  </si>
  <si>
    <t>LN10863</t>
  </si>
  <si>
    <t>Divya Dubey</t>
  </si>
  <si>
    <t>LN10864</t>
  </si>
  <si>
    <t>Ajay Nair</t>
  </si>
  <si>
    <t>LN10865</t>
  </si>
  <si>
    <t>Rajesh Menon</t>
  </si>
  <si>
    <t>LN10866</t>
  </si>
  <si>
    <t>LN10867</t>
  </si>
  <si>
    <t>Jyoti Jain</t>
  </si>
  <si>
    <t>LN10868</t>
  </si>
  <si>
    <t>LN10869</t>
  </si>
  <si>
    <t>LN10870</t>
  </si>
  <si>
    <t>LN10871</t>
  </si>
  <si>
    <t>Priya Dubey</t>
  </si>
  <si>
    <t>LN10872</t>
  </si>
  <si>
    <t>Usha Chatterjee</t>
  </si>
  <si>
    <t>LN10873</t>
  </si>
  <si>
    <t>LN10874</t>
  </si>
  <si>
    <t>Smita Sharma</t>
  </si>
  <si>
    <t>LN10875</t>
  </si>
  <si>
    <t>Varsha Shetty</t>
  </si>
  <si>
    <t>LN10876</t>
  </si>
  <si>
    <t>Suresh Nayak</t>
  </si>
  <si>
    <t>2022-12-30</t>
  </si>
  <si>
    <t>LN10877</t>
  </si>
  <si>
    <t>Siddharth Patel</t>
  </si>
  <si>
    <t>LN10878</t>
  </si>
  <si>
    <t>Komal Chaudhary</t>
  </si>
  <si>
    <t>LN10879</t>
  </si>
  <si>
    <t>Harish Saxena</t>
  </si>
  <si>
    <t>LN10880</t>
  </si>
  <si>
    <t>LN10881</t>
  </si>
  <si>
    <t>Ravi Rao</t>
  </si>
  <si>
    <t>2021-06-20</t>
  </si>
  <si>
    <t>LN10882</t>
  </si>
  <si>
    <t>Rajesh Kulkarni</t>
  </si>
  <si>
    <t>LN10883</t>
  </si>
  <si>
    <t>Naveen Shetty</t>
  </si>
  <si>
    <t>LN10884</t>
  </si>
  <si>
    <t>LN10885</t>
  </si>
  <si>
    <t>LN10886</t>
  </si>
  <si>
    <t>LN10887</t>
  </si>
  <si>
    <t>Anita Rao</t>
  </si>
  <si>
    <t>LN10888</t>
  </si>
  <si>
    <t>LN10889</t>
  </si>
  <si>
    <t>Arjun Mishra</t>
  </si>
  <si>
    <t>LN10890</t>
  </si>
  <si>
    <t>LN10891</t>
  </si>
  <si>
    <t>Ramesh Mehta</t>
  </si>
  <si>
    <t>LN10892</t>
  </si>
  <si>
    <t>LN10893</t>
  </si>
  <si>
    <t>Anita Malhotra</t>
  </si>
  <si>
    <t>LN10894</t>
  </si>
  <si>
    <t>Rekha Menon</t>
  </si>
  <si>
    <t>LN10895</t>
  </si>
  <si>
    <t>Pooja Deshpande</t>
  </si>
  <si>
    <t>LN10896</t>
  </si>
  <si>
    <t>Divya Kaur</t>
  </si>
  <si>
    <t>LN10897</t>
  </si>
  <si>
    <t>Priya Chaudhary</t>
  </si>
  <si>
    <t>2023-08-25</t>
  </si>
  <si>
    <t>LN10898</t>
  </si>
  <si>
    <t>Deepa Shetty</t>
  </si>
  <si>
    <t>LN10899</t>
  </si>
  <si>
    <t>Ganesh Pillai</t>
  </si>
  <si>
    <t>LN10900</t>
  </si>
  <si>
    <t>Sunil Rao</t>
  </si>
  <si>
    <t>LN10901</t>
  </si>
  <si>
    <t>LN10902</t>
  </si>
  <si>
    <t>Usha Dubey</t>
  </si>
  <si>
    <t>LN10903</t>
  </si>
  <si>
    <t>Ganesh Menon</t>
  </si>
  <si>
    <t>2023-06-30</t>
  </si>
  <si>
    <t>2023-07-13</t>
  </si>
  <si>
    <t>LN10904</t>
  </si>
  <si>
    <t>Ramesh Das</t>
  </si>
  <si>
    <t>2022-09-01</t>
  </si>
  <si>
    <t>LN10905</t>
  </si>
  <si>
    <t>Pallavi Gupta</t>
  </si>
  <si>
    <t>LN10906</t>
  </si>
  <si>
    <t>Anil Patel</t>
  </si>
  <si>
    <t>2021-12-07</t>
  </si>
  <si>
    <t>LN10907</t>
  </si>
  <si>
    <t>Sunil Deshpande</t>
  </si>
  <si>
    <t>LN10908</t>
  </si>
  <si>
    <t>Nisha Menon</t>
  </si>
  <si>
    <t>LN10909</t>
  </si>
  <si>
    <t>LN10910</t>
  </si>
  <si>
    <t>Sunita Dubey</t>
  </si>
  <si>
    <t>2022-07-19</t>
  </si>
  <si>
    <t>LN10911</t>
  </si>
  <si>
    <t>LN10912</t>
  </si>
  <si>
    <t>Sunita Deshpande</t>
  </si>
  <si>
    <t>LN10913</t>
  </si>
  <si>
    <t>Ajay Sharma</t>
  </si>
  <si>
    <t>2022-07-27</t>
  </si>
  <si>
    <t>LN10914</t>
  </si>
  <si>
    <t>Tarun Shah</t>
  </si>
  <si>
    <t>2023-10-28</t>
  </si>
  <si>
    <t>LN10915</t>
  </si>
  <si>
    <t>LN10916</t>
  </si>
  <si>
    <t>2024-01-10</t>
  </si>
  <si>
    <t>LN10917</t>
  </si>
  <si>
    <t>Suresh Chatterjee</t>
  </si>
  <si>
    <t>LN10918</t>
  </si>
  <si>
    <t>LN10919</t>
  </si>
  <si>
    <t>Usha Malhotra</t>
  </si>
  <si>
    <t>LN10920</t>
  </si>
  <si>
    <t>Pallavi Das</t>
  </si>
  <si>
    <t>LN10921</t>
  </si>
  <si>
    <t>LN10922</t>
  </si>
  <si>
    <t>2022-10-27</t>
  </si>
  <si>
    <t>LN10923</t>
  </si>
  <si>
    <t>Rohit Malhotra</t>
  </si>
  <si>
    <t>2022-07-08</t>
  </si>
  <si>
    <t>LN10924</t>
  </si>
  <si>
    <t>Madhuri Banerjee</t>
  </si>
  <si>
    <t>LN10925</t>
  </si>
  <si>
    <t>LN10926</t>
  </si>
  <si>
    <t>LN10927</t>
  </si>
  <si>
    <t>LN10928</t>
  </si>
  <si>
    <t>LN10929</t>
  </si>
  <si>
    <t>Usha Banerjee</t>
  </si>
  <si>
    <t>LN10930</t>
  </si>
  <si>
    <t>2024-01-20</t>
  </si>
  <si>
    <t>LN10931</t>
  </si>
  <si>
    <t>LN10932</t>
  </si>
  <si>
    <t>LN10933</t>
  </si>
  <si>
    <t>Harish Rao</t>
  </si>
  <si>
    <t>LN10934</t>
  </si>
  <si>
    <t>Mohan Menon</t>
  </si>
  <si>
    <t>2021-08-07</t>
  </si>
  <si>
    <t>LN10935</t>
  </si>
  <si>
    <t>Geeta Chatterjee</t>
  </si>
  <si>
    <t>LN10936</t>
  </si>
  <si>
    <t>Meena Verma</t>
  </si>
  <si>
    <t>LN10937</t>
  </si>
  <si>
    <t>Bhavna Malhotra</t>
  </si>
  <si>
    <t>2022-03-06</t>
  </si>
  <si>
    <t>LN10938</t>
  </si>
  <si>
    <t>Usha Shetty</t>
  </si>
  <si>
    <t>LN10939</t>
  </si>
  <si>
    <t>Naveen Gupta</t>
  </si>
  <si>
    <t>LN10940</t>
  </si>
  <si>
    <t>LN10941</t>
  </si>
  <si>
    <t>LN10942</t>
  </si>
  <si>
    <t>LN10943</t>
  </si>
  <si>
    <t>Harish Reddy</t>
  </si>
  <si>
    <t>2023-09-30</t>
  </si>
  <si>
    <t>LN10944</t>
  </si>
  <si>
    <t>Ashok Pillai</t>
  </si>
  <si>
    <t>LN10945</t>
  </si>
  <si>
    <t>LN10946</t>
  </si>
  <si>
    <t>LN10947</t>
  </si>
  <si>
    <t>LN10948</t>
  </si>
  <si>
    <t>Madhuri Reddy</t>
  </si>
  <si>
    <t>2021-11-08</t>
  </si>
  <si>
    <t>LN10949</t>
  </si>
  <si>
    <t>Bhavna Tiwari</t>
  </si>
  <si>
    <t>LN10950</t>
  </si>
  <si>
    <t>Vikram Das</t>
  </si>
  <si>
    <t>LN10951</t>
  </si>
  <si>
    <t>Kiran Malhotra</t>
  </si>
  <si>
    <t>LN10952</t>
  </si>
  <si>
    <t>LN10953</t>
  </si>
  <si>
    <t>LN10954</t>
  </si>
  <si>
    <t>LN10955</t>
  </si>
  <si>
    <t>Pooja Mishra</t>
  </si>
  <si>
    <t>LN10956</t>
  </si>
  <si>
    <t>Rani Tiwari</t>
  </si>
  <si>
    <t>LN10957</t>
  </si>
  <si>
    <t>LN10958</t>
  </si>
  <si>
    <t>2023-08-24</t>
  </si>
  <si>
    <t>LN10959</t>
  </si>
  <si>
    <t>Ravi Jain</t>
  </si>
  <si>
    <t>2021-12-04</t>
  </si>
  <si>
    <t>LN10960</t>
  </si>
  <si>
    <t>Sarala Deshpande</t>
  </si>
  <si>
    <t>2022-11-09</t>
  </si>
  <si>
    <t>LN10961</t>
  </si>
  <si>
    <t>LN10962</t>
  </si>
  <si>
    <t>Kiran Gupta</t>
  </si>
  <si>
    <t>2021-06-14</t>
  </si>
  <si>
    <t>LN10963</t>
  </si>
  <si>
    <t>LN10964</t>
  </si>
  <si>
    <t>LN10965</t>
  </si>
  <si>
    <t>LN10966</t>
  </si>
  <si>
    <t>2022-05-09</t>
  </si>
  <si>
    <t>LN10967</t>
  </si>
  <si>
    <t>LN10968</t>
  </si>
  <si>
    <t>Naveen Chaudhary</t>
  </si>
  <si>
    <t>LN10969</t>
  </si>
  <si>
    <t>Kiran Patel</t>
  </si>
  <si>
    <t>LN10970</t>
  </si>
  <si>
    <t>Ravi Patel</t>
  </si>
  <si>
    <t>LN10971</t>
  </si>
  <si>
    <t>LN10972</t>
  </si>
  <si>
    <t>LN10973</t>
  </si>
  <si>
    <t>Abhishek Nayak</t>
  </si>
  <si>
    <t>2022-06-19</t>
  </si>
  <si>
    <t>LN10974</t>
  </si>
  <si>
    <t>Deepa Shah</t>
  </si>
  <si>
    <t>2021-03-05</t>
  </si>
  <si>
    <t>LN10975</t>
  </si>
  <si>
    <t>LN10976</t>
  </si>
  <si>
    <t>Vikram Shah</t>
  </si>
  <si>
    <t>LN10977</t>
  </si>
  <si>
    <t>Pallavi Shah</t>
  </si>
  <si>
    <t>LN10978</t>
  </si>
  <si>
    <t>Madhuri Gupta</t>
  </si>
  <si>
    <t>LN10979</t>
  </si>
  <si>
    <t>Shweta Shetty</t>
  </si>
  <si>
    <t>LN10980</t>
  </si>
  <si>
    <t>Madhuri Nair</t>
  </si>
  <si>
    <t>LN10981</t>
  </si>
  <si>
    <t>Tarun Tiwari</t>
  </si>
  <si>
    <t>LN10982</t>
  </si>
  <si>
    <t>Sanjay Reddy</t>
  </si>
  <si>
    <t>LN10983</t>
  </si>
  <si>
    <t>Mohan Jain</t>
  </si>
  <si>
    <t>2023-08-03</t>
  </si>
  <si>
    <t>LN10984</t>
  </si>
  <si>
    <t>Anil Deshpande</t>
  </si>
  <si>
    <t>LN10985</t>
  </si>
  <si>
    <t>Harish Chaudhary</t>
  </si>
  <si>
    <t>2023-05-14</t>
  </si>
  <si>
    <t>LN10986</t>
  </si>
  <si>
    <t>LN10987</t>
  </si>
  <si>
    <t>LN10988</t>
  </si>
  <si>
    <t>LN10989</t>
  </si>
  <si>
    <t>LN10990</t>
  </si>
  <si>
    <t>Sunil Pillai</t>
  </si>
  <si>
    <t>LN10991</t>
  </si>
  <si>
    <t>Harish Mehta</t>
  </si>
  <si>
    <t>LN10992</t>
  </si>
  <si>
    <t>Sarala Gupta</t>
  </si>
  <si>
    <t>2022-01-09</t>
  </si>
  <si>
    <t>LN10993</t>
  </si>
  <si>
    <t>Vinod Shetty</t>
  </si>
  <si>
    <t>LN10994</t>
  </si>
  <si>
    <t>2023-10-24</t>
  </si>
  <si>
    <t>LN10995</t>
  </si>
  <si>
    <t>LN10996</t>
  </si>
  <si>
    <t>LN10997</t>
  </si>
  <si>
    <t>Manoj Malhotra</t>
  </si>
  <si>
    <t>2022-04-15</t>
  </si>
  <si>
    <t>LN10998</t>
  </si>
  <si>
    <t>LN10999</t>
  </si>
  <si>
    <t>Dinesh Dubey</t>
  </si>
  <si>
    <t>2021-03-15</t>
  </si>
  <si>
    <t>LN11000</t>
  </si>
  <si>
    <t>Rekha Nayak</t>
  </si>
  <si>
    <t>LN11001</t>
  </si>
  <si>
    <t>LN11002</t>
  </si>
  <si>
    <t>LN11003</t>
  </si>
  <si>
    <t>LN11004</t>
  </si>
  <si>
    <t>Shweta Rao</t>
  </si>
  <si>
    <t>LN11005</t>
  </si>
  <si>
    <t>Abhishek Shetty</t>
  </si>
  <si>
    <t>LN11006</t>
  </si>
  <si>
    <t>LN11007</t>
  </si>
  <si>
    <t>2022-05-30</t>
  </si>
  <si>
    <t>LN11008</t>
  </si>
  <si>
    <t>Nisha Das</t>
  </si>
  <si>
    <t>LN11009</t>
  </si>
  <si>
    <t>2023-05-20</t>
  </si>
  <si>
    <t>LN11010</t>
  </si>
  <si>
    <t>Pallavi Kulkarni</t>
  </si>
  <si>
    <t>LN11011</t>
  </si>
  <si>
    <t>LN11012</t>
  </si>
  <si>
    <t>LN11013</t>
  </si>
  <si>
    <t>Chetna Nair</t>
  </si>
  <si>
    <t>LN11014</t>
  </si>
  <si>
    <t>LN11015</t>
  </si>
  <si>
    <t>LN11016</t>
  </si>
  <si>
    <t>Tarun Banerjee</t>
  </si>
  <si>
    <t>LN11017</t>
  </si>
  <si>
    <t>LN11018</t>
  </si>
  <si>
    <t>LN11019</t>
  </si>
  <si>
    <t>LN11020</t>
  </si>
  <si>
    <t>Smita Dubey</t>
  </si>
  <si>
    <t>LN11021</t>
  </si>
  <si>
    <t>LN11022</t>
  </si>
  <si>
    <t>Jyoti Kaur</t>
  </si>
  <si>
    <t>2021-05-17</t>
  </si>
  <si>
    <t>LN11023</t>
  </si>
  <si>
    <t>Suresh Kumar</t>
  </si>
  <si>
    <t>LN11024</t>
  </si>
  <si>
    <t>2023-09-02</t>
  </si>
  <si>
    <t>LN11025</t>
  </si>
  <si>
    <t>2022-12-05</t>
  </si>
  <si>
    <t>LN11026</t>
  </si>
  <si>
    <t>Mohan Joshi</t>
  </si>
  <si>
    <t>LN11027</t>
  </si>
  <si>
    <t>LN11028</t>
  </si>
  <si>
    <t>2022-10-28</t>
  </si>
  <si>
    <t>LN11029</t>
  </si>
  <si>
    <t>Dinesh Pillai</t>
  </si>
  <si>
    <t>LN11030</t>
  </si>
  <si>
    <t>LN11031</t>
  </si>
  <si>
    <t>Tarun Nayak</t>
  </si>
  <si>
    <t>2023-07-30</t>
  </si>
  <si>
    <t>LN11032</t>
  </si>
  <si>
    <t>Kiran Joshi</t>
  </si>
  <si>
    <t>LN11033</t>
  </si>
  <si>
    <t>LN11034</t>
  </si>
  <si>
    <t>Vikram Kumar</t>
  </si>
  <si>
    <t>LN11035</t>
  </si>
  <si>
    <t>Vikram Kapoor</t>
  </si>
  <si>
    <t>LN11036</t>
  </si>
  <si>
    <t>Ravi Chaudhary</t>
  </si>
  <si>
    <t>LN11037</t>
  </si>
  <si>
    <t>Arjun Deshpande</t>
  </si>
  <si>
    <t>LN11038</t>
  </si>
  <si>
    <t>Rani Singh</t>
  </si>
  <si>
    <t>LN11039</t>
  </si>
  <si>
    <t>Dinesh Sharma</t>
  </si>
  <si>
    <t>LN11040</t>
  </si>
  <si>
    <t>Ravi Kaur</t>
  </si>
  <si>
    <t>LN11041</t>
  </si>
  <si>
    <t>2022-05-07</t>
  </si>
  <si>
    <t>LN11042</t>
  </si>
  <si>
    <t>LN11043</t>
  </si>
  <si>
    <t>LN11044</t>
  </si>
  <si>
    <t>LN11045</t>
  </si>
  <si>
    <t>LN11046</t>
  </si>
  <si>
    <t>LN11047</t>
  </si>
  <si>
    <t>Rohit Mehta</t>
  </si>
  <si>
    <t>LN11048</t>
  </si>
  <si>
    <t>LN11049</t>
  </si>
  <si>
    <t>Ajay Tiwari</t>
  </si>
  <si>
    <t>LN11050</t>
  </si>
  <si>
    <t>2023-04-30</t>
  </si>
  <si>
    <t>LN11051</t>
  </si>
  <si>
    <t>LN11052</t>
  </si>
  <si>
    <t>Tarun Mehta</t>
  </si>
  <si>
    <t>LN11053</t>
  </si>
  <si>
    <t>Amit Iyer</t>
  </si>
  <si>
    <t>LN11054</t>
  </si>
  <si>
    <t>Siddharth Kaur</t>
  </si>
  <si>
    <t>LN11055</t>
  </si>
  <si>
    <t>LN11056</t>
  </si>
  <si>
    <t>Priya Patel</t>
  </si>
  <si>
    <t>2021-02-16</t>
  </si>
  <si>
    <t>LN11057</t>
  </si>
  <si>
    <t>LN11058</t>
  </si>
  <si>
    <t>Ravi Saxena</t>
  </si>
  <si>
    <t>2021-07-15</t>
  </si>
  <si>
    <t>LN11059</t>
  </si>
  <si>
    <t>Ravi Nair</t>
  </si>
  <si>
    <t>LN11060</t>
  </si>
  <si>
    <t>LN11061</t>
  </si>
  <si>
    <t>LN11062</t>
  </si>
  <si>
    <t>LN11063</t>
  </si>
  <si>
    <t>Anil Kulkarni</t>
  </si>
  <si>
    <t>2021-03-07</t>
  </si>
  <si>
    <t>LN11064</t>
  </si>
  <si>
    <t>LN11065</t>
  </si>
  <si>
    <t>LN11066</t>
  </si>
  <si>
    <t>Mohan Dubey</t>
  </si>
  <si>
    <t>LN11067</t>
  </si>
  <si>
    <t>2021-01-31</t>
  </si>
  <si>
    <t>LN11068</t>
  </si>
  <si>
    <t>LN11069</t>
  </si>
  <si>
    <t>LN11070</t>
  </si>
  <si>
    <t>Tarun Shetty</t>
  </si>
  <si>
    <t>LN11071</t>
  </si>
  <si>
    <t>2021-06-19</t>
  </si>
  <si>
    <t>LN11072</t>
  </si>
  <si>
    <t>LN11073</t>
  </si>
  <si>
    <t>2022-12-23</t>
  </si>
  <si>
    <t>LN11074</t>
  </si>
  <si>
    <t>Madhuri Kumar</t>
  </si>
  <si>
    <t>LN11075</t>
  </si>
  <si>
    <t>Lakshmi Malhotra</t>
  </si>
  <si>
    <t>LN11076</t>
  </si>
  <si>
    <t>LN11077</t>
  </si>
  <si>
    <t>Pooja Yadav</t>
  </si>
  <si>
    <t>LN11078</t>
  </si>
  <si>
    <t>LN11079</t>
  </si>
  <si>
    <t>LN11080</t>
  </si>
  <si>
    <t>LN11081</t>
  </si>
  <si>
    <t>Naveen Mishra</t>
  </si>
  <si>
    <t>LN11082</t>
  </si>
  <si>
    <t>Deepa Mishra</t>
  </si>
  <si>
    <t>LN11083</t>
  </si>
  <si>
    <t>LN11084</t>
  </si>
  <si>
    <t>Chetna Nayak</t>
  </si>
  <si>
    <t>LN11085</t>
  </si>
  <si>
    <t>LN11086</t>
  </si>
  <si>
    <t>Pooja Verma</t>
  </si>
  <si>
    <t>LN11087</t>
  </si>
  <si>
    <t>Harish Patel</t>
  </si>
  <si>
    <t>2022-07-05</t>
  </si>
  <si>
    <t>LN11088</t>
  </si>
  <si>
    <t>LN11089</t>
  </si>
  <si>
    <t>LN11090</t>
  </si>
  <si>
    <t>LN11091</t>
  </si>
  <si>
    <t>LN11092</t>
  </si>
  <si>
    <t>LN11093</t>
  </si>
  <si>
    <t>LN11094</t>
  </si>
  <si>
    <t>LN11095</t>
  </si>
  <si>
    <t>Dinesh Kaur</t>
  </si>
  <si>
    <t>LN11096</t>
  </si>
  <si>
    <t>Amit Menon</t>
  </si>
  <si>
    <t>LN11097</t>
  </si>
  <si>
    <t>LN11098</t>
  </si>
  <si>
    <t>Ravi Kapoor</t>
  </si>
  <si>
    <t>LN11099</t>
  </si>
  <si>
    <t>LN11100</t>
  </si>
  <si>
    <t>Ashok Kulkarni</t>
  </si>
  <si>
    <t>LN11101</t>
  </si>
  <si>
    <t>LN11102</t>
  </si>
  <si>
    <t>LN11103</t>
  </si>
  <si>
    <t>LN11104</t>
  </si>
  <si>
    <t>Mohan Malhotra</t>
  </si>
  <si>
    <t>LN11105</t>
  </si>
  <si>
    <t>LN11106</t>
  </si>
  <si>
    <t>Siddharth Deshpande</t>
  </si>
  <si>
    <t>LN11107</t>
  </si>
  <si>
    <t>LN11108</t>
  </si>
  <si>
    <t>LN11109</t>
  </si>
  <si>
    <t>LN11110</t>
  </si>
  <si>
    <t>LN11111</t>
  </si>
  <si>
    <t>Dinesh Tiwari</t>
  </si>
  <si>
    <t>LN11112</t>
  </si>
  <si>
    <t>LN11113</t>
  </si>
  <si>
    <t>Mohan Gupta</t>
  </si>
  <si>
    <t>LN11114</t>
  </si>
  <si>
    <t>Komal Iyer</t>
  </si>
  <si>
    <t>LN11115</t>
  </si>
  <si>
    <t>LN11116</t>
  </si>
  <si>
    <t>2021-10-02</t>
  </si>
  <si>
    <t>LN11117</t>
  </si>
  <si>
    <t>LN11118</t>
  </si>
  <si>
    <t>2021-02-15</t>
  </si>
  <si>
    <t>LN11119</t>
  </si>
  <si>
    <t>Kiran Das</t>
  </si>
  <si>
    <t>LN11120</t>
  </si>
  <si>
    <t>Divya Malhotra</t>
  </si>
  <si>
    <t>2022-02-27</t>
  </si>
  <si>
    <t>LN11121</t>
  </si>
  <si>
    <t>LN11122</t>
  </si>
  <si>
    <t>Smita Singh</t>
  </si>
  <si>
    <t>LN11123</t>
  </si>
  <si>
    <t>Ravi Chatterjee</t>
  </si>
  <si>
    <t>LN11124</t>
  </si>
  <si>
    <t>LN11125</t>
  </si>
  <si>
    <t>LN11126</t>
  </si>
  <si>
    <t>LN11127</t>
  </si>
  <si>
    <t>LN11128</t>
  </si>
  <si>
    <t>LN11129</t>
  </si>
  <si>
    <t>Deepa Jain</t>
  </si>
  <si>
    <t>LN11130</t>
  </si>
  <si>
    <t>Kiran Pillai</t>
  </si>
  <si>
    <t>LN11131</t>
  </si>
  <si>
    <t>Tarun Saxena</t>
  </si>
  <si>
    <t>LN11132</t>
  </si>
  <si>
    <t>LN11133</t>
  </si>
  <si>
    <t>LN11134</t>
  </si>
  <si>
    <t>LN11135</t>
  </si>
  <si>
    <t>LN11136</t>
  </si>
  <si>
    <t>Naveen Iyer</t>
  </si>
  <si>
    <t>2022-04-24</t>
  </si>
  <si>
    <t>LN11137</t>
  </si>
  <si>
    <t>Pooja Chatterjee</t>
  </si>
  <si>
    <t>LN11138</t>
  </si>
  <si>
    <t>Manoj Nair</t>
  </si>
  <si>
    <t>LN11139</t>
  </si>
  <si>
    <t>Dinesh Iyer</t>
  </si>
  <si>
    <t>2023-08-31</t>
  </si>
  <si>
    <t>LN11140</t>
  </si>
  <si>
    <t>Rohit Joshi</t>
  </si>
  <si>
    <t>LN11141</t>
  </si>
  <si>
    <t>LN11142</t>
  </si>
  <si>
    <t>LN11143</t>
  </si>
  <si>
    <t>Pallavi Singh</t>
  </si>
  <si>
    <t>LN11144</t>
  </si>
  <si>
    <t>Kavitha Sharma</t>
  </si>
  <si>
    <t>LN11145</t>
  </si>
  <si>
    <t>Pooja Dubey</t>
  </si>
  <si>
    <t>2023-06-19</t>
  </si>
  <si>
    <t>LN11146</t>
  </si>
  <si>
    <t>LN11147</t>
  </si>
  <si>
    <t>Divya Tiwari</t>
  </si>
  <si>
    <t>LN11148</t>
  </si>
  <si>
    <t>Ganesh Nayak</t>
  </si>
  <si>
    <t>LN11149</t>
  </si>
  <si>
    <t>Meena Rao</t>
  </si>
  <si>
    <t>LN11150</t>
  </si>
  <si>
    <t>LN11151</t>
  </si>
  <si>
    <t>LN11152</t>
  </si>
  <si>
    <t>Naveen Jain</t>
  </si>
  <si>
    <t>LN11153</t>
  </si>
  <si>
    <t>Lakshmi Kapoor</t>
  </si>
  <si>
    <t>LN11154</t>
  </si>
  <si>
    <t>LN11155</t>
  </si>
  <si>
    <t>Manoj Rao</t>
  </si>
  <si>
    <t>LN11156</t>
  </si>
  <si>
    <t>LN11157</t>
  </si>
  <si>
    <t>Anil Mishra</t>
  </si>
  <si>
    <t>LN11158</t>
  </si>
  <si>
    <t>Kiran Chaudhary</t>
  </si>
  <si>
    <t>LN11159</t>
  </si>
  <si>
    <t>Rohit Menon</t>
  </si>
  <si>
    <t>2023-02-11</t>
  </si>
  <si>
    <t>LN11160</t>
  </si>
  <si>
    <t>LN11161</t>
  </si>
  <si>
    <t>LN11162</t>
  </si>
  <si>
    <t>Vinod Das</t>
  </si>
  <si>
    <t>LN11163</t>
  </si>
  <si>
    <t>LN11164</t>
  </si>
  <si>
    <t>Madhuri Shah</t>
  </si>
  <si>
    <t>LN11165</t>
  </si>
  <si>
    <t>LN11166</t>
  </si>
  <si>
    <t>Bhavna Dubey</t>
  </si>
  <si>
    <t>LN11167</t>
  </si>
  <si>
    <t>Rajesh Patel</t>
  </si>
  <si>
    <t>LN11168</t>
  </si>
  <si>
    <t>LN11169</t>
  </si>
  <si>
    <t>LN11170</t>
  </si>
  <si>
    <t>Bhavna Singh</t>
  </si>
  <si>
    <t>LN11171</t>
  </si>
  <si>
    <t>2023-05-03</t>
  </si>
  <si>
    <t>LN11172</t>
  </si>
  <si>
    <t>LN11173</t>
  </si>
  <si>
    <t>Manoj Menon</t>
  </si>
  <si>
    <t>LN11174</t>
  </si>
  <si>
    <t>LN11175</t>
  </si>
  <si>
    <t>LN11176</t>
  </si>
  <si>
    <t>2022-10-24</t>
  </si>
  <si>
    <t>LN11177</t>
  </si>
  <si>
    <t>LN11178</t>
  </si>
  <si>
    <t>Usha Chaudhary</t>
  </si>
  <si>
    <t>LN11179</t>
  </si>
  <si>
    <t>Sanjay Patel</t>
  </si>
  <si>
    <t>LN11180</t>
  </si>
  <si>
    <t>Abhishek Kulkarni</t>
  </si>
  <si>
    <t>2023-01-07</t>
  </si>
  <si>
    <t>LN11181</t>
  </si>
  <si>
    <t>Madhuri Das</t>
  </si>
  <si>
    <t>LN11182</t>
  </si>
  <si>
    <t>Smita Rao</t>
  </si>
  <si>
    <t>LN11183</t>
  </si>
  <si>
    <t>Amit Malhotra</t>
  </si>
  <si>
    <t>LN11184</t>
  </si>
  <si>
    <t>LN11185</t>
  </si>
  <si>
    <t>Shweta Nayak</t>
  </si>
  <si>
    <t>LN11186</t>
  </si>
  <si>
    <t>Geeta Jain</t>
  </si>
  <si>
    <t>LN11187</t>
  </si>
  <si>
    <t>Ganesh Kulkarni</t>
  </si>
  <si>
    <t>LN11188</t>
  </si>
  <si>
    <t>Ramesh Mishra</t>
  </si>
  <si>
    <t>LN11189</t>
  </si>
  <si>
    <t>LN11190</t>
  </si>
  <si>
    <t>Priya Singh</t>
  </si>
  <si>
    <t>2021-06-11</t>
  </si>
  <si>
    <t>LN11191</t>
  </si>
  <si>
    <t>LN11192</t>
  </si>
  <si>
    <t>LN11193</t>
  </si>
  <si>
    <t>LN11194</t>
  </si>
  <si>
    <t>LN11195</t>
  </si>
  <si>
    <t>LN11196</t>
  </si>
  <si>
    <t>LN11197</t>
  </si>
  <si>
    <t>Lakshmi Iyer</t>
  </si>
  <si>
    <t>LN11198</t>
  </si>
  <si>
    <t>Meena Tiwari</t>
  </si>
  <si>
    <t>LN11199</t>
  </si>
  <si>
    <t>LN11200</t>
  </si>
  <si>
    <t>Shweta Joshi</t>
  </si>
  <si>
    <t>2023-06-22</t>
  </si>
  <si>
    <t>RISK BAND MAPPING TABLE</t>
  </si>
  <si>
    <t>Credit Score Range</t>
  </si>
  <si>
    <t>Risk Category</t>
  </si>
  <si>
    <t>Risk Code</t>
  </si>
  <si>
    <t>Action Required</t>
  </si>
  <si>
    <t>750 – 900</t>
  </si>
  <si>
    <t>Low Risk</t>
  </si>
  <si>
    <t>LR</t>
  </si>
  <si>
    <t>Approve – Standard Terms</t>
  </si>
  <si>
    <t>650 – 749</t>
  </si>
  <si>
    <t>Medium Risk</t>
  </si>
  <si>
    <t>MR</t>
  </si>
  <si>
    <t>Approve – With Conditions</t>
  </si>
  <si>
    <t>550 – 649</t>
  </si>
  <si>
    <t>High Risk</t>
  </si>
  <si>
    <t>HR</t>
  </si>
  <si>
    <t>Review – Senior Approval</t>
  </si>
  <si>
    <t>300 – 549</t>
  </si>
  <si>
    <t>Very High Risk</t>
  </si>
  <si>
    <t>VHR</t>
  </si>
  <si>
    <t>Reject or Collateral Required</t>
  </si>
  <si>
    <t>Not Available</t>
  </si>
  <si>
    <t>Unclassified</t>
  </si>
  <si>
    <t>UC</t>
  </si>
  <si>
    <t>Pending Review</t>
  </si>
  <si>
    <t>BRANCH CODE REFERENCE TABLE</t>
  </si>
  <si>
    <t>Branch_Name</t>
  </si>
  <si>
    <t>Branch_Code</t>
  </si>
  <si>
    <t>Manager</t>
  </si>
  <si>
    <t>BR-DL01</t>
  </si>
  <si>
    <t>Ananya Sharma</t>
  </si>
  <si>
    <t>BR-DL02</t>
  </si>
  <si>
    <t>Vikram Malhotra</t>
  </si>
  <si>
    <t>BR-NR01</t>
  </si>
  <si>
    <t>Priyanka Gupta</t>
  </si>
  <si>
    <t>BR-GR01</t>
  </si>
  <si>
    <t>Rahul Kapoor</t>
  </si>
  <si>
    <t>BR-CH01</t>
  </si>
  <si>
    <t>Deepak Nair</t>
  </si>
  <si>
    <t>BR-BL01</t>
  </si>
  <si>
    <t>Santhosh Rao</t>
  </si>
  <si>
    <t>BR-BL02</t>
  </si>
  <si>
    <t>Arvind Pillai</t>
  </si>
  <si>
    <t>BR-HY01</t>
  </si>
  <si>
    <t>BR-KC01</t>
  </si>
  <si>
    <t>Suresh Menon</t>
  </si>
  <si>
    <t>BR-KO01</t>
  </si>
  <si>
    <t>Debashis Das</t>
  </si>
  <si>
    <t>BR-KO02</t>
  </si>
  <si>
    <t>Puja Chatterjee</t>
  </si>
  <si>
    <t>BR-BH01</t>
  </si>
  <si>
    <t>Tapan Panda</t>
  </si>
  <si>
    <t>BR-PA01</t>
  </si>
  <si>
    <t>BR-GU01</t>
  </si>
  <si>
    <t>Rituparna Bora</t>
  </si>
  <si>
    <t>BR-MB01</t>
  </si>
  <si>
    <t>Nilesh Shah</t>
  </si>
  <si>
    <t>BR-MB02</t>
  </si>
  <si>
    <t>Kavita Joshi</t>
  </si>
  <si>
    <t>BR-PU01</t>
  </si>
  <si>
    <t>Sachin Deshpande</t>
  </si>
  <si>
    <t>BR-AH01</t>
  </si>
  <si>
    <t>Hetal Patel</t>
  </si>
  <si>
    <t>BR-SU01</t>
  </si>
  <si>
    <t>Jigar Mehta</t>
  </si>
  <si>
    <t>BR-IN01</t>
  </si>
  <si>
    <t>BR-BP01</t>
  </si>
  <si>
    <t>Suman Tiwari</t>
  </si>
  <si>
    <t>BR-NG01</t>
  </si>
  <si>
    <t>BR-RP01</t>
  </si>
  <si>
    <t>Priya Yadav</t>
  </si>
  <si>
    <t>BR-LK01</t>
  </si>
  <si>
    <t>Sandeep Saxena</t>
  </si>
  <si>
    <t>TASK WORKSPACE – Students will work here</t>
  </si>
  <si>
    <t>Use this sheet for calculated columns, classifications, and formulas.</t>
  </si>
  <si>
    <t>FinServe Lending Co. – Loan Portfolio Dashboard</t>
  </si>
  <si>
    <t>[ Pivot Chart 1: Loan Amount by Region ]</t>
  </si>
  <si>
    <t>[ Slicer: Region ]</t>
  </si>
  <si>
    <t>[ Pivot Chart 2: Risk Segmentation ]</t>
  </si>
  <si>
    <t>[ Slicer: Employment Type ]</t>
  </si>
  <si>
    <t>[ Pivot Chart 3: Repayment Status by Branch ]</t>
  </si>
  <si>
    <t>[ Timeline: Application_Date ]</t>
  </si>
  <si>
    <t>Vinod Rao</t>
  </si>
  <si>
    <t>Pooja Kulkarni</t>
  </si>
  <si>
    <t>Kiran Shah</t>
  </si>
  <si>
    <t>Ramesh Patel</t>
  </si>
  <si>
    <t>Mohan Tiwari</t>
  </si>
  <si>
    <t>Divya Yadav</t>
  </si>
  <si>
    <t>Nisha Pillai</t>
  </si>
  <si>
    <t>Pooja Shah</t>
  </si>
  <si>
    <t>Lakshmi Sharma</t>
  </si>
  <si>
    <t>Pooja Reddy</t>
  </si>
  <si>
    <t xml:space="preserve"> Days to Approval</t>
  </si>
  <si>
    <t>Loan Age in Months</t>
  </si>
  <si>
    <t>Maturity Date</t>
  </si>
  <si>
    <t>DTI Ratio</t>
  </si>
  <si>
    <t>Branch Manager</t>
  </si>
  <si>
    <t xml:space="preserve">Is_Matured </t>
  </si>
  <si>
    <t xml:space="preserve">DTI Flag </t>
  </si>
  <si>
    <t>2. Find and remove the duplicate Loan_ID records. Note how many duplicates you removed.</t>
  </si>
  <si>
    <t>3. The Customer_Name column has extra spaces at the start and end of some names. Use TRIM to fix this, then paste the cleaned values back into the column.</t>
  </si>
  <si>
    <t>4. Employment_Type has inconsistent casing — some entries are in all caps, others are all lowercase. Use PROPER to standardise them, then paste the values back.</t>
  </si>
  <si>
    <t>5. Loan_Purpose has hidden non-breaking space characters in some rows. Use a combination of TRIM, CLEAN, and SUBSTITUTE with CHAR(160) to remove them.</t>
  </si>
  <si>
    <t>6. Credit_Score has blank cells for some borrowers. Use an IF formula to fill these with the text Not Available, then paste the values back.</t>
  </si>
  <si>
    <t>16. Sort the data by Outstanding_Balance from largest to smallest. Which customer has the highest balance?</t>
  </si>
  <si>
    <t>17. Filter Repayment_Status to show only Defaulted loans. How many are there? Now add a second filter to show defaults from the North region only.</t>
  </si>
  <si>
    <t>20. Loan Exposure by Region: Total Loan_Amount and Outstanding_Balance per Region. Which region has the highest total exposure?</t>
  </si>
  <si>
    <t>Grand Total</t>
  </si>
  <si>
    <t>Sum of Loan_Amount</t>
  </si>
  <si>
    <t>Sum of Outstanding_Balance</t>
  </si>
  <si>
    <t>21. Risk Distribution: Count of loans and total Loan_Amount by Risk_Category. What percentage of the portfolio is High Risk or Very High Risk?</t>
  </si>
  <si>
    <t>Count of Loan_ID</t>
  </si>
  <si>
    <t>22. Repayment by Employment Type: Cross-tab of Employment_Type vs Repayment_Status with Count of Loan_ID as values. Which employment type has the most defaults?</t>
  </si>
  <si>
    <t>(blank)</t>
  </si>
  <si>
    <t>Repayment Status</t>
  </si>
  <si>
    <t>24. Monthly Trend: Use Application_Date in rows and group it by Month and Year. Show Count of Loan_ID and Sum of Loan_Amount. Filter to Approved loans only. Which month had the highest approvals?</t>
  </si>
  <si>
    <t>Jan</t>
  </si>
  <si>
    <t>Feb</t>
  </si>
  <si>
    <t>Mar</t>
  </si>
  <si>
    <t>Apr</t>
  </si>
  <si>
    <t>May</t>
  </si>
  <si>
    <t>Jun</t>
  </si>
  <si>
    <t>Jul</t>
  </si>
  <si>
    <t>Aug</t>
  </si>
  <si>
    <t>Sep</t>
  </si>
  <si>
    <t>Oct</t>
  </si>
  <si>
    <t>Nov</t>
  </si>
  <si>
    <t>Dec</t>
  </si>
  <si>
    <t>25. From the Region pivot — a Clustered Column chart showing total loan amount by region.</t>
  </si>
  <si>
    <t>26. From the Branch pivot — a horizontal Bar chart showing the top 10 branches by loan exposure.</t>
  </si>
  <si>
    <t>27. From the Monthly Trend pivot — a Line chart with markers showing how application volumes have moved month by month.</t>
  </si>
  <si>
    <t>28. From the Risk Distribution pivot — a Pie or Doughnut chart showing the percentage split by risk category.</t>
  </si>
  <si>
    <t>29. Chart Decision: You need to show Repayment Status by Region to management. Would you use a Clustered Column chart or a Stacked Bar chart? Build both, then write 2–3 sentences explaining which one you chose and why. There is no single right answer — the reasoning matters.</t>
  </si>
  <si>
    <t xml:space="preserve">I would choose the Stacked Bar Chart because management often wants to see both the total exposure per region and the repayment mix inside that exposure. </t>
  </si>
  <si>
    <t>The stacked format makes it easy to spot regions with high default proportions while still showing overall loan volumes.</t>
  </si>
  <si>
    <t>Bhopal-Mp Nagar</t>
  </si>
  <si>
    <t>Ahmedabad-Cg Road</t>
  </si>
  <si>
    <t>Gurgaon-Cybercity</t>
  </si>
  <si>
    <t>Kochi-Mg Road</t>
  </si>
  <si>
    <t>Defaulted loans=</t>
  </si>
  <si>
    <t>8. Branch has entries like delhi connaught and MUMBAI-ANDHERI instead of Delhi-Connaught. Use SUBSTITUTE and PROPER to standardise these, then paste back.</t>
  </si>
  <si>
    <t>7. Application_Date has two different date formats in the same column. Use Text to Columns to fix the non-standard entries so all dates are consistent.</t>
  </si>
  <si>
    <t xml:space="preserve"> </t>
  </si>
  <si>
    <t>23. Branch Drill-Down: Nest Branch under Region in the rows. Collapse all regions and expand one at a time. Double-click a branch total to see the underlying detail — this is pivot drill-down.</t>
  </si>
  <si>
    <t>Branch Drill-Down</t>
  </si>
  <si>
    <t>Emplyoment_Type</t>
  </si>
  <si>
    <t>Risk Distribution</t>
  </si>
  <si>
    <t xml:space="preserve">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</si>
</sst>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17" x14ac:knownFonts="1">
    <font>
      <sz val="11"/>
      <color theme="1"/>
      <name val="Calibri"/>
      <family val="2"/>
      <scheme val="minor"/>
    </font>
    <font>
      <b/>
      <sz val="11"/>
      <color rgb="FFFFFFFF"/>
      <name val="Calibri"/>
      <family val="2"/>
    </font>
    <font>
      <b/>
      <sz val="12"/>
      <color rgb="FFFFFFFF"/>
      <name val="Calibri"/>
      <family val="2"/>
    </font>
    <font>
      <b/>
      <sz val="11"/>
      <color rgb="FF000000"/>
      <name val="Calibri"/>
      <family val="2"/>
    </font>
    <font>
      <sz val="10"/>
      <name val="Calibri"/>
      <family val="2"/>
    </font>
    <font>
      <b/>
      <sz val="11"/>
      <name val="Calibri"/>
      <family val="2"/>
    </font>
    <font>
      <b/>
      <sz val="14"/>
      <color rgb="FFC00000"/>
      <name val="Calibri"/>
      <family val="2"/>
    </font>
    <font>
      <i/>
      <sz val="11"/>
      <name val="Calibri"/>
      <family val="2"/>
    </font>
    <font>
      <b/>
      <sz val="20"/>
      <color rgb="FFFFFFFF"/>
      <name val="Calibri"/>
      <family val="2"/>
    </font>
    <font>
      <i/>
      <sz val="11"/>
      <color rgb="FF808080"/>
      <name val="Calibri"/>
      <family val="2"/>
    </font>
    <font>
      <b/>
      <sz val="11"/>
      <color rgb="FFFFFFFF"/>
      <name val="Calibri"/>
      <family val="2"/>
    </font>
    <font>
      <b/>
      <sz val="12"/>
      <color theme="1"/>
      <name val="Calibri"/>
      <family val="2"/>
      <scheme val="minor"/>
    </font>
    <font>
      <b/>
      <sz val="11"/>
      <color rgb="FF00B050"/>
      <name val="Calibri"/>
      <family val="2"/>
      <scheme val="minor"/>
    </font>
    <font>
      <b/>
      <sz val="12"/>
      <color rgb="FF00B050"/>
      <name val="Calibri"/>
      <family val="2"/>
      <scheme val="minor"/>
    </font>
    <font>
      <sz val="14"/>
      <color theme="1"/>
      <name val="Calibri"/>
      <family val="2"/>
      <scheme val="minor"/>
    </font>
    <font>
      <sz val="12"/>
      <color theme="1"/>
      <name val="Calibri"/>
      <family val="2"/>
      <scheme val="minor"/>
    </font>
    <font>
      <b/>
      <sz val="12"/>
      <color rgb="FF92D050"/>
      <name val="Calibri"/>
      <family val="2"/>
      <scheme val="minor"/>
    </font>
  </fonts>
  <fills count="12">
    <fill>
      <patternFill patternType="none"/>
    </fill>
    <fill>
      <patternFill patternType="gray125"/>
    </fill>
    <fill>
      <patternFill patternType="solid">
        <fgColor rgb="FF1F3864"/>
      </patternFill>
    </fill>
    <fill>
      <patternFill patternType="solid">
        <fgColor rgb="FFEBF3FB"/>
      </patternFill>
    </fill>
    <fill>
      <patternFill patternType="solid">
        <fgColor rgb="FFC00000"/>
      </patternFill>
    </fill>
    <fill>
      <patternFill patternType="solid">
        <fgColor rgb="FFF4CCCC"/>
      </patternFill>
    </fill>
    <fill>
      <patternFill patternType="solid">
        <fgColor rgb="FFFFFFFF"/>
      </patternFill>
    </fill>
    <fill>
      <patternFill patternType="solid">
        <fgColor rgb="FFFFF2CC"/>
      </patternFill>
    </fill>
    <fill>
      <patternFill patternType="solid">
        <fgColor rgb="FF1F497D"/>
      </patternFill>
    </fill>
    <fill>
      <patternFill patternType="solid">
        <fgColor rgb="FFBDD7EE"/>
      </patternFill>
    </fill>
    <fill>
      <patternFill patternType="solid">
        <fgColor theme="4" tint="0.79998168889431442"/>
        <bgColor theme="4" tint="0.79998168889431442"/>
      </patternFill>
    </fill>
    <fill>
      <patternFill patternType="solid">
        <fgColor theme="0"/>
        <bgColor theme="4" tint="0.59999389629810485"/>
      </patternFill>
    </fill>
  </fills>
  <borders count="12">
    <border>
      <left/>
      <right/>
      <top/>
      <bottom/>
      <diagonal/>
    </border>
    <border>
      <left/>
      <right style="thin">
        <color rgb="FFB8CCE4"/>
      </right>
      <top/>
      <bottom style="thin">
        <color rgb="FFB8CCE4"/>
      </bottom>
      <diagonal/>
    </border>
    <border>
      <left/>
      <right/>
      <top/>
      <bottom style="thin">
        <color rgb="FFB8CCE4"/>
      </bottom>
      <diagonal/>
    </border>
    <border>
      <left/>
      <right style="thin">
        <color rgb="FFB8CCE4"/>
      </right>
      <top/>
      <bottom style="thin">
        <color rgb="FFB8CCE4"/>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rgb="FFB8CCE4"/>
      </right>
      <top style="thin">
        <color theme="0"/>
      </top>
      <bottom style="thin">
        <color rgb="FFB8CCE4"/>
      </bottom>
      <diagonal/>
    </border>
    <border>
      <left/>
      <right style="thin">
        <color theme="0"/>
      </right>
      <top/>
      <bottom style="thick">
        <color theme="0"/>
      </bottom>
      <diagonal/>
    </border>
    <border>
      <left style="thin">
        <color indexed="64"/>
      </left>
      <right style="thin">
        <color indexed="64"/>
      </right>
      <top style="thin">
        <color indexed="64"/>
      </top>
      <bottom style="thin">
        <color indexed="64"/>
      </bottom>
      <diagonal/>
    </border>
    <border>
      <left/>
      <right style="thin">
        <color rgb="FFB8CCE4"/>
      </right>
      <top/>
      <bottom/>
      <diagonal/>
    </border>
    <border>
      <left style="thin">
        <color theme="0"/>
      </left>
      <right/>
      <top/>
      <bottom/>
      <diagonal/>
    </border>
    <border>
      <left style="thin">
        <color theme="0"/>
      </left>
      <right style="thin">
        <color theme="0"/>
      </right>
      <top/>
      <bottom/>
      <diagonal/>
    </border>
  </borders>
  <cellStyleXfs count="1">
    <xf numFmtId="0" fontId="0" fillId="0" borderId="0"/>
  </cellStyleXfs>
  <cellXfs count="48">
    <xf numFmtId="0" fontId="0" fillId="0" borderId="0" xfId="0"/>
    <xf numFmtId="0" fontId="1" fillId="2" borderId="0" xfId="0" applyFont="1" applyFill="1" applyAlignment="1">
      <alignment horizontal="center" vertical="center" wrapText="1"/>
    </xf>
    <xf numFmtId="0" fontId="0" fillId="3" borderId="1" xfId="0" applyFill="1" applyBorder="1" applyAlignment="1">
      <alignment horizontal="left" vertical="center"/>
    </xf>
    <xf numFmtId="0" fontId="0" fillId="0" borderId="1" xfId="0" applyBorder="1" applyAlignment="1">
      <alignment horizontal="left" vertical="center"/>
    </xf>
    <xf numFmtId="0" fontId="3" fillId="5" borderId="1" xfId="0" applyFont="1" applyFill="1" applyBorder="1" applyAlignment="1">
      <alignment horizontal="left" vertical="center"/>
    </xf>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0" fontId="5" fillId="9" borderId="1" xfId="0" applyFont="1" applyFill="1" applyBorder="1" applyAlignment="1">
      <alignment horizontal="left" vertical="center"/>
    </xf>
    <xf numFmtId="0" fontId="4" fillId="3" borderId="1" xfId="0" applyFont="1" applyFill="1" applyBorder="1" applyAlignment="1">
      <alignment horizontal="left" vertical="center"/>
    </xf>
    <xf numFmtId="0" fontId="6" fillId="0" borderId="0" xfId="0" applyFont="1"/>
    <xf numFmtId="0" fontId="7" fillId="0" borderId="0" xfId="0" applyFont="1"/>
    <xf numFmtId="0" fontId="9" fillId="0" borderId="0" xfId="0" applyFont="1"/>
    <xf numFmtId="0" fontId="1" fillId="2" borderId="0" xfId="0" applyFont="1" applyFill="1" applyAlignment="1">
      <alignment horizontal="center" vertical="center"/>
    </xf>
    <xf numFmtId="14" fontId="0" fillId="0" borderId="0" xfId="0" applyNumberFormat="1"/>
    <xf numFmtId="0" fontId="10" fillId="2" borderId="4" xfId="0" applyFont="1" applyFill="1" applyBorder="1" applyAlignment="1">
      <alignment horizontal="center" vertical="center" wrapText="1"/>
    </xf>
    <xf numFmtId="0" fontId="0" fillId="0" borderId="0" xfId="0" applyAlignment="1">
      <alignment horizontal="left"/>
    </xf>
    <xf numFmtId="0" fontId="10" fillId="2" borderId="0" xfId="0" applyFont="1" applyFill="1" applyAlignment="1">
      <alignment horizontal="center" vertical="center" wrapText="1"/>
    </xf>
    <xf numFmtId="0" fontId="11" fillId="0" borderId="0" xfId="0" applyFont="1"/>
    <xf numFmtId="0" fontId="12" fillId="11" borderId="8" xfId="0" applyFont="1" applyFill="1" applyBorder="1" applyAlignment="1">
      <alignment horizontal="left" vertical="center"/>
    </xf>
    <xf numFmtId="0" fontId="0" fillId="3" borderId="6" xfId="0" applyFill="1" applyBorder="1" applyAlignment="1">
      <alignment horizontal="left" vertical="center"/>
    </xf>
    <xf numFmtId="0" fontId="0" fillId="10" borderId="6" xfId="0" applyFill="1" applyBorder="1" applyAlignment="1">
      <alignment horizontal="left" vertical="center"/>
    </xf>
    <xf numFmtId="0" fontId="13" fillId="0" borderId="0" xfId="0" applyFont="1"/>
    <xf numFmtId="0" fontId="10" fillId="2" borderId="7" xfId="0" applyFont="1" applyFill="1" applyBorder="1" applyAlignment="1">
      <alignment horizontal="center" vertical="center"/>
    </xf>
    <xf numFmtId="0" fontId="10" fillId="2" borderId="5" xfId="0" applyFont="1" applyFill="1" applyBorder="1" applyAlignment="1">
      <alignment horizontal="center" vertical="center" wrapText="1"/>
    </xf>
    <xf numFmtId="0" fontId="0" fillId="0" borderId="0" xfId="0" pivotButton="1"/>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10" fontId="0" fillId="0" borderId="0" xfId="0" applyNumberFormat="1"/>
    <xf numFmtId="0" fontId="14" fillId="0" borderId="0" xfId="0" applyFont="1"/>
    <xf numFmtId="164" fontId="0" fillId="0" borderId="1" xfId="0" applyNumberFormat="1" applyBorder="1" applyAlignment="1">
      <alignment horizontal="left" vertical="center"/>
    </xf>
    <xf numFmtId="164" fontId="0" fillId="3" borderId="1" xfId="0" applyNumberFormat="1" applyFill="1" applyBorder="1" applyAlignment="1">
      <alignment horizontal="left" vertical="center"/>
    </xf>
    <xf numFmtId="164" fontId="0" fillId="0" borderId="0" xfId="0" applyNumberFormat="1" applyAlignment="1">
      <alignment horizontal="left"/>
    </xf>
    <xf numFmtId="0" fontId="10" fillId="2" borderId="10" xfId="0" applyFont="1" applyFill="1" applyBorder="1" applyAlignment="1">
      <alignment horizontal="left" vertical="center" wrapText="1"/>
    </xf>
    <xf numFmtId="2" fontId="0" fillId="0" borderId="0" xfId="0" applyNumberFormat="1" applyAlignment="1">
      <alignment horizontal="left"/>
    </xf>
    <xf numFmtId="0" fontId="0" fillId="0" borderId="0" xfId="0" applyAlignment="1">
      <alignment horizontal="left" indent="1"/>
    </xf>
    <xf numFmtId="0" fontId="15" fillId="0" borderId="0" xfId="0" applyFont="1"/>
    <xf numFmtId="0" fontId="13" fillId="0" borderId="0" xfId="0" applyFont="1" applyAlignment="1">
      <alignment horizontal="left"/>
    </xf>
    <xf numFmtId="0" fontId="11" fillId="0" borderId="0" xfId="0" applyFont="1" applyAlignment="1">
      <alignment horizontal="right"/>
    </xf>
    <xf numFmtId="0" fontId="0" fillId="0" borderId="9" xfId="0" applyBorder="1" applyAlignment="1">
      <alignment horizontal="left" vertical="center"/>
    </xf>
    <xf numFmtId="0" fontId="16" fillId="0" borderId="0" xfId="0" applyFont="1"/>
    <xf numFmtId="0" fontId="16" fillId="0" borderId="0" xfId="0" applyFont="1" applyAlignment="1">
      <alignment horizontal="left"/>
    </xf>
    <xf numFmtId="10" fontId="16" fillId="0" borderId="0" xfId="0" applyNumberFormat="1" applyFont="1"/>
    <xf numFmtId="1" fontId="0" fillId="0" borderId="0" xfId="0" applyNumberFormat="1"/>
    <xf numFmtId="0" fontId="2" fillId="4" borderId="1" xfId="0" applyFont="1" applyFill="1" applyBorder="1" applyAlignment="1">
      <alignment horizontal="left" vertical="center"/>
    </xf>
    <xf numFmtId="0" fontId="0" fillId="0" borderId="2" xfId="0" applyBorder="1"/>
    <xf numFmtId="0" fontId="0" fillId="0" borderId="3" xfId="0" applyBorder="1"/>
    <xf numFmtId="0" fontId="2" fillId="8" borderId="1" xfId="0" applyFont="1" applyFill="1" applyBorder="1" applyAlignment="1">
      <alignment horizontal="left" vertical="center"/>
    </xf>
    <xf numFmtId="0" fontId="8" fillId="2" borderId="0" xfId="0" applyFont="1" applyFill="1" applyAlignment="1">
      <alignment horizontal="center" vertical="center"/>
    </xf>
  </cellXfs>
  <cellStyles count="1">
    <cellStyle name="Normal" xfId="0" builtinId="0"/>
  </cellStyles>
  <dxfs count="28">
    <dxf>
      <font>
        <b/>
        <i val="0"/>
        <color theme="0"/>
      </font>
      <fill>
        <patternFill>
          <bgColor rgb="FFC00000"/>
        </patternFill>
      </fill>
    </dxf>
    <dxf>
      <font>
        <b/>
        <i val="0"/>
        <color theme="0"/>
      </font>
      <fill>
        <patternFill>
          <bgColor theme="9"/>
        </patternFill>
      </fill>
    </dxf>
    <dxf>
      <font>
        <b/>
        <i val="0"/>
        <color theme="1"/>
      </font>
      <fill>
        <patternFill>
          <bgColor rgb="FFFFFF00"/>
        </patternFill>
      </fill>
    </dxf>
    <dxf>
      <font>
        <b/>
        <i val="0"/>
        <color theme="0"/>
      </font>
      <fill>
        <patternFill>
          <bgColor rgb="FF92D050"/>
        </patternFill>
      </fill>
    </dxf>
    <dxf>
      <numFmt numFmtId="1" formatCode="0"/>
    </dxf>
    <dxf>
      <numFmt numFmtId="0" formatCode="General"/>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numFmt numFmtId="164" formatCode="[$-14009]yyyy/mm/dd;@"/>
      <fill>
        <patternFill patternType="solid">
          <fgColor indexed="64"/>
          <bgColor rgb="FFEBF3FB"/>
        </patternFill>
      </fill>
      <alignment horizontal="left" vertical="center" textRotation="0" wrapText="0" indent="0" justifyLastLine="0" shrinkToFit="0" readingOrder="0"/>
      <border diagonalUp="0" diagonalDown="0">
        <left style="thin">
          <color rgb="FFB8CCE4"/>
        </left>
        <right style="thin">
          <color rgb="FFB8CCE4"/>
        </right>
        <top/>
        <bottom style="thin">
          <color rgb="FFB8CCE4"/>
        </bottom>
      </border>
    </dxf>
    <dxf>
      <numFmt numFmtId="164" formatCode="[$-14009]yyyy/mm/dd;@"/>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border>
    </dxf>
    <dxf>
      <fill>
        <patternFill patternType="solid">
          <fgColor indexed="64"/>
          <bgColor rgb="FFEBF3FB"/>
        </patternFill>
      </fill>
      <alignment horizontal="left" vertical="center" textRotation="0" wrapText="0" indent="0" justifyLastLine="0" shrinkToFit="0" readingOrder="0"/>
      <border diagonalUp="0" diagonalDown="0" outline="0">
        <left/>
        <right/>
        <top/>
        <bottom style="thin">
          <color rgb="FFB8CCE4"/>
        </bottom>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fill>
        <patternFill patternType="solid">
          <fgColor indexed="64"/>
          <bgColor rgb="FFEBF3FB"/>
        </patternFill>
      </fill>
      <alignment horizontal="left" vertical="center" textRotation="0" wrapText="0" indent="0" justifyLastLine="0" shrinkToFit="0" readingOrder="0"/>
      <border diagonalUp="0" diagonalDown="0">
        <left/>
        <right style="thin">
          <color rgb="FFB8CCE4"/>
        </right>
        <top/>
        <bottom style="thin">
          <color rgb="FFB8CCE4"/>
        </bottom>
        <vertical/>
        <horizontal/>
      </border>
    </dxf>
    <dxf>
      <border outline="0">
        <bottom style="thin">
          <color rgb="FFB8CCE4"/>
        </bottom>
      </border>
    </dxf>
    <dxf>
      <fill>
        <patternFill patternType="solid">
          <fgColor indexed="64"/>
          <bgColor rgb="FFEBF3FB"/>
        </patternFill>
      </fill>
      <alignment horizontal="left" vertical="center"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3864"/>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11/relationships/timelineCache" Target="timelineCaches/timeline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[FinServe_Loan_Portfolio_Dataset_GG.xlsx]Charts!PivotTable10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Loan Amount</a:t>
            </a:r>
            <a:r>
              <a:rPr lang="en-IN" baseline="0"/>
              <a:t> by Region</a:t>
            </a:r>
          </a:p>
          <a:p>
            <a:pPr>
              <a:defRPr/>
            </a:pPr>
            <a:endParaRPr lang="en-IN"/>
          </a:p>
        </c:rich>
      </c:tx>
      <c:layout>
        <c:manualLayout>
          <c:xMode val="edge"/>
          <c:yMode val="edge"/>
          <c:x val="0.2982637795275590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9405074365"/>
          <c:y val="0.17212962962962963"/>
          <c:w val="0.81419685039370082"/>
          <c:h val="0.72047098279381727"/>
        </c:manualLayout>
      </c:layout>
      <c:barChart>
        <c:barDir val="col"/>
        <c:grouping val="clustered"/>
        <c:varyColors val="0"/>
        <c:ser>
          <c:idx val="0"/>
          <c:order val="0"/>
          <c:tx>
            <c:strRef>
              <c:f>Charts!$C$4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Charts!$B$5:$B$10</c:f>
              <c:strCache>
                <c:ptCount val="5"/>
                <c:pt idx="0">
                  <c:v>Central</c:v>
                </c:pt>
                <c:pt idx="1">
                  <c:v>East</c:v>
                </c:pt>
                <c:pt idx="2">
                  <c:v>North</c:v>
                </c:pt>
                <c:pt idx="3">
                  <c:v>South</c:v>
                </c:pt>
                <c:pt idx="4">
                  <c:v>West</c:v>
                </c:pt>
              </c:strCache>
            </c:strRef>
          </c:cat>
          <c:val>
            <c:numRef>
              <c:f>Charts!$C$5:$C$10</c:f>
              <c:numCache>
                <c:formatCode>General</c:formatCode>
                <c:ptCount val="5"/>
                <c:pt idx="0">
                  <c:v>123625000</c:v>
                </c:pt>
                <c:pt idx="1">
                  <c:v>139425000</c:v>
                </c:pt>
                <c:pt idx="2">
                  <c:v>137400000</c:v>
                </c:pt>
                <c:pt idx="3">
                  <c:v>145300000</c:v>
                </c:pt>
                <c:pt idx="4">
                  <c:v>148725000</c:v>
                </c:pt>
              </c:numCache>
            </c:numRef>
          </c:val>
          <c:extLst>
            <c:ext xmlns:c16="http://schemas.microsoft.com/office/drawing/2014/chart" uri="{C3380CC4-5D6E-409C-BE32-E72D297353CC}">
              <c16:uniqueId val="{00000000-A69F-41BB-9F40-42CAB09F6B99}"/>
            </c:ext>
          </c:extLst>
        </c:ser>
        <c:dLbls>
          <c:dLblPos val="outEnd"/>
          <c:showLegendKey val="0"/>
          <c:showVal val="1"/>
          <c:showCatName val="0"/>
          <c:showSerName val="0"/>
          <c:showPercent val="0"/>
          <c:showBubbleSize val="0"/>
        </c:dLbls>
        <c:gapWidth val="219"/>
        <c:overlap val="-27"/>
        <c:axId val="1880943631"/>
        <c:axId val="1456074895"/>
      </c:barChart>
      <c:catAx>
        <c:axId val="18809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074895"/>
        <c:crosses val="autoZero"/>
        <c:auto val="1"/>
        <c:lblAlgn val="ctr"/>
        <c:lblOffset val="100"/>
        <c:noMultiLvlLbl val="0"/>
      </c:catAx>
      <c:valAx>
        <c:axId val="1456074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94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[FinServe_Loan_Portfolio_Dataset_GG.xlsx]Charts!PivotTable11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branches by loan exposure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81802274715662"/>
          <c:y val="0.15361111111111111"/>
          <c:w val="0.64612221549229421"/>
          <c:h val="0.73898950131233587"/>
        </c:manualLayout>
      </c:layout>
      <c:barChart>
        <c:barDir val="bar"/>
        <c:grouping val="clustered"/>
        <c:varyColors val="0"/>
        <c:ser>
          <c:idx val="0"/>
          <c:order val="0"/>
          <c:tx>
            <c:strRef>
              <c:f>Charts!$C$20</c:f>
              <c:strCache>
                <c:ptCount val="1"/>
                <c:pt idx="0">
                  <c:v>Total</c:v>
                </c:pt>
              </c:strCache>
            </c:strRef>
          </c:tx>
          <c:spPr>
            <a:solidFill>
              <a:schemeClr val="accent1"/>
            </a:solidFill>
            <a:ln>
              <a:noFill/>
            </a:ln>
            <a:effectLst/>
          </c:spPr>
          <c:invertIfNegative val="0"/>
          <c:cat>
            <c:strRef>
              <c:f>Charts!$B$21:$B$31</c:f>
              <c:strCache>
                <c:ptCount val="10"/>
                <c:pt idx="0">
                  <c:v>Ahmedabad-Cg Road</c:v>
                </c:pt>
                <c:pt idx="1">
                  <c:v>Bangalore-Koramangala</c:v>
                </c:pt>
                <c:pt idx="2">
                  <c:v>Bangalore-Whitefield</c:v>
                </c:pt>
                <c:pt idx="3">
                  <c:v>Chandigarh-Main</c:v>
                </c:pt>
                <c:pt idx="4">
                  <c:v>Gurgaon-Cybercity</c:v>
                </c:pt>
                <c:pt idx="5">
                  <c:v>Hyderabad-Hitech</c:v>
                </c:pt>
                <c:pt idx="6">
                  <c:v>Kolkata-Salt Lake</c:v>
                </c:pt>
                <c:pt idx="7">
                  <c:v>Patna-Boring Road</c:v>
                </c:pt>
                <c:pt idx="8">
                  <c:v>Pune-Shivajinagar</c:v>
                </c:pt>
                <c:pt idx="9">
                  <c:v>Raipur-Main</c:v>
                </c:pt>
              </c:strCache>
            </c:strRef>
          </c:cat>
          <c:val>
            <c:numRef>
              <c:f>Charts!$C$21:$C$31</c:f>
              <c:numCache>
                <c:formatCode>General</c:formatCode>
                <c:ptCount val="10"/>
                <c:pt idx="0">
                  <c:v>32825000</c:v>
                </c:pt>
                <c:pt idx="1">
                  <c:v>34975000</c:v>
                </c:pt>
                <c:pt idx="2">
                  <c:v>31850000</c:v>
                </c:pt>
                <c:pt idx="3">
                  <c:v>32975000</c:v>
                </c:pt>
                <c:pt idx="4">
                  <c:v>29350000</c:v>
                </c:pt>
                <c:pt idx="5">
                  <c:v>33025000</c:v>
                </c:pt>
                <c:pt idx="6">
                  <c:v>42325000</c:v>
                </c:pt>
                <c:pt idx="7">
                  <c:v>33125000</c:v>
                </c:pt>
                <c:pt idx="8">
                  <c:v>38800000</c:v>
                </c:pt>
                <c:pt idx="9">
                  <c:v>30025000</c:v>
                </c:pt>
              </c:numCache>
            </c:numRef>
          </c:val>
          <c:extLst>
            <c:ext xmlns:c16="http://schemas.microsoft.com/office/drawing/2014/chart" uri="{C3380CC4-5D6E-409C-BE32-E72D297353CC}">
              <c16:uniqueId val="{00000000-4F0E-455C-A703-E1EA85195FB6}"/>
            </c:ext>
          </c:extLst>
        </c:ser>
        <c:dLbls>
          <c:showLegendKey val="0"/>
          <c:showVal val="0"/>
          <c:showCatName val="0"/>
          <c:showSerName val="0"/>
          <c:showPercent val="0"/>
          <c:showBubbleSize val="0"/>
        </c:dLbls>
        <c:gapWidth val="182"/>
        <c:axId val="1880787727"/>
        <c:axId val="1847377999"/>
      </c:barChart>
      <c:catAx>
        <c:axId val="188078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377999"/>
        <c:crosses val="autoZero"/>
        <c:auto val="1"/>
        <c:lblAlgn val="ctr"/>
        <c:lblOffset val="100"/>
        <c:noMultiLvlLbl val="0"/>
      </c:catAx>
      <c:valAx>
        <c:axId val="1847377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78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[FinServe_Loan_Portfolio_Dataset_GG.xlsx]Pivot_Analysis!PivotTable9</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Pivot_Analysis!$C$57</c:f>
              <c:strCache>
                <c:ptCount val="1"/>
                <c:pt idx="0">
                  <c:v>Count of Loan_ID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Pivot_Analysis!$B$58:$B$70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Pivot_Analysis!$C$58:$C$70</c:f>
              <c:numCache>
                <c:formatCode>General</c:formatCode>
                <c:ptCount val="12"/>
                <c:pt idx="0">
                  <c:v>71</c:v>
                </c:pt>
                <c:pt idx="1">
                  <c:v>72</c:v>
                </c:pt>
                <c:pt idx="2">
                  <c:v>59</c:v>
                </c:pt>
                <c:pt idx="3">
                  <c:v>68</c:v>
                </c:pt>
                <c:pt idx="4">
                  <c:v>87</c:v>
                </c:pt>
                <c:pt idx="5">
                  <c:v>63</c:v>
                </c:pt>
                <c:pt idx="6">
                  <c:v>70</c:v>
                </c:pt>
                <c:pt idx="7">
                  <c:v>85</c:v>
                </c:pt>
                <c:pt idx="8">
                  <c:v>60</c:v>
                </c:pt>
                <c:pt idx="9">
                  <c:v>73</c:v>
                </c:pt>
                <c:pt idx="10">
                  <c:v>75</c:v>
                </c:pt>
                <c:pt idx="11">
                  <c:v>78</c:v>
                </c:pt>
              </c:numCache>
            </c:numRef>
          </c:val>
          <c:smooth val="0"/>
          <c:extLst>
            <c:ext xmlns:c16="http://schemas.microsoft.com/office/drawing/2014/chart" uri="{C3380CC4-5D6E-409C-BE32-E72D297353CC}">
              <c16:uniqueId val="{00000000-BB02-4308-A965-0AD97D16CE03}"/>
            </c:ext>
          </c:extLst>
        </c:ser>
        <c:ser>
          <c:idx val="1"/>
          <c:order val="1"/>
          <c:tx>
            <c:strRef>
              <c:f>Pivot_Analysis!$D$57</c:f>
              <c:strCache>
                <c:ptCount val="1"/>
                <c:pt idx="0">
                  <c:v>Sum of Loan_Amount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Pivot_Analysis!$B$58:$B$70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Pivot_Analysis!$D$58:$D$70</c:f>
              <c:numCache>
                <c:formatCode>General</c:formatCode>
                <c:ptCount val="12"/>
                <c:pt idx="0">
                  <c:v>43300000</c:v>
                </c:pt>
                <c:pt idx="1">
                  <c:v>36100000</c:v>
                </c:pt>
                <c:pt idx="2">
                  <c:v>32325000</c:v>
                </c:pt>
                <c:pt idx="3">
                  <c:v>45075000</c:v>
                </c:pt>
                <c:pt idx="4">
                  <c:v>45050000</c:v>
                </c:pt>
                <c:pt idx="5">
                  <c:v>36000000</c:v>
                </c:pt>
                <c:pt idx="6">
                  <c:v>44575000</c:v>
                </c:pt>
                <c:pt idx="7">
                  <c:v>64800000</c:v>
                </c:pt>
                <c:pt idx="8">
                  <c:v>38275000</c:v>
                </c:pt>
                <c:pt idx="9">
                  <c:v>42550000</c:v>
                </c:pt>
                <c:pt idx="10">
                  <c:v>49200000</c:v>
                </c:pt>
                <c:pt idx="11">
                  <c:v>42200000</c:v>
                </c:pt>
              </c:numCache>
            </c:numRef>
          </c:val>
          <c:smooth val="0"/>
          <c:extLst>
            <c:ext xmlns:c16="http://schemas.microsoft.com/office/drawing/2014/chart" uri="{C3380CC4-5D6E-409C-BE32-E72D297353CC}">
              <c16:uniqueId val="{00000001-BB02-4308-A965-0AD97D16CE03}"/>
            </c:ext>
          </c:extLst>
        </c:ser>
        <c:dLbls>
          <c:showLegendKey val="0"/>
          <c:showVal val="0"/>
          <c:showCatName val="0"/>
          <c:showSerName val="0"/>
          <c:showPercent val="0"/>
          <c:showBubbleSize val="0"/>
        </c:dLbls>
        <c:marker val="1"/>
        <c:smooth val="0"/>
        <c:axId val="1862457679"/>
        <c:axId val="1847544559"/>
      </c:lineChart>
      <c:catAx>
        <c:axId val="186245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544559"/>
        <c:crosses val="autoZero"/>
        <c:auto val="1"/>
        <c:lblAlgn val="ctr"/>
        <c:lblOffset val="100"/>
        <c:noMultiLvlLbl val="0"/>
      </c:catAx>
      <c:valAx>
        <c:axId val="184754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45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[FinServe_Loan_Portfolio_Dataset_GG.xlsx]Charts!PivotTable12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Risk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Charts!$C$58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AB-444C-B8E6-DCB8E74762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AB-444C-B8E6-DCB8E74762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AB-444C-B8E6-DCB8E74762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AB-444C-B8E6-DCB8E74762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9AB-444C-B8E6-DCB8E74762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Charts!$B$59:$B$64</c:f>
              <c:strCache>
                <c:ptCount val="5"/>
                <c:pt idx="0">
                  <c:v>High Risk</c:v>
                </c:pt>
                <c:pt idx="1">
                  <c:v>Low Risk</c:v>
                </c:pt>
                <c:pt idx="2">
                  <c:v>Medium Risk</c:v>
                </c:pt>
                <c:pt idx="3">
                  <c:v>Unclassified</c:v>
                </c:pt>
                <c:pt idx="4">
                  <c:v>Very High Risk</c:v>
                </c:pt>
              </c:strCache>
            </c:strRef>
          </c:cat>
          <c:val>
            <c:numRef>
              <c:f>Charts!$C$59:$C$64</c:f>
              <c:numCache>
                <c:formatCode>0.00%</c:formatCode>
                <c:ptCount val="5"/>
                <c:pt idx="0">
                  <c:v>0.15425321285863422</c:v>
                </c:pt>
                <c:pt idx="1">
                  <c:v>0.25382483170740489</c:v>
                </c:pt>
                <c:pt idx="2">
                  <c:v>0.15342524928903128</c:v>
                </c:pt>
                <c:pt idx="3">
                  <c:v>3.3190539616256884E-2</c:v>
                </c:pt>
                <c:pt idx="4">
                  <c:v>0.40530616652867274</c:v>
                </c:pt>
              </c:numCache>
            </c:numRef>
          </c:val>
          <c:extLst>
            <c:ext xmlns:c16="http://schemas.microsoft.com/office/drawing/2014/chart" uri="{C3380CC4-5D6E-409C-BE32-E72D297353CC}">
              <c16:uniqueId val="{0000000A-0733-42C6-9FB7-2E3CC9366D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[FinServe_Loan_Portfolio_Dataset_GG.xlsx]Charts!PivotTable12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Risk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Charts!$C$58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40-4476-BE98-23592F8C34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40-4476-BE98-23592F8C34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40-4476-BE98-23592F8C34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40-4476-BE98-23592F8C349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40-4476-BE98-23592F8C34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Charts!$B$59:$B$64</c:f>
              <c:strCache>
                <c:ptCount val="5"/>
                <c:pt idx="0">
                  <c:v>High Risk</c:v>
                </c:pt>
                <c:pt idx="1">
                  <c:v>Low Risk</c:v>
                </c:pt>
                <c:pt idx="2">
                  <c:v>Medium Risk</c:v>
                </c:pt>
                <c:pt idx="3">
                  <c:v>Unclassified</c:v>
                </c:pt>
                <c:pt idx="4">
                  <c:v>Very High Risk</c:v>
                </c:pt>
              </c:strCache>
            </c:strRef>
          </c:cat>
          <c:val>
            <c:numRef>
              <c:f>Charts!$C$59:$C$64</c:f>
              <c:numCache>
                <c:formatCode>0.00%</c:formatCode>
                <c:ptCount val="5"/>
                <c:pt idx="0">
                  <c:v>0.15425321285863422</c:v>
                </c:pt>
                <c:pt idx="1">
                  <c:v>0.25382483170740489</c:v>
                </c:pt>
                <c:pt idx="2">
                  <c:v>0.15342524928903128</c:v>
                </c:pt>
                <c:pt idx="3">
                  <c:v>3.3190539616256884E-2</c:v>
                </c:pt>
                <c:pt idx="4">
                  <c:v>0.40530616652867274</c:v>
                </c:pt>
              </c:numCache>
            </c:numRef>
          </c:val>
          <c:extLst>
            <c:ext xmlns:c16="http://schemas.microsoft.com/office/drawing/2014/chart" uri="{C3380CC4-5D6E-409C-BE32-E72D297353CC}">
              <c16:uniqueId val="{0000000A-06CB-4C3D-B378-AAFCCC1099C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[FinServe_Loan_Portfolio_Dataset_GG.xlsx]Charts!PivotTable13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Charts!$C$76:$C$77</c:f>
              <c:strCache>
                <c:ptCount val="1"/>
                <c:pt idx="0">
                  <c:v>Closed</c:v>
                </c:pt>
              </c:strCache>
            </c:strRef>
          </c:tx>
          <c:spPr>
            <a:solidFill>
              <a:schemeClr val="accent1"/>
            </a:solidFill>
            <a:ln>
              <a:noFill/>
            </a:ln>
            <a:effectLst/>
          </c:spPr>
          <c:invertIfNegative val="0"/>
          <c:cat>
            <c:strRef>
              <c:f>Charts!$B$78:$B$83</c:f>
              <c:strCache>
                <c:ptCount val="5"/>
                <c:pt idx="0">
                  <c:v>Central</c:v>
                </c:pt>
                <c:pt idx="1">
                  <c:v>East</c:v>
                </c:pt>
                <c:pt idx="2">
                  <c:v>North</c:v>
                </c:pt>
                <c:pt idx="3">
                  <c:v>South</c:v>
                </c:pt>
                <c:pt idx="4">
                  <c:v>West</c:v>
                </c:pt>
              </c:strCache>
            </c:strRef>
          </c:cat>
          <c:val>
            <c:numRef>
              <c:f>Charts!$C$78:$C$83</c:f>
              <c:numCache>
                <c:formatCode>General</c:formatCode>
                <c:ptCount val="5"/>
                <c:pt idx="0">
                  <c:v>29</c:v>
                </c:pt>
                <c:pt idx="1">
                  <c:v>33</c:v>
                </c:pt>
                <c:pt idx="2">
                  <c:v>25</c:v>
                </c:pt>
                <c:pt idx="3">
                  <c:v>38</c:v>
                </c:pt>
                <c:pt idx="4">
                  <c:v>28</c:v>
                </c:pt>
              </c:numCache>
            </c:numRef>
          </c:val>
          <c:extLst>
            <c:ext xmlns:c16="http://schemas.microsoft.com/office/drawing/2014/chart" uri="{C3380CC4-5D6E-409C-BE32-E72D297353CC}">
              <c16:uniqueId val="{00000000-B035-4AF0-848F-1E5A91504CF2}"/>
            </c:ext>
          </c:extLst>
        </c:ser>
        <c:ser>
          <c:idx val="1"/>
          <c:order val="1"/>
          <c:tx>
            <c:strRef>
              <c:f>Charts!$D$76:$D$77</c:f>
              <c:strCache>
                <c:ptCount val="1"/>
                <c:pt idx="0">
                  <c:v>Defaulted</c:v>
                </c:pt>
              </c:strCache>
            </c:strRef>
          </c:tx>
          <c:spPr>
            <a:solidFill>
              <a:schemeClr val="accent2"/>
            </a:solidFill>
            <a:ln>
              <a:noFill/>
            </a:ln>
            <a:effectLst/>
          </c:spPr>
          <c:invertIfNegative val="0"/>
          <c:cat>
            <c:strRef>
              <c:f>Charts!$B$78:$B$83</c:f>
              <c:strCache>
                <c:ptCount val="5"/>
                <c:pt idx="0">
                  <c:v>Central</c:v>
                </c:pt>
                <c:pt idx="1">
                  <c:v>East</c:v>
                </c:pt>
                <c:pt idx="2">
                  <c:v>North</c:v>
                </c:pt>
                <c:pt idx="3">
                  <c:v>South</c:v>
                </c:pt>
                <c:pt idx="4">
                  <c:v>West</c:v>
                </c:pt>
              </c:strCache>
            </c:strRef>
          </c:cat>
          <c:val>
            <c:numRef>
              <c:f>Charts!$D$78:$D$83</c:f>
              <c:numCache>
                <c:formatCode>General</c:formatCode>
                <c:ptCount val="5"/>
                <c:pt idx="0">
                  <c:v>18</c:v>
                </c:pt>
                <c:pt idx="1">
                  <c:v>19</c:v>
                </c:pt>
                <c:pt idx="2">
                  <c:v>24</c:v>
                </c:pt>
                <c:pt idx="3">
                  <c:v>21</c:v>
                </c:pt>
                <c:pt idx="4">
                  <c:v>30</c:v>
                </c:pt>
              </c:numCache>
            </c:numRef>
          </c:val>
          <c:extLst>
            <c:ext xmlns:c16="http://schemas.microsoft.com/office/drawing/2014/chart" uri="{C3380CC4-5D6E-409C-BE32-E72D297353CC}">
              <c16:uniqueId val="{0000000C-B035-4AF0-848F-1E5A91504CF2}"/>
            </c:ext>
          </c:extLst>
        </c:ser>
        <c:ser>
          <c:idx val="2"/>
          <c:order val="2"/>
          <c:tx>
            <c:strRef>
              <c:f>Charts!$E$76:$E$77</c:f>
              <c:strCache>
                <c:ptCount val="1"/>
                <c:pt idx="0">
                  <c:v>Grace Period</c:v>
                </c:pt>
              </c:strCache>
            </c:strRef>
          </c:tx>
          <c:spPr>
            <a:solidFill>
              <a:schemeClr val="accent3"/>
            </a:solidFill>
            <a:ln>
              <a:noFill/>
            </a:ln>
            <a:effectLst/>
          </c:spPr>
          <c:invertIfNegative val="0"/>
          <c:cat>
            <c:strRef>
              <c:f>Charts!$B$78:$B$83</c:f>
              <c:strCache>
                <c:ptCount val="5"/>
                <c:pt idx="0">
                  <c:v>Central</c:v>
                </c:pt>
                <c:pt idx="1">
                  <c:v>East</c:v>
                </c:pt>
                <c:pt idx="2">
                  <c:v>North</c:v>
                </c:pt>
                <c:pt idx="3">
                  <c:v>South</c:v>
                </c:pt>
                <c:pt idx="4">
                  <c:v>West</c:v>
                </c:pt>
              </c:strCache>
            </c:strRef>
          </c:cat>
          <c:val>
            <c:numRef>
              <c:f>Charts!$E$78:$E$83</c:f>
              <c:numCache>
                <c:formatCode>General</c:formatCode>
                <c:ptCount val="5"/>
                <c:pt idx="0">
                  <c:v>14</c:v>
                </c:pt>
                <c:pt idx="1">
                  <c:v>4</c:v>
                </c:pt>
                <c:pt idx="2">
                  <c:v>6</c:v>
                </c:pt>
                <c:pt idx="3">
                  <c:v>9</c:v>
                </c:pt>
                <c:pt idx="4">
                  <c:v>10</c:v>
                </c:pt>
              </c:numCache>
            </c:numRef>
          </c:val>
          <c:extLst>
            <c:ext xmlns:c16="http://schemas.microsoft.com/office/drawing/2014/chart" uri="{C3380CC4-5D6E-409C-BE32-E72D297353CC}">
              <c16:uniqueId val="{0000000D-B035-4AF0-848F-1E5A91504CF2}"/>
            </c:ext>
          </c:extLst>
        </c:ser>
        <c:ser>
          <c:idx val="3"/>
          <c:order val="3"/>
          <c:tx>
            <c:strRef>
              <c:f>Charts!$F$76:$F$77</c:f>
              <c:strCache>
                <c:ptCount val="1"/>
                <c:pt idx="0">
                  <c:v>Late</c:v>
                </c:pt>
              </c:strCache>
            </c:strRef>
          </c:tx>
          <c:spPr>
            <a:solidFill>
              <a:schemeClr val="accent4"/>
            </a:solidFill>
            <a:ln>
              <a:noFill/>
            </a:ln>
            <a:effectLst/>
          </c:spPr>
          <c:invertIfNegative val="0"/>
          <c:cat>
            <c:strRef>
              <c:f>Charts!$B$78:$B$83</c:f>
              <c:strCache>
                <c:ptCount val="5"/>
                <c:pt idx="0">
                  <c:v>Central</c:v>
                </c:pt>
                <c:pt idx="1">
                  <c:v>East</c:v>
                </c:pt>
                <c:pt idx="2">
                  <c:v>North</c:v>
                </c:pt>
                <c:pt idx="3">
                  <c:v>South</c:v>
                </c:pt>
                <c:pt idx="4">
                  <c:v>West</c:v>
                </c:pt>
              </c:strCache>
            </c:strRef>
          </c:cat>
          <c:val>
            <c:numRef>
              <c:f>Charts!$F$78:$F$83</c:f>
              <c:numCache>
                <c:formatCode>General</c:formatCode>
                <c:ptCount val="5"/>
                <c:pt idx="0">
                  <c:v>53</c:v>
                </c:pt>
                <c:pt idx="1">
                  <c:v>56</c:v>
                </c:pt>
                <c:pt idx="2">
                  <c:v>50</c:v>
                </c:pt>
                <c:pt idx="3">
                  <c:v>63</c:v>
                </c:pt>
                <c:pt idx="4">
                  <c:v>55</c:v>
                </c:pt>
              </c:numCache>
            </c:numRef>
          </c:val>
          <c:extLst>
            <c:ext xmlns:c16="http://schemas.microsoft.com/office/drawing/2014/chart" uri="{C3380CC4-5D6E-409C-BE32-E72D297353CC}">
              <c16:uniqueId val="{0000000E-B035-4AF0-848F-1E5A91504CF2}"/>
            </c:ext>
          </c:extLst>
        </c:ser>
        <c:ser>
          <c:idx val="4"/>
          <c:order val="4"/>
          <c:tx>
            <c:strRef>
              <c:f>Charts!$G$76:$G$77</c:f>
              <c:strCache>
                <c:ptCount val="1"/>
                <c:pt idx="0">
                  <c:v>On Track</c:v>
                </c:pt>
              </c:strCache>
            </c:strRef>
          </c:tx>
          <c:spPr>
            <a:solidFill>
              <a:schemeClr val="accent5"/>
            </a:solidFill>
            <a:ln>
              <a:noFill/>
            </a:ln>
            <a:effectLst/>
          </c:spPr>
          <c:invertIfNegative val="0"/>
          <c:cat>
            <c:strRef>
              <c:f>Charts!$B$78:$B$83</c:f>
              <c:strCache>
                <c:ptCount val="5"/>
                <c:pt idx="0">
                  <c:v>Central</c:v>
                </c:pt>
                <c:pt idx="1">
                  <c:v>East</c:v>
                </c:pt>
                <c:pt idx="2">
                  <c:v>North</c:v>
                </c:pt>
                <c:pt idx="3">
                  <c:v>South</c:v>
                </c:pt>
                <c:pt idx="4">
                  <c:v>West</c:v>
                </c:pt>
              </c:strCache>
            </c:strRef>
          </c:cat>
          <c:val>
            <c:numRef>
              <c:f>Charts!$G$78:$G$83</c:f>
              <c:numCache>
                <c:formatCode>General</c:formatCode>
                <c:ptCount val="5"/>
                <c:pt idx="0">
                  <c:v>113</c:v>
                </c:pt>
                <c:pt idx="1">
                  <c:v>139</c:v>
                </c:pt>
                <c:pt idx="2">
                  <c:v>107</c:v>
                </c:pt>
                <c:pt idx="3">
                  <c:v>120</c:v>
                </c:pt>
                <c:pt idx="4">
                  <c:v>131</c:v>
                </c:pt>
              </c:numCache>
            </c:numRef>
          </c:val>
          <c:extLst>
            <c:ext xmlns:c16="http://schemas.microsoft.com/office/drawing/2014/chart" uri="{C3380CC4-5D6E-409C-BE32-E72D297353CC}">
              <c16:uniqueId val="{0000000F-B035-4AF0-848F-1E5A91504CF2}"/>
            </c:ext>
          </c:extLst>
        </c:ser>
        <c:ser>
          <c:idx val="5"/>
          <c:order val="5"/>
          <c:tx>
            <c:strRef>
              <c:f>Charts!$H$76:$H$77</c:f>
              <c:strCache>
                <c:ptCount val="1"/>
                <c:pt idx="0">
                  <c:v>(blank)</c:v>
                </c:pt>
              </c:strCache>
            </c:strRef>
          </c:tx>
          <c:spPr>
            <a:solidFill>
              <a:schemeClr val="accent6"/>
            </a:solidFill>
            <a:ln>
              <a:noFill/>
            </a:ln>
            <a:effectLst/>
          </c:spPr>
          <c:invertIfNegative val="0"/>
          <c:cat>
            <c:strRef>
              <c:f>Charts!$B$78:$B$83</c:f>
              <c:strCache>
                <c:ptCount val="5"/>
                <c:pt idx="0">
                  <c:v>Central</c:v>
                </c:pt>
                <c:pt idx="1">
                  <c:v>East</c:v>
                </c:pt>
                <c:pt idx="2">
                  <c:v>North</c:v>
                </c:pt>
                <c:pt idx="3">
                  <c:v>South</c:v>
                </c:pt>
                <c:pt idx="4">
                  <c:v>West</c:v>
                </c:pt>
              </c:strCache>
            </c:strRef>
          </c:cat>
          <c:val>
            <c:numRef>
              <c:f>Charts!$H$78:$H$83</c:f>
              <c:numCache>
                <c:formatCode>General</c:formatCode>
                <c:ptCount val="5"/>
                <c:pt idx="0">
                  <c:v>2</c:v>
                </c:pt>
                <c:pt idx="2">
                  <c:v>2</c:v>
                </c:pt>
                <c:pt idx="3">
                  <c:v>1</c:v>
                </c:pt>
              </c:numCache>
            </c:numRef>
          </c:val>
          <c:extLst>
            <c:ext xmlns:c16="http://schemas.microsoft.com/office/drawing/2014/chart" uri="{C3380CC4-5D6E-409C-BE32-E72D297353CC}">
              <c16:uniqueId val="{00000010-B035-4AF0-848F-1E5A91504CF2}"/>
            </c:ext>
          </c:extLst>
        </c:ser>
        <c:dLbls>
          <c:showLegendKey val="0"/>
          <c:showVal val="0"/>
          <c:showCatName val="0"/>
          <c:showSerName val="0"/>
          <c:showPercent val="0"/>
          <c:showBubbleSize val="0"/>
        </c:dLbls>
        <c:gapWidth val="219"/>
        <c:overlap val="-27"/>
        <c:axId val="1946681919"/>
        <c:axId val="1456002415"/>
      </c:barChart>
      <c:catAx>
        <c:axId val="194668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002415"/>
        <c:crosses val="autoZero"/>
        <c:auto val="1"/>
        <c:lblAlgn val="ctr"/>
        <c:lblOffset val="100"/>
        <c:noMultiLvlLbl val="0"/>
      </c:catAx>
      <c:valAx>
        <c:axId val="145600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68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[FinServe_Loan_Portfolio_Dataset_GG.xlsx]Charts!PivotTable13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bar"/>
        <c:grouping val="stacked"/>
        <c:varyColors val="0"/>
        <c:ser>
          <c:idx val="0"/>
          <c:order val="0"/>
          <c:tx>
            <c:strRef>
              <c:f>Charts!$C$76:$C$77</c:f>
              <c:strCache>
                <c:ptCount val="1"/>
                <c:pt idx="0">
                  <c:v>Closed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Charts!$B$78:$B$83</c:f>
              <c:strCache>
                <c:ptCount val="5"/>
                <c:pt idx="0">
                  <c:v>Central</c:v>
                </c:pt>
                <c:pt idx="1">
                  <c:v>East</c:v>
                </c:pt>
                <c:pt idx="2">
                  <c:v>North</c:v>
                </c:pt>
                <c:pt idx="3">
                  <c:v>South</c:v>
                </c:pt>
                <c:pt idx="4">
                  <c:v>West</c:v>
                </c:pt>
              </c:strCache>
            </c:strRef>
          </c:cat>
          <c:val>
            <c:numRef>
              <c:f>Charts!$C$78:$C$83</c:f>
              <c:numCache>
                <c:formatCode>General</c:formatCode>
                <c:ptCount val="5"/>
                <c:pt idx="0">
                  <c:v>29</c:v>
                </c:pt>
                <c:pt idx="1">
                  <c:v>33</c:v>
                </c:pt>
                <c:pt idx="2">
                  <c:v>25</c:v>
                </c:pt>
                <c:pt idx="3">
                  <c:v>38</c:v>
                </c:pt>
                <c:pt idx="4">
                  <c:v>28</c:v>
                </c:pt>
              </c:numCache>
            </c:numRef>
          </c:val>
          <c:extLst>
            <c:ext xmlns:c16="http://schemas.microsoft.com/office/drawing/2014/chart" uri="{C3380CC4-5D6E-409C-BE32-E72D297353CC}">
              <c16:uniqueId val="{00000000-B8A7-469F-9D11-A24DD98CEF3E}"/>
            </c:ext>
          </c:extLst>
        </c:ser>
        <c:ser>
          <c:idx val="1"/>
          <c:order val="1"/>
          <c:tx>
            <c:strRef>
              <c:f>Charts!$D$76:$D$77</c:f>
              <c:strCache>
                <c:ptCount val="1"/>
                <c:pt idx="0">
                  <c:v>Defaulted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Charts!$B$78:$B$83</c:f>
              <c:strCache>
                <c:ptCount val="5"/>
                <c:pt idx="0">
                  <c:v>Central</c:v>
                </c:pt>
                <c:pt idx="1">
                  <c:v>East</c:v>
                </c:pt>
                <c:pt idx="2">
                  <c:v>North</c:v>
                </c:pt>
                <c:pt idx="3">
                  <c:v>South</c:v>
                </c:pt>
                <c:pt idx="4">
                  <c:v>West</c:v>
                </c:pt>
              </c:strCache>
            </c:strRef>
          </c:cat>
          <c:val>
            <c:numRef>
              <c:f>Charts!$D$78:$D$83</c:f>
              <c:numCache>
                <c:formatCode>General</c:formatCode>
                <c:ptCount val="5"/>
                <c:pt idx="0">
                  <c:v>18</c:v>
                </c:pt>
                <c:pt idx="1">
                  <c:v>19</c:v>
                </c:pt>
                <c:pt idx="2">
                  <c:v>24</c:v>
                </c:pt>
                <c:pt idx="3">
                  <c:v>21</c:v>
                </c:pt>
                <c:pt idx="4">
                  <c:v>30</c:v>
                </c:pt>
              </c:numCache>
            </c:numRef>
          </c:val>
          <c:extLst>
            <c:ext xmlns:c16="http://schemas.microsoft.com/office/drawing/2014/chart" uri="{C3380CC4-5D6E-409C-BE32-E72D297353CC}">
              <c16:uniqueId val="{0000000C-B8A7-469F-9D11-A24DD98CEF3E}"/>
            </c:ext>
          </c:extLst>
        </c:ser>
        <c:ser>
          <c:idx val="2"/>
          <c:order val="2"/>
          <c:tx>
            <c:strRef>
              <c:f>Charts!$E$76:$E$77</c:f>
              <c:strCache>
                <c:ptCount val="1"/>
                <c:pt idx="0">
                  <c:v>Grace Period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Charts!$B$78:$B$83</c:f>
              <c:strCache>
                <c:ptCount val="5"/>
                <c:pt idx="0">
                  <c:v>Central</c:v>
                </c:pt>
                <c:pt idx="1">
                  <c:v>East</c:v>
                </c:pt>
                <c:pt idx="2">
                  <c:v>North</c:v>
                </c:pt>
                <c:pt idx="3">
                  <c:v>South</c:v>
                </c:pt>
                <c:pt idx="4">
                  <c:v>West</c:v>
                </c:pt>
              </c:strCache>
            </c:strRef>
          </c:cat>
          <c:val>
            <c:numRef>
              <c:f>Charts!$E$78:$E$83</c:f>
              <c:numCache>
                <c:formatCode>General</c:formatCode>
                <c:ptCount val="5"/>
                <c:pt idx="0">
                  <c:v>14</c:v>
                </c:pt>
                <c:pt idx="1">
                  <c:v>4</c:v>
                </c:pt>
                <c:pt idx="2">
                  <c:v>6</c:v>
                </c:pt>
                <c:pt idx="3">
                  <c:v>9</c:v>
                </c:pt>
                <c:pt idx="4">
                  <c:v>10</c:v>
                </c:pt>
              </c:numCache>
            </c:numRef>
          </c:val>
          <c:extLst>
            <c:ext xmlns:c16="http://schemas.microsoft.com/office/drawing/2014/chart" uri="{C3380CC4-5D6E-409C-BE32-E72D297353CC}">
              <c16:uniqueId val="{0000000D-B8A7-469F-9D11-A24DD98CEF3E}"/>
            </c:ext>
          </c:extLst>
        </c:ser>
        <c:ser>
          <c:idx val="3"/>
          <c:order val="3"/>
          <c:tx>
            <c:strRef>
              <c:f>Charts!$F$76:$F$77</c:f>
              <c:strCache>
                <c:ptCount val="1"/>
                <c:pt idx="0">
                  <c:v>Late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Charts!$B$78:$B$83</c:f>
              <c:strCache>
                <c:ptCount val="5"/>
                <c:pt idx="0">
                  <c:v>Central</c:v>
                </c:pt>
                <c:pt idx="1">
                  <c:v>East</c:v>
                </c:pt>
                <c:pt idx="2">
                  <c:v>North</c:v>
                </c:pt>
                <c:pt idx="3">
                  <c:v>South</c:v>
                </c:pt>
                <c:pt idx="4">
                  <c:v>West</c:v>
                </c:pt>
              </c:strCache>
            </c:strRef>
          </c:cat>
          <c:val>
            <c:numRef>
              <c:f>Charts!$F$78:$F$83</c:f>
              <c:numCache>
                <c:formatCode>General</c:formatCode>
                <c:ptCount val="5"/>
                <c:pt idx="0">
                  <c:v>53</c:v>
                </c:pt>
                <c:pt idx="1">
                  <c:v>56</c:v>
                </c:pt>
                <c:pt idx="2">
                  <c:v>50</c:v>
                </c:pt>
                <c:pt idx="3">
                  <c:v>63</c:v>
                </c:pt>
                <c:pt idx="4">
                  <c:v>55</c:v>
                </c:pt>
              </c:numCache>
            </c:numRef>
          </c:val>
          <c:extLst>
            <c:ext xmlns:c16="http://schemas.microsoft.com/office/drawing/2014/chart" uri="{C3380CC4-5D6E-409C-BE32-E72D297353CC}">
              <c16:uniqueId val="{0000000E-B8A7-469F-9D11-A24DD98CEF3E}"/>
            </c:ext>
          </c:extLst>
        </c:ser>
        <c:ser>
          <c:idx val="4"/>
          <c:order val="4"/>
          <c:tx>
            <c:strRef>
              <c:f>Charts!$G$76:$G$77</c:f>
              <c:strCache>
                <c:ptCount val="1"/>
                <c:pt idx="0">
                  <c:v>On Track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Charts!$B$78:$B$83</c:f>
              <c:strCache>
                <c:ptCount val="5"/>
                <c:pt idx="0">
                  <c:v>Central</c:v>
                </c:pt>
                <c:pt idx="1">
                  <c:v>East</c:v>
                </c:pt>
                <c:pt idx="2">
                  <c:v>North</c:v>
                </c:pt>
                <c:pt idx="3">
                  <c:v>South</c:v>
                </c:pt>
                <c:pt idx="4">
                  <c:v>West</c:v>
                </c:pt>
              </c:strCache>
            </c:strRef>
          </c:cat>
          <c:val>
            <c:numRef>
              <c:f>Charts!$G$78:$G$83</c:f>
              <c:numCache>
                <c:formatCode>General</c:formatCode>
                <c:ptCount val="5"/>
                <c:pt idx="0">
                  <c:v>113</c:v>
                </c:pt>
                <c:pt idx="1">
                  <c:v>139</c:v>
                </c:pt>
                <c:pt idx="2">
                  <c:v>107</c:v>
                </c:pt>
                <c:pt idx="3">
                  <c:v>120</c:v>
                </c:pt>
                <c:pt idx="4">
                  <c:v>131</c:v>
                </c:pt>
              </c:numCache>
            </c:numRef>
          </c:val>
          <c:extLst>
            <c:ext xmlns:c16="http://schemas.microsoft.com/office/drawing/2014/chart" uri="{C3380CC4-5D6E-409C-BE32-E72D297353CC}">
              <c16:uniqueId val="{0000000F-B8A7-469F-9D11-A24DD98CEF3E}"/>
            </c:ext>
          </c:extLst>
        </c:ser>
        <c:ser>
          <c:idx val="5"/>
          <c:order val="5"/>
          <c:tx>
            <c:strRef>
              <c:f>Charts!$H$76:$H$77</c:f>
              <c:strCache>
                <c:ptCount val="1"/>
                <c:pt idx="0">
                  <c:v>(blank)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Charts!$B$78:$B$83</c:f>
              <c:strCache>
                <c:ptCount val="5"/>
                <c:pt idx="0">
                  <c:v>Central</c:v>
                </c:pt>
                <c:pt idx="1">
                  <c:v>East</c:v>
                </c:pt>
                <c:pt idx="2">
                  <c:v>North</c:v>
                </c:pt>
                <c:pt idx="3">
                  <c:v>South</c:v>
                </c:pt>
                <c:pt idx="4">
                  <c:v>West</c:v>
                </c:pt>
              </c:strCache>
            </c:strRef>
          </c:cat>
          <c:val>
            <c:numRef>
              <c:f>Charts!$H$78:$H$83</c:f>
              <c:numCache>
                <c:formatCode>General</c:formatCode>
                <c:ptCount val="5"/>
                <c:pt idx="0">
                  <c:v>2</c:v>
                </c:pt>
                <c:pt idx="2">
                  <c:v>2</c:v>
                </c:pt>
                <c:pt idx="3">
                  <c:v>1</c:v>
                </c:pt>
              </c:numCache>
            </c:numRef>
          </c:val>
          <c:extLst>
            <c:ext xmlns:c16="http://schemas.microsoft.com/office/drawing/2014/chart" uri="{C3380CC4-5D6E-409C-BE32-E72D297353CC}">
              <c16:uniqueId val="{00000010-B8A7-469F-9D11-A24DD98CEF3E}"/>
            </c:ext>
          </c:extLst>
        </c:ser>
        <c:dLbls>
          <c:dLblPos val="ctr"/>
          <c:showLegendKey val="0"/>
          <c:showVal val="1"/>
          <c:showCatName val="0"/>
          <c:showSerName val="0"/>
          <c:showPercent val="0"/>
          <c:showBubbleSize val="0"/>
        </c:dLbls>
        <c:gapWidth val="150"/>
        <c:overlap val="100"/>
        <c:axId val="1946558031"/>
        <c:axId val="1847527279"/>
      </c:barChart>
      <c:catAx>
        <c:axId val="194655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527279"/>
        <c:crosses val="autoZero"/>
        <c:auto val="1"/>
        <c:lblAlgn val="ctr"/>
        <c:lblOffset val="100"/>
        <c:noMultiLvlLbl val="0"/>
      </c:catAx>
      <c:valAx>
        <c:axId val="1847527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58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[FinServe_Loan_Portfolio_Dataset_GG.xlsx]Charts!PivotTable10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Loan Distribution</a:t>
            </a:r>
            <a:r>
              <a:rPr lang="en-IN" baseline="0"/>
              <a:t> by Region</a:t>
            </a:r>
          </a:p>
          <a:p>
            <a:pPr>
              <a:defRPr/>
            </a:pPr>
            <a:endParaRPr lang="en-IN"/>
          </a:p>
        </c:rich>
      </c:tx>
      <c:layout>
        <c:manualLayout>
          <c:xMode val="edge"/>
          <c:yMode val="edge"/>
          <c:x val="0.2982637795275590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9405074365"/>
          <c:y val="0.17212962962962963"/>
          <c:w val="0.81419685039370082"/>
          <c:h val="0.72047098279381727"/>
        </c:manualLayout>
      </c:layout>
      <c:barChart>
        <c:barDir val="col"/>
        <c:grouping val="clustered"/>
        <c:varyColors val="0"/>
        <c:ser>
          <c:idx val="0"/>
          <c:order val="0"/>
          <c:tx>
            <c:strRef>
              <c:f>Charts!$C$4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Charts!$B$5:$B$10</c:f>
              <c:strCache>
                <c:ptCount val="5"/>
                <c:pt idx="0">
                  <c:v>Central</c:v>
                </c:pt>
                <c:pt idx="1">
                  <c:v>East</c:v>
                </c:pt>
                <c:pt idx="2">
                  <c:v>North</c:v>
                </c:pt>
                <c:pt idx="3">
                  <c:v>South</c:v>
                </c:pt>
                <c:pt idx="4">
                  <c:v>West</c:v>
                </c:pt>
              </c:strCache>
            </c:strRef>
          </c:cat>
          <c:val>
            <c:numRef>
              <c:f>Charts!$C$5:$C$10</c:f>
              <c:numCache>
                <c:formatCode>General</c:formatCode>
                <c:ptCount val="5"/>
                <c:pt idx="0">
                  <c:v>123625000</c:v>
                </c:pt>
                <c:pt idx="1">
                  <c:v>139425000</c:v>
                </c:pt>
                <c:pt idx="2">
                  <c:v>137400000</c:v>
                </c:pt>
                <c:pt idx="3">
                  <c:v>145300000</c:v>
                </c:pt>
                <c:pt idx="4">
                  <c:v>148725000</c:v>
                </c:pt>
              </c:numCache>
            </c:numRef>
          </c:val>
          <c:extLst>
            <c:ext xmlns:c16="http://schemas.microsoft.com/office/drawing/2014/chart" uri="{C3380CC4-5D6E-409C-BE32-E72D297353CC}">
              <c16:uniqueId val="{00000000-9ECF-484E-9E16-41FB7EA299FE}"/>
            </c:ext>
          </c:extLst>
        </c:ser>
        <c:dLbls>
          <c:dLblPos val="outEnd"/>
          <c:showLegendKey val="0"/>
          <c:showVal val="1"/>
          <c:showCatName val="0"/>
          <c:showSerName val="0"/>
          <c:showPercent val="0"/>
          <c:showBubbleSize val="0"/>
        </c:dLbls>
        <c:gapWidth val="219"/>
        <c:overlap val="-27"/>
        <c:axId val="1880943631"/>
        <c:axId val="1456074895"/>
      </c:barChart>
      <c:catAx>
        <c:axId val="188094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074895"/>
        <c:crosses val="autoZero"/>
        <c:auto val="1"/>
        <c:lblAlgn val="ctr"/>
        <c:lblOffset val="100"/>
        <c:noMultiLvlLbl val="0"/>
      </c:catAx>
      <c:valAx>
        <c:axId val="1456074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94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[FinServe_Loan_Portfolio_Dataset_GG.xlsx]Charts!PivotTable12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Portfolio Risk Segmentation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Charts!$C$58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D1-4D67-84C6-6BFEA315CC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D1-4D67-84C6-6BFEA315CC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D1-4D67-84C6-6BFEA315CC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D1-4D67-84C6-6BFEA315CC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D1-4D67-84C6-6BFEA315CC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Charts!$B$59:$B$64</c:f>
              <c:strCache>
                <c:ptCount val="5"/>
                <c:pt idx="0">
                  <c:v>High Risk</c:v>
                </c:pt>
                <c:pt idx="1">
                  <c:v>Low Risk</c:v>
                </c:pt>
                <c:pt idx="2">
                  <c:v>Medium Risk</c:v>
                </c:pt>
                <c:pt idx="3">
                  <c:v>Unclassified</c:v>
                </c:pt>
                <c:pt idx="4">
                  <c:v>Very High Risk</c:v>
                </c:pt>
              </c:strCache>
            </c:strRef>
          </c:cat>
          <c:val>
            <c:numRef>
              <c:f>Charts!$C$59:$C$64</c:f>
              <c:numCache>
                <c:formatCode>0.00%</c:formatCode>
                <c:ptCount val="5"/>
                <c:pt idx="0">
                  <c:v>0.15425321285863422</c:v>
                </c:pt>
                <c:pt idx="1">
                  <c:v>0.25382483170740489</c:v>
                </c:pt>
                <c:pt idx="2">
                  <c:v>0.15342524928903128</c:v>
                </c:pt>
                <c:pt idx="3">
                  <c:v>3.3190539616256884E-2</c:v>
                </c:pt>
                <c:pt idx="4">
                  <c:v>0.40530616652867274</c:v>
                </c:pt>
              </c:numCache>
            </c:numRef>
          </c:val>
          <c:extLst>
            <c:ext xmlns:c16="http://schemas.microsoft.com/office/drawing/2014/chart" uri="{C3380CC4-5D6E-409C-BE32-E72D297353CC}">
              <c16:uniqueId val="{0000000A-AFD7-439B-A6C5-7B7CEA29206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[FinServe_Loan_Portfolio_Dataset_GG.xlsx]Pivot_Analysis!PivotTable6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Repayment Performance by Employment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Pivot_Analysis!$C$25:$C$26</c:f>
              <c:strCache>
                <c:ptCount val="1"/>
                <c:pt idx="0">
                  <c:v>Closed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Pivot_Analysis!$B$27:$B$34</c:f>
              <c:strCache>
                <c:ptCount val="7"/>
                <c:pt idx="0">
                  <c:v>  Self-Employed</c:v>
                </c:pt>
                <c:pt idx="1">
                  <c:v>Business Owner</c:v>
                </c:pt>
                <c:pt idx="2">
                  <c:v>Freelancer</c:v>
                </c:pt>
                <c:pt idx="3">
                  <c:v>Government Employee</c:v>
                </c:pt>
                <c:pt idx="4">
                  <c:v>Salaried</c:v>
                </c:pt>
                <c:pt idx="5">
                  <c:v>Salaried </c:v>
                </c:pt>
                <c:pt idx="6">
                  <c:v>Self-Employed</c:v>
                </c:pt>
              </c:strCache>
            </c:strRef>
          </c:cat>
          <c:val>
            <c:numRef>
              <c:f>Pivot_Analysis!$C$27:$C$34</c:f>
              <c:numCache>
                <c:formatCode>General</c:formatCode>
                <c:ptCount val="7"/>
                <c:pt idx="1">
                  <c:v>34</c:v>
                </c:pt>
                <c:pt idx="2">
                  <c:v>38</c:v>
                </c:pt>
                <c:pt idx="3">
                  <c:v>28</c:v>
                </c:pt>
                <c:pt idx="4">
                  <c:v>22</c:v>
                </c:pt>
                <c:pt idx="6">
                  <c:v>31</c:v>
                </c:pt>
              </c:numCache>
            </c:numRef>
          </c:val>
          <c:extLst>
            <c:ext xmlns:c16="http://schemas.microsoft.com/office/drawing/2014/chart" uri="{C3380CC4-5D6E-409C-BE32-E72D297353CC}">
              <c16:uniqueId val="{00000000-E5AC-49F3-A2A7-EEFE9D987FEC}"/>
            </c:ext>
          </c:extLst>
        </c:ser>
        <c:ser>
          <c:idx val="1"/>
          <c:order val="1"/>
          <c:tx>
            <c:strRef>
              <c:f>Pivot_Analysis!$D$25:$D$26</c:f>
              <c:strCache>
                <c:ptCount val="1"/>
                <c:pt idx="0">
                  <c:v>Defaulted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Pivot_Analysis!$B$27:$B$34</c:f>
              <c:strCache>
                <c:ptCount val="7"/>
                <c:pt idx="0">
                  <c:v>  Self-Employed</c:v>
                </c:pt>
                <c:pt idx="1">
                  <c:v>Business Owner</c:v>
                </c:pt>
                <c:pt idx="2">
                  <c:v>Freelancer</c:v>
                </c:pt>
                <c:pt idx="3">
                  <c:v>Government Employee</c:v>
                </c:pt>
                <c:pt idx="4">
                  <c:v>Salaried</c:v>
                </c:pt>
                <c:pt idx="5">
                  <c:v>Salaried </c:v>
                </c:pt>
                <c:pt idx="6">
                  <c:v>Self-Employed</c:v>
                </c:pt>
              </c:strCache>
            </c:strRef>
          </c:cat>
          <c:val>
            <c:numRef>
              <c:f>Pivot_Analysis!$D$27:$D$34</c:f>
              <c:numCache>
                <c:formatCode>General</c:formatCode>
                <c:ptCount val="7"/>
                <c:pt idx="1">
                  <c:v>25</c:v>
                </c:pt>
                <c:pt idx="2">
                  <c:v>18</c:v>
                </c:pt>
                <c:pt idx="3">
                  <c:v>25</c:v>
                </c:pt>
                <c:pt idx="4">
                  <c:v>19</c:v>
                </c:pt>
                <c:pt idx="6">
                  <c:v>25</c:v>
                </c:pt>
              </c:numCache>
            </c:numRef>
          </c:val>
          <c:extLst>
            <c:ext xmlns:c16="http://schemas.microsoft.com/office/drawing/2014/chart" uri="{C3380CC4-5D6E-409C-BE32-E72D297353CC}">
              <c16:uniqueId val="{00000001-E5AC-49F3-A2A7-EEFE9D987FEC}"/>
            </c:ext>
          </c:extLst>
        </c:ser>
        <c:ser>
          <c:idx val="2"/>
          <c:order val="2"/>
          <c:tx>
            <c:strRef>
              <c:f>Pivot_Analysis!$E$25:$E$26</c:f>
              <c:strCache>
                <c:ptCount val="1"/>
                <c:pt idx="0">
                  <c:v>Grace Period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Pivot_Analysis!$B$27:$B$34</c:f>
              <c:strCache>
                <c:ptCount val="7"/>
                <c:pt idx="0">
                  <c:v>  Self-Employed</c:v>
                </c:pt>
                <c:pt idx="1">
                  <c:v>Business Owner</c:v>
                </c:pt>
                <c:pt idx="2">
                  <c:v>Freelancer</c:v>
                </c:pt>
                <c:pt idx="3">
                  <c:v>Government Employee</c:v>
                </c:pt>
                <c:pt idx="4">
                  <c:v>Salaried</c:v>
                </c:pt>
                <c:pt idx="5">
                  <c:v>Salaried </c:v>
                </c:pt>
                <c:pt idx="6">
                  <c:v>Self-Employed</c:v>
                </c:pt>
              </c:strCache>
            </c:strRef>
          </c:cat>
          <c:val>
            <c:numRef>
              <c:f>Pivot_Analysis!$E$27:$E$34</c:f>
              <c:numCache>
                <c:formatCode>General</c:formatCode>
                <c:ptCount val="7"/>
                <c:pt idx="1">
                  <c:v>9</c:v>
                </c:pt>
                <c:pt idx="2">
                  <c:v>10</c:v>
                </c:pt>
                <c:pt idx="3">
                  <c:v>7</c:v>
                </c:pt>
                <c:pt idx="4">
                  <c:v>6</c:v>
                </c:pt>
                <c:pt idx="6">
                  <c:v>11</c:v>
                </c:pt>
              </c:numCache>
            </c:numRef>
          </c:val>
          <c:extLst>
            <c:ext xmlns:c16="http://schemas.microsoft.com/office/drawing/2014/chart" uri="{C3380CC4-5D6E-409C-BE32-E72D297353CC}">
              <c16:uniqueId val="{00000002-E5AC-49F3-A2A7-EEFE9D987FEC}"/>
            </c:ext>
          </c:extLst>
        </c:ser>
        <c:ser>
          <c:idx val="3"/>
          <c:order val="3"/>
          <c:tx>
            <c:strRef>
              <c:f>Pivot_Analysis!$F$25:$F$26</c:f>
              <c:strCache>
                <c:ptCount val="1"/>
                <c:pt idx="0">
                  <c:v>Late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Pivot_Analysis!$B$27:$B$34</c:f>
              <c:strCache>
                <c:ptCount val="7"/>
                <c:pt idx="0">
                  <c:v>  Self-Employed</c:v>
                </c:pt>
                <c:pt idx="1">
                  <c:v>Business Owner</c:v>
                </c:pt>
                <c:pt idx="2">
                  <c:v>Freelancer</c:v>
                </c:pt>
                <c:pt idx="3">
                  <c:v>Government Employee</c:v>
                </c:pt>
                <c:pt idx="4">
                  <c:v>Salaried</c:v>
                </c:pt>
                <c:pt idx="5">
                  <c:v>Salaried </c:v>
                </c:pt>
                <c:pt idx="6">
                  <c:v>Self-Employed</c:v>
                </c:pt>
              </c:strCache>
            </c:strRef>
          </c:cat>
          <c:val>
            <c:numRef>
              <c:f>Pivot_Analysis!$F$27:$F$34</c:f>
              <c:numCache>
                <c:formatCode>General</c:formatCode>
                <c:ptCount val="7"/>
                <c:pt idx="1">
                  <c:v>60</c:v>
                </c:pt>
                <c:pt idx="2">
                  <c:v>55</c:v>
                </c:pt>
                <c:pt idx="3">
                  <c:v>49</c:v>
                </c:pt>
                <c:pt idx="4">
                  <c:v>58</c:v>
                </c:pt>
                <c:pt idx="6">
                  <c:v>55</c:v>
                </c:pt>
              </c:numCache>
            </c:numRef>
          </c:val>
          <c:extLst>
            <c:ext xmlns:c16="http://schemas.microsoft.com/office/drawing/2014/chart" uri="{C3380CC4-5D6E-409C-BE32-E72D297353CC}">
              <c16:uniqueId val="{00000003-E5AC-49F3-A2A7-EEFE9D987FEC}"/>
            </c:ext>
          </c:extLst>
        </c:ser>
        <c:ser>
          <c:idx val="4"/>
          <c:order val="4"/>
          <c:tx>
            <c:strRef>
              <c:f>Pivot_Analysis!$G$25:$G$26</c:f>
              <c:strCache>
                <c:ptCount val="1"/>
                <c:pt idx="0">
                  <c:v>On Track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Pivot_Analysis!$B$27:$B$34</c:f>
              <c:strCache>
                <c:ptCount val="7"/>
                <c:pt idx="0">
                  <c:v>  Self-Employed</c:v>
                </c:pt>
                <c:pt idx="1">
                  <c:v>Business Owner</c:v>
                </c:pt>
                <c:pt idx="2">
                  <c:v>Freelancer</c:v>
                </c:pt>
                <c:pt idx="3">
                  <c:v>Government Employee</c:v>
                </c:pt>
                <c:pt idx="4">
                  <c:v>Salaried</c:v>
                </c:pt>
                <c:pt idx="5">
                  <c:v>Salaried </c:v>
                </c:pt>
                <c:pt idx="6">
                  <c:v>Self-Employed</c:v>
                </c:pt>
              </c:strCache>
            </c:strRef>
          </c:cat>
          <c:val>
            <c:numRef>
              <c:f>Pivot_Analysis!$G$27:$G$34</c:f>
              <c:numCache>
                <c:formatCode>General</c:formatCode>
                <c:ptCount val="7"/>
                <c:pt idx="0">
                  <c:v>2</c:v>
                </c:pt>
                <c:pt idx="1">
                  <c:v>114</c:v>
                </c:pt>
                <c:pt idx="2">
                  <c:v>128</c:v>
                </c:pt>
                <c:pt idx="3">
                  <c:v>135</c:v>
                </c:pt>
                <c:pt idx="4">
                  <c:v>118</c:v>
                </c:pt>
                <c:pt idx="5">
                  <c:v>1</c:v>
                </c:pt>
                <c:pt idx="6">
                  <c:v>112</c:v>
                </c:pt>
              </c:numCache>
            </c:numRef>
          </c:val>
          <c:extLst>
            <c:ext xmlns:c16="http://schemas.microsoft.com/office/drawing/2014/chart" uri="{C3380CC4-5D6E-409C-BE32-E72D297353CC}">
              <c16:uniqueId val="{00000004-E5AC-49F3-A2A7-EEFE9D987FEC}"/>
            </c:ext>
          </c:extLst>
        </c:ser>
        <c:ser>
          <c:idx val="5"/>
          <c:order val="5"/>
          <c:tx>
            <c:strRef>
              <c:f>Pivot_Analysis!$H$25:$H$26</c:f>
              <c:strCache>
                <c:ptCount val="1"/>
                <c:pt idx="0">
                  <c:v>(blank)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Pivot_Analysis!$B$27:$B$34</c:f>
              <c:strCache>
                <c:ptCount val="7"/>
                <c:pt idx="0">
                  <c:v>  Self-Employed</c:v>
                </c:pt>
                <c:pt idx="1">
                  <c:v>Business Owner</c:v>
                </c:pt>
                <c:pt idx="2">
                  <c:v>Freelancer</c:v>
                </c:pt>
                <c:pt idx="3">
                  <c:v>Government Employee</c:v>
                </c:pt>
                <c:pt idx="4">
                  <c:v>Salaried</c:v>
                </c:pt>
                <c:pt idx="5">
                  <c:v>Salaried </c:v>
                </c:pt>
                <c:pt idx="6">
                  <c:v>Self-Employed</c:v>
                </c:pt>
              </c:strCache>
            </c:strRef>
          </c:cat>
          <c:val>
            <c:numRef>
              <c:f>Pivot_Analysis!$H$27:$H$34</c:f>
              <c:numCache>
                <c:formatCode>General</c:formatCode>
                <c:ptCount val="7"/>
                <c:pt idx="2">
                  <c:v>2</c:v>
                </c:pt>
                <c:pt idx="6">
                  <c:v>3</c:v>
                </c:pt>
              </c:numCache>
            </c:numRef>
          </c:val>
          <c:extLst>
            <c:ext xmlns:c16="http://schemas.microsoft.com/office/drawing/2014/chart" uri="{C3380CC4-5D6E-409C-BE32-E72D297353CC}">
              <c16:uniqueId val="{00000005-E5AC-49F3-A2A7-EEFE9D987FEC}"/>
            </c:ext>
          </c:extLst>
        </c:ser>
        <c:dLbls>
          <c:dLblPos val="ctr"/>
          <c:showLegendKey val="0"/>
          <c:showVal val="1"/>
          <c:showCatName val="0"/>
          <c:showSerName val="0"/>
          <c:showPercent val="0"/>
          <c:showBubbleSize val="0"/>
        </c:dLbls>
        <c:gapWidth val="150"/>
        <c:overlap val="100"/>
        <c:axId val="1896052015"/>
        <c:axId val="1456016815"/>
      </c:barChart>
      <c:catAx>
        <c:axId val="189605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016815"/>
        <c:crosses val="autoZero"/>
        <c:auto val="1"/>
        <c:lblAlgn val="ctr"/>
        <c:lblOffset val="100"/>
        <c:noMultiLvlLbl val="0"/>
      </c:catAx>
      <c:valAx>
        <c:axId val="1456016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052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25</xdr:col>
      <xdr:colOff>373381</xdr:colOff>
      <xdr:row>2</xdr:row>
      <xdr:rowOff>137160</xdr:rowOff>
    </xdr:from>
    <xdr:to>
      <xdr:col>30</xdr:col>
      <xdr:colOff>541021</xdr:colOff>
      <xdr:row>12</xdr:row>
      <xdr:rowOff>171373</xdr:rowOff>
    </xdr:to>
    <xdr:pic>
      <xdr:nvPicPr>
        <xdr:cNvPr id="3" name="Picture 2">
          <a:extLst>
            <a:ext uri="{FF2B5EF4-FFF2-40B4-BE49-F238E27FC236}">
              <a16:creationId xmlns:a16="http://schemas.microsoft.com/office/drawing/2014/main" id="{07C41B3B-77D4-734C-8BC4-29900DE0ED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36701" y="716280"/>
          <a:ext cx="3215640" cy="1931593"/>
        </a:xfrm>
        <a:prstGeom prst="rect">
          <a:avLst/>
        </a:prstGeom>
      </xdr:spPr>
    </xdr:pic>
    <xdr:clientData/>
  </xdr:twoCellAnchor>
  <xdr:twoCellAnchor editAs="oneCell">
    <xdr:from>
      <xdr:col>20</xdr:col>
      <xdr:colOff>434340</xdr:colOff>
      <xdr:row>2</xdr:row>
      <xdr:rowOff>114301</xdr:rowOff>
    </xdr:from>
    <xdr:to>
      <xdr:col>25</xdr:col>
      <xdr:colOff>167640</xdr:colOff>
      <xdr:row>15</xdr:row>
      <xdr:rowOff>163216</xdr:rowOff>
    </xdr:to>
    <xdr:pic>
      <xdr:nvPicPr>
        <xdr:cNvPr id="5" name="Picture 4">
          <a:extLst>
            <a:ext uri="{FF2B5EF4-FFF2-40B4-BE49-F238E27FC236}">
              <a16:creationId xmlns:a16="http://schemas.microsoft.com/office/drawing/2014/main" id="{45E3657C-02D3-4169-537A-D678FA87C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219920" y="693421"/>
          <a:ext cx="2880360" cy="2502008"/>
        </a:xfrm>
        <a:prstGeom prst="rect">
          <a:avLst/>
        </a:prstGeom>
      </xdr:spPr>
    </xdr:pic>
    <xdr:clientData/>
  </xdr:twoCellAnchor>
  <xdr:twoCellAnchor editAs="oneCell">
    <xdr:from>
      <xdr:col>20</xdr:col>
      <xdr:colOff>381000</xdr:colOff>
      <xdr:row>19</xdr:row>
      <xdr:rowOff>53340</xdr:rowOff>
    </xdr:from>
    <xdr:to>
      <xdr:col>25</xdr:col>
      <xdr:colOff>68826</xdr:colOff>
      <xdr:row>28</xdr:row>
      <xdr:rowOff>9824</xdr:rowOff>
    </xdr:to>
    <xdr:pic>
      <xdr:nvPicPr>
        <xdr:cNvPr id="7" name="Picture 6">
          <a:extLst>
            <a:ext uri="{FF2B5EF4-FFF2-40B4-BE49-F238E27FC236}">
              <a16:creationId xmlns:a16="http://schemas.microsoft.com/office/drawing/2014/main" id="{A6643038-EDA2-A848-D04C-F8A74A987F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166580" y="3756660"/>
          <a:ext cx="2834886" cy="1600339"/>
        </a:xfrm>
        <a:prstGeom prst="rect">
          <a:avLst/>
        </a:prstGeom>
      </xdr:spPr>
    </xdr:pic>
    <xdr:clientData/>
  </xdr:twoCellAnchor>
  <xdr:twoCellAnchor editAs="oneCell">
    <xdr:from>
      <xdr:col>21</xdr:col>
      <xdr:colOff>0</xdr:colOff>
      <xdr:row>31</xdr:row>
      <xdr:rowOff>0</xdr:rowOff>
    </xdr:from>
    <xdr:to>
      <xdr:col>26</xdr:col>
      <xdr:colOff>106680</xdr:colOff>
      <xdr:row>42</xdr:row>
      <xdr:rowOff>120594</xdr:rowOff>
    </xdr:to>
    <xdr:pic>
      <xdr:nvPicPr>
        <xdr:cNvPr id="9" name="Picture 8">
          <a:extLst>
            <a:ext uri="{FF2B5EF4-FFF2-40B4-BE49-F238E27FC236}">
              <a16:creationId xmlns:a16="http://schemas.microsoft.com/office/drawing/2014/main" id="{F8A888E7-595B-D2FB-343F-7C45818FC4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2494240" y="5913120"/>
          <a:ext cx="3154680" cy="2152740"/>
        </a:xfrm>
        <a:prstGeom prst="rect">
          <a:avLst/>
        </a:prstGeom>
      </xdr:spPr>
    </xdr:pic>
    <xdr:clientData/>
  </xdr:twoCellAnchor>
  <xdr:twoCellAnchor editAs="oneCell">
    <xdr:from>
      <xdr:col>20</xdr:col>
      <xdr:colOff>548640</xdr:colOff>
      <xdr:row>59</xdr:row>
      <xdr:rowOff>91440</xdr:rowOff>
    </xdr:from>
    <xdr:to>
      <xdr:col>28</xdr:col>
      <xdr:colOff>434762</xdr:colOff>
      <xdr:row>67</xdr:row>
      <xdr:rowOff>2186</xdr:rowOff>
    </xdr:to>
    <xdr:pic>
      <xdr:nvPicPr>
        <xdr:cNvPr id="13" name="Picture 12">
          <a:extLst>
            <a:ext uri="{FF2B5EF4-FFF2-40B4-BE49-F238E27FC236}">
              <a16:creationId xmlns:a16="http://schemas.microsoft.com/office/drawing/2014/main" id="{2B0BA112-0B8C-8C69-A455-63CF3AE80DC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334220" y="11155680"/>
          <a:ext cx="4861981" cy="1371719"/>
        </a:xfrm>
        <a:prstGeom prst="rect">
          <a:avLst/>
        </a:prstGeom>
      </xdr:spPr>
    </xdr:pic>
    <xdr:clientData/>
  </xdr:twoCellAnchor>
  <xdr:twoCellAnchor editAs="oneCell">
    <xdr:from>
      <xdr:col>21</xdr:col>
      <xdr:colOff>337039</xdr:colOff>
      <xdr:row>106</xdr:row>
      <xdr:rowOff>102577</xdr:rowOff>
    </xdr:from>
    <xdr:to>
      <xdr:col>27</xdr:col>
      <xdr:colOff>231838</xdr:colOff>
      <xdr:row>117</xdr:row>
      <xdr:rowOff>160494</xdr:rowOff>
    </xdr:to>
    <xdr:pic>
      <xdr:nvPicPr>
        <xdr:cNvPr id="17" name="Picture 16">
          <a:extLst>
            <a:ext uri="{FF2B5EF4-FFF2-40B4-BE49-F238E27FC236}">
              <a16:creationId xmlns:a16="http://schemas.microsoft.com/office/drawing/2014/main" id="{8295D786-1DEF-ECD9-5A22-8FAD8E2B2E0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109116" y="13291039"/>
          <a:ext cx="3543607" cy="2072820"/>
        </a:xfrm>
        <a:prstGeom prst="rect">
          <a:avLst/>
        </a:prstGeom>
      </xdr:spPr>
    </xdr:pic>
    <xdr:clientData/>
  </xdr:twoCellAnchor>
  <xdr:twoCellAnchor editAs="oneCell">
    <xdr:from>
      <xdr:col>21</xdr:col>
      <xdr:colOff>0</xdr:colOff>
      <xdr:row>45</xdr:row>
      <xdr:rowOff>91441</xdr:rowOff>
    </xdr:from>
    <xdr:to>
      <xdr:col>28</xdr:col>
      <xdr:colOff>441960</xdr:colOff>
      <xdr:row>57</xdr:row>
      <xdr:rowOff>152400</xdr:rowOff>
    </xdr:to>
    <xdr:pic>
      <xdr:nvPicPr>
        <xdr:cNvPr id="4" name="Picture 3">
          <a:extLst>
            <a:ext uri="{FF2B5EF4-FFF2-40B4-BE49-F238E27FC236}">
              <a16:creationId xmlns:a16="http://schemas.microsoft.com/office/drawing/2014/main" id="{8B11FBDB-EC10-6445-B16E-6084979E83C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753320" y="8663941"/>
          <a:ext cx="4709160" cy="2255519"/>
        </a:xfrm>
        <a:prstGeom prst="rect">
          <a:avLst/>
        </a:prstGeom>
      </xdr:spPr>
    </xdr:pic>
    <xdr:clientData/>
  </xdr:twoCellAnchor>
  <xdr:twoCellAnchor editAs="oneCell">
    <xdr:from>
      <xdr:col>20</xdr:col>
      <xdr:colOff>350521</xdr:colOff>
      <xdr:row>70</xdr:row>
      <xdr:rowOff>68580</xdr:rowOff>
    </xdr:from>
    <xdr:to>
      <xdr:col>26</xdr:col>
      <xdr:colOff>329363</xdr:colOff>
      <xdr:row>84</xdr:row>
      <xdr:rowOff>168390</xdr:rowOff>
    </xdr:to>
    <xdr:pic>
      <xdr:nvPicPr>
        <xdr:cNvPr id="6" name="Picture 5">
          <a:extLst>
            <a:ext uri="{FF2B5EF4-FFF2-40B4-BE49-F238E27FC236}">
              <a16:creationId xmlns:a16="http://schemas.microsoft.com/office/drawing/2014/main" id="{7D6B44F2-5D71-1E7F-CD9F-4AB783C3A4E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2677121" y="13243560"/>
          <a:ext cx="3735502" cy="2660130"/>
        </a:xfrm>
        <a:prstGeom prst="rect">
          <a:avLst/>
        </a:prstGeom>
      </xdr:spPr>
    </xdr:pic>
    <xdr:clientData/>
  </xdr:twoCellAnchor>
  <xdr:twoCellAnchor editAs="oneCell">
    <xdr:from>
      <xdr:col>26</xdr:col>
      <xdr:colOff>441961</xdr:colOff>
      <xdr:row>70</xdr:row>
      <xdr:rowOff>71704</xdr:rowOff>
    </xdr:from>
    <xdr:to>
      <xdr:col>32</xdr:col>
      <xdr:colOff>586740</xdr:colOff>
      <xdr:row>85</xdr:row>
      <xdr:rowOff>15973</xdr:rowOff>
    </xdr:to>
    <xdr:pic>
      <xdr:nvPicPr>
        <xdr:cNvPr id="10" name="Picture 9">
          <a:extLst>
            <a:ext uri="{FF2B5EF4-FFF2-40B4-BE49-F238E27FC236}">
              <a16:creationId xmlns:a16="http://schemas.microsoft.com/office/drawing/2014/main" id="{80F9DFA3-1836-F0BD-A266-27CF29E1DDE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6525221" y="13246684"/>
          <a:ext cx="3802379" cy="2687469"/>
        </a:xfrm>
        <a:prstGeom prst="rect">
          <a:avLst/>
        </a:prstGeom>
      </xdr:spPr>
    </xdr:pic>
    <xdr:clientData/>
  </xdr:twoCellAnchor>
  <xdr:twoCellAnchor editAs="oneCell">
    <xdr:from>
      <xdr:col>23</xdr:col>
      <xdr:colOff>68580</xdr:colOff>
      <xdr:row>86</xdr:row>
      <xdr:rowOff>46684</xdr:rowOff>
    </xdr:from>
    <xdr:to>
      <xdr:col>30</xdr:col>
      <xdr:colOff>259080</xdr:colOff>
      <xdr:row>103</xdr:row>
      <xdr:rowOff>85687</xdr:rowOff>
    </xdr:to>
    <xdr:pic>
      <xdr:nvPicPr>
        <xdr:cNvPr id="12" name="Picture 11">
          <a:extLst>
            <a:ext uri="{FF2B5EF4-FFF2-40B4-BE49-F238E27FC236}">
              <a16:creationId xmlns:a16="http://schemas.microsoft.com/office/drawing/2014/main" id="{333B97F4-4438-F28C-283A-6280243E1E0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4323040" y="16147744"/>
          <a:ext cx="4457700" cy="31479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15240</xdr:colOff>
      <xdr:row>36</xdr:row>
      <xdr:rowOff>175261</xdr:rowOff>
    </xdr:from>
    <xdr:to>
      <xdr:col>6</xdr:col>
      <xdr:colOff>766457</xdr:colOff>
      <xdr:row>49</xdr:row>
      <xdr:rowOff>68581</xdr:rowOff>
    </xdr:to>
    <xdr:pic>
      <xdr:nvPicPr>
        <xdr:cNvPr id="3" name="Picture 2">
          <a:extLst>
            <a:ext uri="{FF2B5EF4-FFF2-40B4-BE49-F238E27FC236}">
              <a16:creationId xmlns:a16="http://schemas.microsoft.com/office/drawing/2014/main" id="{114ADBB4-614B-919B-BEDD-8CFE845371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59480" y="6926581"/>
          <a:ext cx="3631577" cy="2270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2</xdr:row>
      <xdr:rowOff>3810</xdr:rowOff>
    </xdr:from>
    <xdr:to>
      <xdr:col>11</xdr:col>
      <xdr:colOff>266700</xdr:colOff>
      <xdr:row>17</xdr:row>
      <xdr:rowOff>3810</xdr:rowOff>
    </xdr:to>
    <xdr:graphicFrame macro="">
      <xdr:nvGraphicFramePr>
        <xdr:cNvPr id="4" name="Chart 3">
          <a:extLst>
            <a:ext uri="{FF2B5EF4-FFF2-40B4-BE49-F238E27FC236}">
              <a16:creationId xmlns:a16="http://schemas.microsoft.com/office/drawing/2014/main" id="{B58F6E0F-8FF7-E535-8112-16344CEC7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586740</xdr:colOff>
      <xdr:row>18</xdr:row>
      <xdr:rowOff>57150</xdr:rowOff>
    </xdr:from>
    <xdr:to>
      <xdr:col>11</xdr:col>
      <xdr:colOff>281940</xdr:colOff>
      <xdr:row>33</xdr:row>
      <xdr:rowOff>57150</xdr:rowOff>
    </xdr:to>
    <xdr:graphicFrame macro="">
      <xdr:nvGraphicFramePr>
        <xdr:cNvPr id="5" name="Chart 4">
          <a:extLst>
            <a:ext uri="{FF2B5EF4-FFF2-40B4-BE49-F238E27FC236}">
              <a16:creationId xmlns:a16="http://schemas.microsoft.com/office/drawing/2014/main" id="{2079D631-8D5B-DA1F-A635-C924B73B1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37</xdr:row>
      <xdr:rowOff>0</xdr:rowOff>
    </xdr:from>
    <xdr:to>
      <xdr:col>7</xdr:col>
      <xdr:colOff>213360</xdr:colOff>
      <xdr:row>53</xdr:row>
      <xdr:rowOff>129540</xdr:rowOff>
    </xdr:to>
    <xdr:graphicFrame macro="">
      <xdr:nvGraphicFramePr>
        <xdr:cNvPr id="6" name="Chart 5">
          <a:extLst>
            <a:ext uri="{FF2B5EF4-FFF2-40B4-BE49-F238E27FC236}">
              <a16:creationId xmlns:a16="http://schemas.microsoft.com/office/drawing/2014/main" id="{6427C0CA-4B7A-4AC5-AB5D-621AB4FA5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56</xdr:row>
      <xdr:rowOff>171450</xdr:rowOff>
    </xdr:from>
    <xdr:to>
      <xdr:col>11</xdr:col>
      <xdr:colOff>320040</xdr:colOff>
      <xdr:row>71</xdr:row>
      <xdr:rowOff>171450</xdr:rowOff>
    </xdr:to>
    <xdr:graphicFrame macro="">
      <xdr:nvGraphicFramePr>
        <xdr:cNvPr id="7" name="Chart 6">
          <a:extLst>
            <a:ext uri="{FF2B5EF4-FFF2-40B4-BE49-F238E27FC236}">
              <a16:creationId xmlns:a16="http://schemas.microsoft.com/office/drawing/2014/main" id="{93D9C1CF-BB35-5FC0-E853-5EA8CC291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56</xdr:row>
      <xdr:rowOff>118110</xdr:rowOff>
    </xdr:from>
    <xdr:to>
      <xdr:col>19</xdr:col>
      <xdr:colOff>304800</xdr:colOff>
      <xdr:row>71</xdr:row>
      <xdr:rowOff>118110</xdr:rowOff>
    </xdr:to>
    <xdr:graphicFrame macro="">
      <xdr:nvGraphicFramePr>
        <xdr:cNvPr id="8" name="Chart 7">
          <a:extLst>
            <a:ext uri="{FF2B5EF4-FFF2-40B4-BE49-F238E27FC236}">
              <a16:creationId xmlns:a16="http://schemas.microsoft.com/office/drawing/2014/main" id="{3C45A561-6A6F-4399-7CAC-4C4396B5A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129540</xdr:colOff>
      <xdr:row>74</xdr:row>
      <xdr:rowOff>125730</xdr:rowOff>
    </xdr:from>
    <xdr:to>
      <xdr:col>17</xdr:col>
      <xdr:colOff>434340</xdr:colOff>
      <xdr:row>89</xdr:row>
      <xdr:rowOff>125730</xdr:rowOff>
    </xdr:to>
    <xdr:graphicFrame macro="">
      <xdr:nvGraphicFramePr>
        <xdr:cNvPr id="9" name="Chart 8">
          <a:extLst>
            <a:ext uri="{FF2B5EF4-FFF2-40B4-BE49-F238E27FC236}">
              <a16:creationId xmlns:a16="http://schemas.microsoft.com/office/drawing/2014/main" id="{F7624A1E-D6F8-5390-F25F-59A5BA5E8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220980</xdr:colOff>
      <xdr:row>74</xdr:row>
      <xdr:rowOff>148590</xdr:rowOff>
    </xdr:from>
    <xdr:to>
      <xdr:col>25</xdr:col>
      <xdr:colOff>525780</xdr:colOff>
      <xdr:row>89</xdr:row>
      <xdr:rowOff>148590</xdr:rowOff>
    </xdr:to>
    <xdr:graphicFrame macro="">
      <xdr:nvGraphicFramePr>
        <xdr:cNvPr id="10" name="Chart 9">
          <a:extLst>
            <a:ext uri="{FF2B5EF4-FFF2-40B4-BE49-F238E27FC236}">
              <a16:creationId xmlns:a16="http://schemas.microsoft.com/office/drawing/2014/main" id="{D1C0F4EF-5155-5845-DBA5-52A4E0500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38100</xdr:rowOff>
    </xdr:from>
    <xdr:to>
      <xdr:col>6</xdr:col>
      <xdr:colOff>868680</xdr:colOff>
      <xdr:row>14</xdr:row>
      <xdr:rowOff>167640</xdr:rowOff>
    </xdr:to>
    <xdr:graphicFrame macro="">
      <xdr:nvGraphicFramePr>
        <xdr:cNvPr id="8" name="Chart 7">
          <a:extLst>
            <a:ext uri="{FF2B5EF4-FFF2-40B4-BE49-F238E27FC236}">
              <a16:creationId xmlns:a16="http://schemas.microsoft.com/office/drawing/2014/main" id="{3DBFAEEE-D63C-4F34-AAC7-4311295F5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937260</xdr:colOff>
      <xdr:row>1</xdr:row>
      <xdr:rowOff>30480</xdr:rowOff>
    </xdr:from>
    <xdr:to>
      <xdr:col>10</xdr:col>
      <xdr:colOff>647700</xdr:colOff>
      <xdr:row>17</xdr:row>
      <xdr:rowOff>0</xdr:rowOff>
    </xdr:to>
    <xdr:graphicFrame macro="">
      <xdr:nvGraphicFramePr>
        <xdr:cNvPr id="9" name="Chart 8">
          <a:extLst>
            <a:ext uri="{FF2B5EF4-FFF2-40B4-BE49-F238E27FC236}">
              <a16:creationId xmlns:a16="http://schemas.microsoft.com/office/drawing/2014/main" id="{7487E74C-05A7-4773-8325-57DFD5D9C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662940</xdr:colOff>
      <xdr:row>1</xdr:row>
      <xdr:rowOff>38100</xdr:rowOff>
    </xdr:from>
    <xdr:to>
      <xdr:col>12</xdr:col>
      <xdr:colOff>571500</xdr:colOff>
      <xdr:row>10</xdr:row>
      <xdr:rowOff>99060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82DC4E53-BD37-4A44-E0D8-21DFF4ED56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64140" y="670560"/>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655320</xdr:colOff>
      <xdr:row>10</xdr:row>
      <xdr:rowOff>106680</xdr:rowOff>
    </xdr:from>
    <xdr:to>
      <xdr:col>12</xdr:col>
      <xdr:colOff>563880</xdr:colOff>
      <xdr:row>17</xdr:row>
      <xdr:rowOff>15240</xdr:rowOff>
    </xdr:to>
    <mc:AlternateContent xmlns:mc="http://schemas.openxmlformats.org/markup-compatibility/2006" xmlns:a14="http://schemas.microsoft.com/office/drawing/2010/main">
      <mc:Choice Requires="a14">
        <xdr:graphicFrame macro="">
          <xdr:nvGraphicFramePr>
            <xdr:cNvPr id="14" name="Loan_Status">
              <a:extLst>
                <a:ext uri="{FF2B5EF4-FFF2-40B4-BE49-F238E27FC236}">
                  <a16:creationId xmlns:a16="http://schemas.microsoft.com/office/drawing/2014/main" id="{BD1221E1-7AFE-1FB5-3D0D-1C5C2BAEAAE1}"/>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0256520" y="2385060"/>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906780</xdr:colOff>
      <xdr:row>17</xdr:row>
      <xdr:rowOff>22860</xdr:rowOff>
    </xdr:from>
    <xdr:to>
      <xdr:col>12</xdr:col>
      <xdr:colOff>548640</xdr:colOff>
      <xdr:row>24</xdr:row>
      <xdr:rowOff>114300</xdr:rowOff>
    </xdr:to>
    <mc:AlternateContent xmlns:mc="http://schemas.openxmlformats.org/markup-compatibility/2006" xmlns:tsle="http://schemas.microsoft.com/office/drawing/2012/timeslicer">
      <mc:Choice Requires="tsle">
        <xdr:graphicFrame macro="">
          <xdr:nvGraphicFramePr>
            <xdr:cNvPr id="16" name="Application_Date">
              <a:extLst>
                <a:ext uri="{FF2B5EF4-FFF2-40B4-BE49-F238E27FC236}">
                  <a16:creationId xmlns:a16="http://schemas.microsoft.com/office/drawing/2014/main" id="{8B50AD76-D95B-1835-E683-984E586058F5}"/>
                </a:ext>
              </a:extLst>
            </xdr:cNvPr>
            <xdr:cNvGraphicFramePr/>
          </xdr:nvGraphicFramePr>
          <xdr:xfrm>
            <a:off x="0" y="0"/>
            <a:ext cx="0" cy="0"/>
          </xdr:xfrm>
          <a:graphic>
            <a:graphicData uri="http://schemas.microsoft.com/office/drawing/2012/timeslicer">
              <tsle:timeslicer name="Application_Date"/>
            </a:graphicData>
          </a:graphic>
        </xdr:graphicFrame>
      </mc:Choice>
      <mc:Fallback xmlns="">
        <xdr:sp macro="" textlink="">
          <xdr:nvSpPr>
            <xdr:cNvPr id="0" name=""/>
            <xdr:cNvSpPr>
              <a:spLocks noTextEdit="1"/>
            </xdr:cNvSpPr>
          </xdr:nvSpPr>
          <xdr:spPr>
            <a:xfrm>
              <a:off x="6667500" y="3581400"/>
              <a:ext cx="54025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944880</xdr:colOff>
      <xdr:row>15</xdr:row>
      <xdr:rowOff>15240</xdr:rowOff>
    </xdr:from>
    <xdr:to>
      <xdr:col>6</xdr:col>
      <xdr:colOff>876300</xdr:colOff>
      <xdr:row>29</xdr:row>
      <xdr:rowOff>175260</xdr:rowOff>
    </xdr:to>
    <xdr:graphicFrame macro="">
      <xdr:nvGraphicFramePr>
        <xdr:cNvPr id="17" name="Chart 16">
          <a:extLst>
            <a:ext uri="{FF2B5EF4-FFF2-40B4-BE49-F238E27FC236}">
              <a16:creationId xmlns:a16="http://schemas.microsoft.com/office/drawing/2014/main" id="{5C9E9DBE-366C-4A4C-9A03-8CC5CF3C8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1.926458796297" createdVersion="8" refreshedVersion="8" minRefreshableVersion="3" recordCount="1200" xr:uid="{6CB78623-DAF6-46E8-97F5-720DCD6CF5B3}">
  <cacheSource type="worksheet">
    <worksheetSource name="LoanData"/>
  </cacheSource>
  <cacheFields count="23">
    <cacheField name="Loan_ID" numFmtId="0">
      <sharedItems count="1200">
        <s v="LN10854"/>
        <s v="LN11033"/>
        <s v="LN11048"/>
        <s v="LN10668"/>
        <s v="LN10299"/>
        <s v="LN11104"/>
        <s v="LN11156"/>
        <s v="LN10511"/>
        <s v="LN10384"/>
        <s v="LN10696"/>
        <s v="LN10446"/>
        <s v="LN10283"/>
        <s v="LN10239"/>
        <s v="LN10392"/>
        <s v="LN10101"/>
        <s v="LN10380"/>
        <s v="LN10972"/>
        <s v="LN10700"/>
        <s v="LN10720"/>
        <s v="LN11187"/>
        <s v="LN11167"/>
        <s v="LN10006"/>
        <s v="LN10382"/>
        <s v="LN10469"/>
        <s v="LN10580"/>
        <s v="LN11020"/>
        <s v="LN10930"/>
        <s v="LN10342"/>
        <s v="LN11011"/>
        <s v="LN10772"/>
        <s v="LN11127"/>
        <s v="LN10633"/>
        <s v="LN10279"/>
        <s v="LN11079"/>
        <s v="LN11135"/>
        <s v="LN10637"/>
        <s v="LN11055"/>
        <s v="LN10712"/>
        <s v="LN10324"/>
        <s v="LN10956"/>
        <s v="LN10225"/>
        <s v="LN10341"/>
        <s v="LN10248"/>
        <s v="LN11147"/>
        <s v="LN10234"/>
        <s v="LN10098"/>
        <s v="LN10662"/>
        <s v="LN10454"/>
        <s v="LN10495"/>
        <s v="LN10708"/>
        <s v="LN10595"/>
        <s v="LN10924"/>
        <s v="LN10604"/>
        <s v="LN10807"/>
        <s v="LN11015"/>
        <s v="LN10267"/>
        <s v="LN11047"/>
        <s v="LN10672"/>
        <s v="LN10749"/>
        <s v="LN10828"/>
        <s v="LN10156"/>
        <s v="LN11097"/>
        <s v="LN10076"/>
        <s v="LN10119"/>
        <s v="LN10447"/>
        <s v="LN10106"/>
        <s v="LN11166"/>
        <s v="LN10309"/>
        <s v="LN11099"/>
        <s v="LN10026"/>
        <s v="LN10541"/>
        <s v="LN10665"/>
        <s v="LN10734"/>
        <s v="LN10723"/>
        <s v="LN11118"/>
        <s v="LN11037"/>
        <s v="LN10179"/>
        <s v="LN10771"/>
        <s v="LN10087"/>
        <s v="LN10692"/>
        <s v="LN11001"/>
        <s v="LN10243"/>
        <s v="LN10275"/>
        <s v="LN10183"/>
        <s v="LN10440"/>
        <s v="LN11059"/>
        <s v="LN10993"/>
        <s v="LN10104"/>
        <s v="LN10204"/>
        <s v="LN10494"/>
        <s v="LN10131"/>
        <s v="LN10259"/>
        <s v="LN10574"/>
        <s v="LN10983"/>
        <s v="LN10515"/>
        <s v="LN10845"/>
        <s v="LN10047"/>
        <s v="LN11154"/>
        <s v="LN10027"/>
        <s v="LN10702"/>
        <s v="LN10789"/>
        <s v="LN11000"/>
        <s v="LN10834"/>
        <s v="LN10042"/>
        <s v="LN10144"/>
        <s v="LN11052"/>
        <s v="LN11080"/>
        <s v="LN11111"/>
        <s v="LN10925"/>
        <s v="LN11159"/>
        <s v="LN10213"/>
        <s v="LN10252"/>
        <s v="LN10752"/>
        <s v="LN10908"/>
        <s v="LN10439"/>
        <s v="LN10476"/>
        <s v="LN10704"/>
        <s v="LN10958"/>
        <s v="LN10711"/>
        <s v="LN11012"/>
        <s v="LN10350"/>
        <s v="LN10797"/>
        <s v="LN11061"/>
        <s v="LN10287"/>
        <s v="LN10623"/>
        <s v="LN10893"/>
        <s v="LN10559"/>
        <s v="LN10669"/>
        <s v="LN10917"/>
        <s v="LN10612"/>
        <s v="LN10967"/>
        <s v="LN10277"/>
        <s v="LN11026"/>
        <s v="LN11132"/>
        <s v="LN10092"/>
        <s v="LN10582"/>
        <s v="LN11138"/>
        <s v="LN11108"/>
        <s v="LN10512"/>
        <s v="LN10418"/>
        <s v="LN10860"/>
        <s v="LN10538"/>
        <s v="LN10444"/>
        <s v="LN10191"/>
        <s v="LN10088"/>
        <s v="LN10240"/>
        <s v="LN10557"/>
        <s v="LN10739"/>
        <s v="LN10313"/>
        <s v="LN10395"/>
        <s v="LN10330"/>
        <s v="LN10707"/>
        <s v="LN10596"/>
        <s v="LN10192"/>
        <s v="LN11162"/>
        <s v="LN10468"/>
        <s v="LN10978"/>
        <s v="LN10158"/>
        <s v="LN10990"/>
        <s v="LN10529"/>
        <s v="LN10726"/>
        <s v="LN10196"/>
        <s v="LN10688"/>
        <s v="LN11029"/>
        <s v="LN10970"/>
        <s v="LN10544"/>
        <s v="LN10150"/>
        <s v="LN10613"/>
        <s v="LN10622"/>
        <s v="LN10323"/>
        <s v="LN10138"/>
        <s v="LN11145"/>
        <s v="LN10020"/>
        <s v="LN10883"/>
        <s v="LN11084"/>
        <s v="LN11139"/>
        <s v="LN10306"/>
        <s v="LN10095"/>
        <s v="LN10561"/>
        <s v="LN10427"/>
        <s v="LN11175"/>
        <s v="LN10295"/>
        <s v="LN10290"/>
        <s v="LN10661"/>
        <s v="LN11066"/>
        <s v="LN11173"/>
        <s v="LN10430"/>
        <s v="LN10798"/>
        <s v="LN10546"/>
        <s v="LN10100"/>
        <s v="LN10094"/>
        <s v="LN10880"/>
        <s v="LN10578"/>
        <s v="LN10462"/>
        <s v="LN10673"/>
        <s v="LN11045"/>
        <s v="LN10130"/>
        <s v="LN10167"/>
        <s v="LN10573"/>
        <s v="LN10587"/>
        <s v="LN10767"/>
        <s v="LN10547"/>
        <s v="LN10491"/>
        <s v="LN10922"/>
        <s v="LN10205"/>
        <s v="LN10680"/>
        <s v="LN10388"/>
        <s v="LN10199"/>
        <s v="LN10231"/>
        <s v="LN11034"/>
        <s v="LN10835"/>
        <s v="LN10143"/>
        <s v="LN10550"/>
        <s v="LN10791"/>
        <s v="LN10091"/>
        <s v="LN10810"/>
        <s v="LN10942"/>
        <s v="LN10074"/>
        <s v="LN10291"/>
        <s v="LN10872"/>
        <s v="LN11105"/>
        <s v="LN10897"/>
        <s v="LN10282"/>
        <s v="LN10817"/>
        <s v="LN10438"/>
        <s v="LN10746"/>
        <s v="LN10563"/>
        <s v="LN10294"/>
        <s v="LN10895"/>
        <s v="LN10105"/>
        <s v="LN10885"/>
        <s v="LN10603"/>
        <s v="LN10348"/>
        <s v="LN10701"/>
        <s v="LN10820"/>
        <s v="LN10214"/>
        <s v="LN10058"/>
        <s v="LN10333"/>
        <s v="LN10617"/>
        <s v="LN11124"/>
        <s v="LN10318"/>
        <s v="LN10747"/>
        <s v="LN10276"/>
        <s v="LN10361"/>
        <s v="LN10209"/>
        <s v="LN10706"/>
        <s v="LN10606"/>
        <s v="LN10160"/>
        <s v="LN11168"/>
        <s v="LN10907"/>
        <s v="LN10263"/>
        <s v="LN10799"/>
        <s v="LN10758"/>
        <s v="LN10034"/>
        <s v="LN10652"/>
        <s v="LN10553"/>
        <s v="LN10015"/>
        <s v="LN10354"/>
        <s v="LN10778"/>
        <s v="LN10761"/>
        <s v="LN10381"/>
        <s v="LN10743"/>
        <s v="LN10724"/>
        <s v="LN10508"/>
        <s v="LN10548"/>
        <s v="LN10212"/>
        <s v="LN10523"/>
        <s v="LN10349"/>
        <s v="LN10537"/>
        <s v="LN10605"/>
        <s v="LN10785"/>
        <s v="LN10912"/>
        <s v="LN10052"/>
        <s v="LN10061"/>
        <s v="LN10658"/>
        <s v="LN10714"/>
        <s v="LN10841"/>
        <s v="LN10914"/>
        <s v="LN10232"/>
        <s v="LN10792"/>
        <s v="LN10139"/>
        <s v="LN10385"/>
        <s v="LN11021"/>
        <s v="LN10833"/>
        <s v="LN10569"/>
        <s v="LN10441"/>
        <s v="LN10258"/>
        <s v="LN10332"/>
        <s v="LN10274"/>
        <s v="LN10266"/>
        <s v="LN10304"/>
        <s v="LN10824"/>
        <s v="LN10850"/>
        <s v="LN10621"/>
        <s v="LN10414"/>
        <s v="LN10684"/>
        <s v="LN10638"/>
        <s v="LN10426"/>
        <s v="LN10577"/>
        <s v="LN10051"/>
        <s v="LN10534"/>
        <s v="LN10565"/>
        <s v="LN10003"/>
        <s v="LN10678"/>
        <s v="LN10284"/>
        <s v="LN10223"/>
        <s v="LN10096"/>
        <s v="LN10718"/>
        <s v="LN11098"/>
        <s v="LN10112"/>
        <s v="LN10487"/>
        <s v="LN10644"/>
        <s v="LN10420"/>
        <s v="LN10808"/>
        <s v="LN10697"/>
        <s v="LN10145"/>
        <s v="LN10918"/>
        <s v="LN10452"/>
        <s v="LN10493"/>
        <s v="LN10630"/>
        <s v="LN10533"/>
        <s v="LN10226"/>
        <s v="LN10210"/>
        <s v="LN10814"/>
        <s v="LN11189"/>
        <s v="LN10911"/>
        <s v="LN10253"/>
        <s v="LN10944"/>
        <s v="LN10360"/>
        <s v="LN10502"/>
        <s v="LN10110"/>
        <s v="LN10292"/>
        <s v="LN10655"/>
        <s v="LN11140"/>
        <s v="LN10187"/>
        <s v="LN10729"/>
        <s v="LN10719"/>
        <s v="LN10757"/>
        <s v="LN10871"/>
        <s v="LN10645"/>
        <s v="LN11129"/>
        <s v="LN10174"/>
        <s v="LN10328"/>
        <s v="LN10525"/>
        <s v="LN10890"/>
        <s v="LN10164"/>
        <s v="LN10070"/>
        <s v="LN10458"/>
        <s v="LN10500"/>
        <s v="LN10416"/>
        <s v="LN11019"/>
        <s v="LN10424"/>
        <s v="LN10490"/>
        <s v="LN10067"/>
        <s v="LN10540"/>
        <s v="LN10451"/>
        <s v="LN10161"/>
        <s v="LN10909"/>
        <s v="LN10004"/>
        <s v="LN10054"/>
        <s v="LN10751"/>
        <s v="LN10770"/>
        <s v="LN10567"/>
        <s v="LN11038"/>
        <s v="LN10033"/>
        <s v="LN10068"/>
        <s v="LN10730"/>
        <s v="LN11016"/>
        <s v="LN10592"/>
        <s v="LN10206"/>
        <s v="LN10345"/>
        <s v="LN11096"/>
        <s v="LN10097"/>
        <s v="LN10579"/>
        <s v="LN11022"/>
        <s v="LN11141"/>
        <s v="LN10409"/>
        <s v="LN10473"/>
        <s v="LN10378"/>
        <s v="LN10359"/>
        <s v="LN10514"/>
        <s v="LN10952"/>
        <s v="LN10934"/>
        <s v="LN10281"/>
        <s v="LN10338"/>
        <s v="LN10628"/>
        <s v="LN10562"/>
        <s v="LN10753"/>
        <s v="LN10048"/>
        <s v="LN10998"/>
        <s v="LN10293"/>
        <s v="LN10202"/>
        <s v="LN11115"/>
        <s v="LN10501"/>
        <s v="LN10448"/>
        <s v="LN11109"/>
        <s v="LN10218"/>
        <s v="LN11149"/>
        <s v="LN10355"/>
        <s v="LN11122"/>
        <s v="LN11125"/>
        <s v="LN10432"/>
        <s v="LN11136"/>
        <s v="LN10581"/>
        <s v="LN10043"/>
        <s v="LN10926"/>
        <s v="LN10009"/>
        <s v="LN11083"/>
        <s v="LN11010"/>
        <s v="LN10919"/>
        <s v="LN10041"/>
        <s v="LN11130"/>
        <s v="LN10170"/>
        <s v="LN10402"/>
        <s v="LN10832"/>
        <s v="LN10273"/>
        <s v="LN10050"/>
        <s v="LN10249"/>
        <s v="LN10736"/>
        <s v="LN11174"/>
        <s v="LN10932"/>
        <s v="LN11024"/>
        <s v="LN10303"/>
        <s v="LN10636"/>
        <s v="LN10858"/>
        <s v="LN10528"/>
        <s v="LN10765"/>
        <s v="LN10591"/>
        <s v="LN11077"/>
        <s v="LN10254"/>
        <s v="LN10625"/>
        <s v="LN10812"/>
        <s v="LN10237"/>
        <s v="LN10842"/>
        <s v="LN10286"/>
        <s v="LN11090"/>
        <s v="LN10066"/>
        <s v="LN10805"/>
        <s v="LN10910"/>
        <s v="LN10783"/>
        <s v="LN10455"/>
        <s v="LN10321"/>
        <s v="LN10698"/>
        <s v="LN10775"/>
        <s v="LN10843"/>
        <s v="LN10483"/>
        <s v="LN11186"/>
        <s v="LN10055"/>
        <s v="LN10741"/>
        <s v="LN10536"/>
        <s v="LN10510"/>
        <s v="LN10182"/>
        <s v="LN10410"/>
        <s v="LN11131"/>
        <s v="LN10417"/>
        <s v="LN11119"/>
        <s v="LN10268"/>
        <s v="LN10370"/>
        <s v="LN10103"/>
        <s v="LN11110"/>
        <s v="LN11082"/>
        <s v="LN11049"/>
        <s v="LN10023"/>
        <s v="LN11053"/>
        <s v="LN11158"/>
        <s v="LN10124"/>
        <s v="LN10411"/>
        <s v="LN10302"/>
        <s v="LN10250"/>
        <s v="LN10987"/>
        <s v="LN10146"/>
        <s v="LN10107"/>
        <s v="LN10089"/>
        <s v="LN10687"/>
        <s v="LN10780"/>
        <s v="LN10984"/>
        <s v="LN10154"/>
        <s v="LN10224"/>
        <s v="LN11178"/>
        <s v="LN10038"/>
        <s v="LN10114"/>
        <s v="LN10639"/>
        <s v="LN11191"/>
        <s v="LN10257"/>
        <s v="LN10517"/>
        <s v="LN10193"/>
        <s v="LN10334"/>
        <s v="LN10326"/>
        <s v="LN10194"/>
        <s v="LN10443"/>
        <s v="LN10459"/>
        <s v="LN10431"/>
        <s v="LN11171"/>
        <s v="LN10280"/>
        <s v="LN10403"/>
        <s v="LN10935"/>
        <s v="LN10586"/>
        <s v="LN10863"/>
        <s v="LN10111"/>
        <s v="LN10975"/>
        <s v="LN10011"/>
        <s v="LN10856"/>
        <s v="LN10774"/>
        <s v="LN10389"/>
        <s v="LN11155"/>
        <s v="LN10560"/>
        <s v="LN10614"/>
        <s v="LN10766"/>
        <s v="LN10763"/>
        <s v="LN10731"/>
        <s v="LN10325"/>
        <s v="LN10315"/>
        <s v="LN10735"/>
        <s v="LN11107"/>
        <s v="LN10404"/>
        <s v="LN10151"/>
        <s v="LN10997"/>
        <s v="LN10722"/>
        <s v="LN10466"/>
        <s v="LN10075"/>
        <s v="LN11103"/>
        <s v="LN10464"/>
        <s v="LN10929"/>
        <s v="LN10233"/>
        <s v="LN10627"/>
        <s v="LN10436"/>
        <s v="LN11023"/>
        <s v="LN11085"/>
        <s v="LN11067"/>
        <s v="LN11057"/>
        <s v="LN11194"/>
        <s v="LN10024"/>
        <s v="LN10480"/>
        <s v="LN11089"/>
        <s v="LN10001"/>
        <s v="LN10162"/>
        <s v="LN10128"/>
        <s v="LN11165"/>
        <s v="LN10423"/>
        <s v="LN10425"/>
        <s v="LN10876"/>
        <s v="LN11181"/>
        <s v="LN10129"/>
        <s v="LN10102"/>
        <s v="LN10609"/>
        <s v="LN10963"/>
        <s v="LN10693"/>
        <s v="LN11157"/>
        <s v="LN10868"/>
        <s v="LN10246"/>
        <s v="LN10115"/>
        <s v="LN10879"/>
        <s v="LN10969"/>
        <s v="LN10861"/>
        <s v="LN10081"/>
        <s v="LN10121"/>
        <s v="LN11014"/>
        <s v="LN10650"/>
        <s v="LN10991"/>
        <s v="LN10825"/>
        <s v="LN10600"/>
        <s v="LN10827"/>
        <s v="LN10498"/>
        <s v="LN11027"/>
        <s v="LN10269"/>
        <s v="LN10996"/>
        <s v="LN11078"/>
        <s v="LN10931"/>
        <s v="LN10660"/>
        <s v="LN10357"/>
        <s v="LN10399"/>
        <s v="LN10556"/>
        <s v="LN10790"/>
        <s v="LN10864"/>
        <s v="LN11046"/>
        <s v="LN10241"/>
        <s v="LN10297"/>
        <s v="LN10116"/>
        <s v="LN10398"/>
        <s v="LN10977"/>
        <s v="LN11088"/>
        <s v="LN10069"/>
        <s v="LN10954"/>
        <s v="LN11062"/>
        <s v="LN10369"/>
        <s v="LN10773"/>
        <s v="LN10568"/>
        <s v="LN11106"/>
        <s v="LN10449"/>
        <s v="LN10947"/>
        <s v="LN10675"/>
        <s v="LN10982"/>
        <s v="LN10364"/>
        <s v="LN10082"/>
        <s v="LN10343"/>
        <s v="LN10314"/>
        <s v="LN10608"/>
        <s v="LN10484"/>
        <s v="LN10260"/>
        <s v="LN10215"/>
        <s v="LN10887"/>
        <s v="LN11126"/>
        <s v="LN10745"/>
        <s v="LN10346"/>
        <s v="LN10007"/>
        <s v="LN10654"/>
        <s v="LN10710"/>
        <s v="LN11060"/>
        <s v="LN10265"/>
        <s v="LN10482"/>
        <s v="LN10610"/>
        <s v="LN10939"/>
        <s v="LN10759"/>
        <s v="LN10408"/>
        <s v="LN10635"/>
        <s v="LN10012"/>
        <s v="LN10754"/>
        <s v="LN10593"/>
        <s v="LN10941"/>
        <s v="LN11196"/>
        <s v="LN10884"/>
        <s v="LN10583"/>
        <s v="LN10894"/>
        <s v="LN11035"/>
        <s v="LN10899"/>
        <s v="LN11074"/>
        <s v="LN10526"/>
        <s v="LN11068"/>
        <s v="LN11076"/>
        <s v="LN11092"/>
        <s v="LN10319"/>
        <s v="LN10847"/>
        <s v="LN11160"/>
        <s v="LN10356"/>
        <s v="LN10819"/>
        <s v="LN10127"/>
        <s v="LN10178"/>
        <s v="LN10477"/>
        <s v="LN10902"/>
        <s v="LN10866"/>
        <s v="LN10362"/>
        <s v="LN10988"/>
        <s v="LN10005"/>
        <s v="LN11056"/>
        <s v="LN10021"/>
        <s v="LN10822"/>
        <s v="LN10122"/>
        <s v="LN10163"/>
        <s v="LN10264"/>
        <s v="LN11143"/>
        <s v="LN10093"/>
        <s v="LN10619"/>
        <s v="LN10974"/>
        <s v="LN10750"/>
        <s v="LN10475"/>
        <s v="LN10421"/>
        <s v="LN10838"/>
        <s v="LN10888"/>
        <s v="LN10903"/>
        <s v="LN10072"/>
        <s v="LN10133"/>
        <s v="LN11032"/>
        <s v="LN10085"/>
        <s v="LN10347"/>
        <s v="LN10624"/>
        <s v="LN10375"/>
        <s v="LN11112"/>
        <s v="LN10916"/>
        <s v="LN10985"/>
        <s v="LN11172"/>
        <s v="LN10489"/>
        <s v="LN11017"/>
        <s v="LN10460"/>
        <s v="LN11002"/>
        <s v="LN10126"/>
        <s v="LN10558"/>
        <s v="LN11013"/>
        <s v="LN10851"/>
        <s v="LN10648"/>
        <s v="LN10518"/>
        <s v="LN10995"/>
        <s v="LN11134"/>
        <s v="LN10029"/>
        <s v="LN10372"/>
        <s v="LN10057"/>
        <s v="LN10228"/>
        <s v="LN10727"/>
        <s v="LN10433"/>
        <s v="LN11164"/>
        <s v="LN11176"/>
        <s v="LN11146"/>
        <s v="LN10599"/>
        <s v="LN10742"/>
        <s v="LN10506"/>
        <s v="LN11008"/>
        <s v="LN10653"/>
        <s v="LN10497"/>
        <s v="LN10973"/>
        <s v="LN10801"/>
        <s v="LN10878"/>
        <s v="LN10316"/>
        <s v="LN10152"/>
        <s v="LN10554"/>
        <s v="LN10618"/>
        <s v="LN10733"/>
        <s v="LN10690"/>
        <s v="LN10486"/>
        <s v="LN10184"/>
        <s v="LN10296"/>
        <s v="LN10173"/>
        <s v="LN10519"/>
        <s v="LN10201"/>
        <s v="LN10136"/>
        <s v="LN10261"/>
        <s v="LN10308"/>
        <s v="LN10322"/>
        <s v="LN11188"/>
        <s v="LN10585"/>
        <s v="LN10255"/>
        <s v="LN10813"/>
        <s v="LN10849"/>
        <s v="LN10022"/>
        <s v="LN10310"/>
        <s v="LN11100"/>
        <s v="LN10221"/>
        <s v="LN11113"/>
        <s v="LN10445"/>
        <s v="LN10134"/>
        <s v="LN10238"/>
        <s v="LN10049"/>
        <s v="LN11116"/>
        <s v="LN10516"/>
        <s v="LN10664"/>
        <s v="LN10950"/>
        <s v="LN10641"/>
        <s v="LN10200"/>
        <s v="LN10539"/>
        <s v="LN10570"/>
        <s v="LN10039"/>
        <s v="LN10768"/>
        <s v="LN11091"/>
        <s v="LN10927"/>
        <s v="LN11075"/>
        <s v="LN10244"/>
        <s v="LN10572"/>
        <s v="LN11117"/>
        <s v="LN10602"/>
        <s v="LN10857"/>
        <s v="LN10806"/>
        <s v="LN10900"/>
        <s v="LN10886"/>
        <s v="LN10236"/>
        <s v="LN10955"/>
        <s v="LN10964"/>
        <s v="LN10786"/>
        <s v="LN10195"/>
        <s v="LN10682"/>
        <s v="LN10943"/>
        <s v="LN10412"/>
        <s v="LN10437"/>
        <s v="LN10135"/>
        <s v="LN10737"/>
        <s v="LN10589"/>
        <s v="LN10705"/>
        <s v="LN10646"/>
        <s v="LN11042"/>
        <s v="LN10453"/>
        <s v="LN10769"/>
        <s v="LN10703"/>
        <s v="LN10575"/>
        <s v="LN11018"/>
        <s v="LN10853"/>
        <s v="LN10177"/>
        <s v="LN11039"/>
        <s v="LN10663"/>
        <s v="LN10671"/>
        <s v="LN11153"/>
        <s v="LN10674"/>
        <s v="LN10551"/>
        <s v="LN10396"/>
        <s v="LN11093"/>
        <s v="LN10906"/>
        <s v="LN10457"/>
        <s v="LN10217"/>
        <s v="LN10352"/>
        <s v="LN10839"/>
        <s v="LN10677"/>
        <s v="LN10640"/>
        <s v="LN10642"/>
        <s v="LN10117"/>
        <s v="LN10165"/>
        <s v="LN10938"/>
        <s v="LN10999"/>
        <s v="LN10148"/>
        <s v="LN10053"/>
        <s v="LN10383"/>
        <s v="LN10844"/>
        <s v="LN10419"/>
        <s v="LN10904"/>
        <s v="LN10616"/>
        <s v="LN10377"/>
        <s v="LN10949"/>
        <s v="LN10251"/>
        <s v="LN10171"/>
        <s v="LN10695"/>
        <s v="LN10203"/>
        <s v="LN10715"/>
        <s v="LN11094"/>
        <s v="LN10685"/>
        <s v="LN10691"/>
        <s v="LN10800"/>
        <s v="LN10149"/>
        <s v="LN11184"/>
        <s v="LN10679"/>
        <s v="LN10168"/>
        <s v="LN10123"/>
        <s v="LN10721"/>
        <s v="LN10155"/>
        <s v="LN11051"/>
        <s v="LN10981"/>
        <s v="LN10875"/>
        <s v="LN10823"/>
        <s v="LN10471"/>
        <s v="LN10686"/>
        <s v="LN10571"/>
        <s v="LN10013"/>
        <s v="LN10594"/>
        <s v="LN10060"/>
        <s v="LN11006"/>
        <s v="LN10230"/>
        <s v="LN10298"/>
        <s v="LN10960"/>
        <s v="LN10962"/>
        <s v="LN10837"/>
        <s v="LN10874"/>
        <s v="LN10227"/>
        <s v="LN10180"/>
        <s v="LN11050"/>
        <s v="LN10335"/>
        <s v="LN11200"/>
        <s v="LN10809"/>
        <s v="LN11199"/>
        <s v="LN10063"/>
        <s v="LN11190"/>
        <s v="LN10782"/>
        <s v="LN10470"/>
        <s v="LN11081"/>
        <s v="LN11151"/>
        <s v="LN10667"/>
        <s v="LN10465"/>
        <s v="LN10175"/>
        <s v="LN10062"/>
        <s v="LN10802"/>
        <s v="LN10008"/>
        <s v="LN10169"/>
        <s v="LN10793"/>
        <s v="LN10219"/>
        <s v="LN10520"/>
        <s v="LN10631"/>
        <s v="LN10620"/>
        <s v="LN11004"/>
        <s v="LN10481"/>
        <s v="LN10429"/>
        <s v="LN11072"/>
        <s v="LN10190"/>
        <s v="LN10208"/>
        <s v="LN10056"/>
        <s v="LN10542"/>
        <s v="LN10713"/>
        <s v="LN10760"/>
        <s v="LN10456"/>
        <s v="LN10059"/>
        <s v="LN10656"/>
        <s v="LN10401"/>
        <s v="LN10699"/>
        <s v="LN10488"/>
        <s v="LN11195"/>
        <s v="LN11058"/>
        <s v="LN10891"/>
        <s v="LN10530"/>
        <s v="LN10744"/>
        <s v="LN10764"/>
        <s v="LN10994"/>
        <s v="LN10272"/>
        <s v="LN10002"/>
        <s v="LN10010"/>
        <s v="LN10014"/>
        <s v="LN10016"/>
        <s v="LN10017"/>
        <s v="LN10018"/>
        <s v="LN10019"/>
        <s v="LN10025"/>
        <s v="LN10028"/>
        <s v="LN10030"/>
        <s v="LN10031"/>
        <s v="LN10032"/>
        <s v="LN10035"/>
        <s v="LN10036"/>
        <s v="LN10037"/>
        <s v="LN10040"/>
        <s v="LN10044"/>
        <s v="LN10045"/>
        <s v="LN10046"/>
        <s v="LN10064"/>
        <s v="LN10065"/>
        <s v="LN10071"/>
        <s v="LN10073"/>
        <s v="LN10077"/>
        <s v="LN10078"/>
        <s v="LN10079"/>
        <s v="LN10080"/>
        <s v="LN10083"/>
        <s v="LN10084"/>
        <s v="LN10086"/>
        <s v="LN10090"/>
        <s v="LN10099"/>
        <s v="LN10108"/>
        <s v="LN10109"/>
        <s v="LN10113"/>
        <s v="LN10118"/>
        <s v="LN10120"/>
        <s v="LN10125"/>
        <s v="LN10132"/>
        <s v="LN10137"/>
        <s v="LN10140"/>
        <s v="LN10141"/>
        <s v="LN10142"/>
        <s v="LN10147"/>
        <s v="LN10153"/>
        <s v="LN10157"/>
        <s v="LN10159"/>
        <s v="LN10166"/>
        <s v="LN10172"/>
        <s v="LN10176"/>
        <s v="LN10181"/>
        <s v="LN10185"/>
        <s v="LN10186"/>
        <s v="LN10188"/>
        <s v="LN10189"/>
        <s v="LN10197"/>
        <s v="LN10198"/>
        <s v="LN10207"/>
        <s v="LN10211"/>
        <s v="LN10216"/>
        <s v="LN10220"/>
        <s v="LN10222"/>
        <s v="LN10229"/>
        <s v="LN10235"/>
        <s v="LN10242"/>
        <s v="LN10245"/>
        <s v="LN10247"/>
        <s v="LN10256"/>
        <s v="LN10262"/>
        <s v="LN10270"/>
        <s v="LN10271"/>
        <s v="LN10278"/>
        <s v="LN10285"/>
        <s v="LN10288"/>
        <s v="LN10289"/>
        <s v="LN10300"/>
        <s v="LN10301"/>
        <s v="LN10305"/>
        <s v="LN10307"/>
        <s v="LN10311"/>
        <s v="LN10312"/>
        <s v="LN10317"/>
        <s v="LN10320"/>
        <s v="LN10327"/>
        <s v="LN10329"/>
        <s v="LN10331"/>
        <s v="LN10336"/>
        <s v="LN10337"/>
        <s v="LN10339"/>
        <s v="LN10340"/>
        <s v="LN10344"/>
        <s v="LN10351"/>
        <s v="LN10353"/>
        <s v="LN10358"/>
        <s v="LN10363"/>
        <s v="LN10365"/>
        <s v="LN10366"/>
        <s v="LN10367"/>
        <s v="LN10368"/>
        <s v="LN10371"/>
        <s v="LN10373"/>
        <s v="LN10374"/>
        <s v="LN10376"/>
        <s v="LN10379"/>
        <s v="LN10386"/>
        <s v="LN10387"/>
        <s v="LN10390"/>
        <s v="LN10391"/>
        <s v="LN10393"/>
        <s v="LN10394"/>
        <s v="LN10397"/>
        <s v="LN10400"/>
        <s v="LN10405"/>
        <s v="LN10406"/>
        <s v="LN10407"/>
        <s v="LN10413"/>
        <s v="LN10415"/>
        <s v="LN10422"/>
        <s v="LN10428"/>
        <s v="LN10434"/>
        <s v="LN10435"/>
        <s v="LN10442"/>
        <s v="LN10450"/>
        <s v="LN10461"/>
        <s v="LN10463"/>
        <s v="LN10467"/>
        <s v="LN10472"/>
        <s v="LN10474"/>
        <s v="LN10478"/>
        <s v="LN10479"/>
        <s v="LN10485"/>
        <s v="LN10492"/>
        <s v="LN10496"/>
        <s v="LN10499"/>
        <s v="LN10503"/>
        <s v="LN10504"/>
        <s v="LN10505"/>
        <s v="LN10507"/>
        <s v="LN10509"/>
        <s v="LN10513"/>
        <s v="LN10521"/>
        <s v="LN10522"/>
        <s v="LN10524"/>
        <s v="LN10527"/>
        <s v="LN10531"/>
        <s v="LN10532"/>
        <s v="LN10535"/>
        <s v="LN10543"/>
        <s v="LN10545"/>
        <s v="LN10549"/>
        <s v="LN10552"/>
        <s v="LN10555"/>
        <s v="LN10564"/>
        <s v="LN10566"/>
        <s v="LN10576"/>
        <s v="LN10584"/>
        <s v="LN10588"/>
        <s v="LN10590"/>
        <s v="LN10597"/>
        <s v="LN10598"/>
        <s v="LN10601"/>
        <s v="LN10607"/>
        <s v="LN10611"/>
        <s v="LN10615"/>
        <s v="LN10626"/>
        <s v="LN10629"/>
        <s v="LN10632"/>
        <s v="LN10634"/>
        <s v="LN10643"/>
        <s v="LN10647"/>
        <s v="LN10649"/>
        <s v="LN10651"/>
        <s v="LN10657"/>
        <s v="LN10659"/>
        <s v="LN10666"/>
        <s v="LN10670"/>
        <s v="LN10676"/>
        <s v="LN10681"/>
        <s v="LN10683"/>
        <s v="LN10689"/>
        <s v="LN10694"/>
        <s v="LN10709"/>
        <s v="LN10716"/>
        <s v="LN10717"/>
        <s v="LN10725"/>
        <s v="LN10728"/>
        <s v="LN10732"/>
        <s v="LN10738"/>
        <s v="LN10740"/>
        <s v="LN10748"/>
        <s v="LN10755"/>
        <s v="LN10756"/>
        <s v="LN10762"/>
        <s v="LN10776"/>
        <s v="LN10777"/>
        <s v="LN10779"/>
        <s v="LN10781"/>
        <s v="LN10784"/>
        <s v="LN10787"/>
        <s v="LN10788"/>
        <s v="LN10794"/>
        <s v="LN10795"/>
        <s v="LN10796"/>
        <s v="LN10803"/>
        <s v="LN10804"/>
        <s v="LN10811"/>
        <s v="LN10815"/>
        <s v="LN10816"/>
        <s v="LN10818"/>
        <s v="LN10821"/>
        <s v="LN10826"/>
        <s v="LN10829"/>
        <s v="LN10830"/>
        <s v="LN10831"/>
        <s v="LN10836"/>
        <s v="LN10840"/>
        <s v="LN10846"/>
        <s v="LN10848"/>
        <s v="LN10852"/>
        <s v="LN10855"/>
        <s v="LN10859"/>
        <s v="LN10862"/>
        <s v="LN10865"/>
        <s v="LN10867"/>
        <s v="LN10869"/>
        <s v="LN10870"/>
        <s v="LN10873"/>
        <s v="LN10877"/>
        <s v="LN10881"/>
        <s v="LN10882"/>
        <s v="LN10889"/>
        <s v="LN10892"/>
        <s v="LN10896"/>
        <s v="LN10898"/>
        <s v="LN10901"/>
        <s v="LN10905"/>
        <s v="LN10913"/>
        <s v="LN10915"/>
        <s v="LN10920"/>
        <s v="LN10921"/>
        <s v="LN10923"/>
        <s v="LN10928"/>
        <s v="LN10933"/>
        <s v="LN10936"/>
        <s v="LN10937"/>
        <s v="LN10940"/>
        <s v="LN10945"/>
        <s v="LN10946"/>
        <s v="LN10948"/>
        <s v="LN10951"/>
        <s v="LN10953"/>
        <s v="LN10957"/>
        <s v="LN10959"/>
        <s v="LN10961"/>
        <s v="LN10965"/>
        <s v="LN10966"/>
        <s v="LN10968"/>
        <s v="LN10971"/>
        <s v="LN10976"/>
        <s v="LN10979"/>
        <s v="LN10980"/>
        <s v="LN10986"/>
        <s v="LN10989"/>
        <s v="LN10992"/>
        <s v="LN11003"/>
        <s v="LN11005"/>
        <s v="LN11007"/>
        <s v="LN11009"/>
        <s v="LN11025"/>
        <s v="LN11028"/>
        <s v="LN11030"/>
        <s v="LN11031"/>
        <s v="LN11036"/>
        <s v="LN11040"/>
        <s v="LN11041"/>
        <s v="LN11043"/>
        <s v="LN11044"/>
        <s v="LN11054"/>
        <s v="LN11063"/>
        <s v="LN11064"/>
        <s v="LN11065"/>
        <s v="LN11069"/>
        <s v="LN11070"/>
        <s v="LN11071"/>
        <s v="LN11073"/>
        <s v="LN11086"/>
        <s v="LN11087"/>
        <s v="LN11095"/>
        <s v="LN11101"/>
        <s v="LN11102"/>
        <s v="LN11114"/>
        <s v="LN11120"/>
        <s v="LN11121"/>
        <s v="LN11123"/>
        <s v="LN11128"/>
        <s v="LN11133"/>
        <s v="LN11137"/>
        <s v="LN11142"/>
        <s v="LN11144"/>
        <s v="LN11148"/>
        <s v="LN11150"/>
        <s v="LN11152"/>
        <s v="LN11161"/>
        <s v="LN11163"/>
        <s v="LN11169"/>
        <s v="LN11170"/>
        <s v="LN11177"/>
        <s v="LN11179"/>
        <s v="LN11180"/>
        <s v="LN11182"/>
        <s v="LN11183"/>
        <s v="LN11185"/>
        <s v="LN11192"/>
        <s v="LN11193"/>
        <s v="LN11197"/>
        <s v="LN11198"/>
      </sharedItems>
    </cacheField>
    <cacheField name="Customer_Name" numFmtId="0">
      <sharedItems/>
    </cacheField>
    <cacheField name="Age" numFmtId="0">
      <sharedItems containsSemiMixedTypes="0" containsString="0" containsNumber="1" containsInteger="1" minValue="22" maxValue="65"/>
    </cacheField>
    <cacheField name="Employment_Type" numFmtId="0">
      <sharedItems count="7">
        <s v="Self-Employed"/>
        <s v="Business Owner"/>
        <s v="Freelancer"/>
        <s v="Salaried"/>
        <s v="Government Employee"/>
        <s v="  Self-Employed"/>
        <s v="Salaried "/>
      </sharedItems>
    </cacheField>
    <cacheField name="Monthly_Income" numFmtId="0">
      <sharedItems containsString="0" containsBlank="1" containsNumber="1" containsInteger="1" minValue="15414" maxValue="249689"/>
    </cacheField>
    <cacheField name="Loan_Amount" numFmtId="0">
      <sharedItems containsSemiMixedTypes="0" containsString="0" containsNumber="1" containsInteger="1" minValue="50000" maxValue="2000000"/>
    </cacheField>
    <cacheField name="Loan_Term_Months" numFmtId="0">
      <sharedItems containsSemiMixedTypes="0" containsString="0" containsNumber="1" containsInteger="1" minValue="12" maxValue="240"/>
    </cacheField>
    <cacheField name="Interest_Rate" numFmtId="0">
      <sharedItems containsSemiMixedTypes="0" containsString="0" containsNumber="1" minValue="7.5" maxValue="21.97"/>
    </cacheField>
    <cacheField name="Loan_Purpose" numFmtId="0">
      <sharedItems/>
    </cacheField>
    <cacheField name="Credit_Score" numFmtId="0">
      <sharedItems containsMixedTypes="1" containsNumber="1" containsInteger="1" minValue="300" maxValue="900"/>
    </cacheField>
    <cacheField name="Application_Date" numFmtId="164">
      <sharedItems containsSemiMixedTypes="0" containsNonDate="0" containsDate="1" containsString="0" minDate="2021-01-01T00:00:00" maxDate="2024-01-02T00:00:00" count="708">
        <d v="2022-10-25T00:00:00"/>
        <d v="2021-09-28T00:00:00"/>
        <d v="2021-04-01T00:00:00"/>
        <d v="2023-11-18T00:00:00"/>
        <d v="2023-08-29T00:00:00"/>
        <d v="2022-06-28T00:00:00"/>
        <d v="2023-10-29T00:00:00"/>
        <d v="2022-05-06T00:00:00"/>
        <d v="2023-09-04T00:00:00"/>
        <d v="2023-10-13T00:00:00"/>
        <d v="2022-08-05T00:00:00"/>
        <d v="2023-06-06T00:00:00"/>
        <d v="2023-02-08T00:00:00"/>
        <d v="2022-02-20T00:00:00"/>
        <d v="2021-05-07T00:00:00"/>
        <d v="2022-12-01T00:00:00"/>
        <d v="2023-04-07T00:00:00"/>
        <d v="2022-07-02T00:00:00"/>
        <d v="2022-08-29T00:00:00"/>
        <d v="2021-05-31T00:00:00"/>
        <d v="2023-09-12T00:00:00"/>
        <d v="2022-10-07T00:00:00"/>
        <d v="2021-11-20T00:00:00"/>
        <d v="2023-04-03T00:00:00"/>
        <d v="2023-12-28T00:00:00"/>
        <d v="2023-03-30T00:00:00"/>
        <d v="2023-12-29T00:00:00"/>
        <d v="2021-06-28T00:00:00"/>
        <d v="2023-12-08T00:00:00"/>
        <d v="2021-05-16T00:00:00"/>
        <d v="2023-01-11T00:00:00"/>
        <d v="2022-09-16T00:00:00"/>
        <d v="2021-09-18T00:00:00"/>
        <d v="2021-10-09T00:00:00"/>
        <d v="2021-10-03T00:00:00"/>
        <d v="2022-01-27T00:00:00"/>
        <d v="2023-12-05T00:00:00"/>
        <d v="2022-07-20T00:00:00"/>
        <d v="2021-07-21T00:00:00"/>
        <d v="2022-04-01T00:00:00"/>
        <d v="2021-05-11T00:00:00"/>
        <d v="2023-02-24T00:00:00"/>
        <d v="2022-07-19T00:00:00"/>
        <d v="2022-11-21T00:00:00"/>
        <d v="2021-12-22T00:00:00"/>
        <d v="2021-04-02T00:00:00"/>
        <d v="2023-08-28T00:00:00"/>
        <d v="2023-10-02T00:00:00"/>
        <d v="2021-04-25T00:00:00"/>
        <d v="2022-01-28T00:00:00"/>
        <d v="2023-08-18T00:00:00"/>
        <d v="2023-05-29T00:00:00"/>
        <d v="2022-08-12T00:00:00"/>
        <d v="2021-11-29T00:00:00"/>
        <d v="2021-08-10T00:00:00"/>
        <d v="2023-05-21T00:00:00"/>
        <d v="2022-11-05T00:00:00"/>
        <d v="2021-08-27T00:00:00"/>
        <d v="2022-09-04T00:00:00"/>
        <d v="2022-04-11T00:00:00"/>
        <d v="2023-01-31T00:00:00"/>
        <d v="2022-12-24T00:00:00"/>
        <d v="2022-01-04T00:00:00"/>
        <d v="2021-11-12T00:00:00"/>
        <d v="2021-03-09T00:00:00"/>
        <d v="2023-11-27T00:00:00"/>
        <d v="2023-09-09T00:00:00"/>
        <d v="2022-11-12T00:00:00"/>
        <d v="2023-09-26T00:00:00"/>
        <d v="2022-05-22T00:00:00"/>
        <d v="2023-06-29T00:00:00"/>
        <d v="2022-08-19T00:00:00"/>
        <d v="2021-01-16T00:00:00"/>
        <d v="2021-03-24T00:00:00"/>
        <d v="2021-12-09T00:00:00"/>
        <d v="2023-12-02T00:00:00"/>
        <d v="2023-06-04T00:00:00"/>
        <d v="2022-04-04T00:00:00"/>
        <d v="2021-07-04T00:00:00"/>
        <d v="2022-06-24T00:00:00"/>
        <d v="2022-06-20T00:00:00"/>
        <d v="2023-04-18T00:00:00"/>
        <d v="2021-10-14T00:00:00"/>
        <d v="2022-09-27T00:00:00"/>
        <d v="2022-04-05T00:00:00"/>
        <d v="2021-01-03T00:00:00"/>
        <d v="2023-07-31T00:00:00"/>
        <d v="2023-07-10T00:00:00"/>
        <d v="2021-12-15T00:00:00"/>
        <d v="2022-12-03T00:00:00"/>
        <d v="2023-07-26T00:00:00"/>
        <d v="2021-11-05T00:00:00"/>
        <d v="2021-01-24T00:00:00"/>
        <d v="2022-09-18T00:00:00"/>
        <d v="2022-08-01T00:00:00"/>
        <d v="2023-02-26T00:00:00"/>
        <d v="2021-09-25T00:00:00"/>
        <d v="2021-03-01T00:00:00"/>
        <d v="2022-02-13T00:00:00"/>
        <d v="2023-08-26T00:00:00"/>
        <d v="2023-10-24T00:00:00"/>
        <d v="2022-03-28T00:00:00"/>
        <d v="2023-01-22T00:00:00"/>
        <d v="2023-09-24T00:00:00"/>
        <d v="2023-02-07T00:00:00"/>
        <d v="2021-12-02T00:00:00"/>
        <d v="2023-01-09T00:00:00"/>
        <d v="2023-12-10T00:00:00"/>
        <d v="2021-12-28T00:00:00"/>
        <d v="2023-09-07T00:00:00"/>
        <d v="2023-07-25T00:00:00"/>
        <d v="2021-11-25T00:00:00"/>
        <d v="2021-10-12T00:00:00"/>
        <d v="2023-08-21T00:00:00"/>
        <d v="2023-09-08T00:00:00"/>
        <d v="2022-08-18T00:00:00"/>
        <d v="2023-02-20T00:00:00"/>
        <d v="2021-09-12T00:00:00"/>
        <d v="2021-07-18T00:00:00"/>
        <d v="2023-09-20T00:00:00"/>
        <d v="2022-01-10T00:00:00"/>
        <d v="2022-10-29T00:00:00"/>
        <d v="2021-08-03T00:00:00"/>
        <d v="2023-10-04T00:00:00"/>
        <d v="2023-11-13T00:00:00"/>
        <d v="2021-07-16T00:00:00"/>
        <d v="2022-07-12T00:00:00"/>
        <d v="2022-02-03T00:00:00"/>
        <d v="2023-01-10T00:00:00"/>
        <d v="2022-10-05T00:00:00"/>
        <d v="2022-09-09T00:00:00"/>
        <d v="2021-01-02T00:00:00"/>
        <d v="2021-12-29T00:00:00"/>
        <d v="2021-01-29T00:00:00"/>
        <d v="2022-12-14T00:00:00"/>
        <d v="2022-08-13T00:00:00"/>
        <d v="2021-07-27T00:00:00"/>
        <d v="2021-07-11T00:00:00"/>
        <d v="2021-11-26T00:00:00"/>
        <d v="2022-08-06T00:00:00"/>
        <d v="2021-11-16T00:00:00"/>
        <d v="2021-04-20T00:00:00"/>
        <d v="2023-02-04T00:00:00"/>
        <d v="2021-08-25T00:00:00"/>
        <d v="2021-05-15T00:00:00"/>
        <d v="2022-03-21T00:00:00"/>
        <d v="2021-04-26T00:00:00"/>
        <d v="2021-09-22T00:00:00"/>
        <d v="2021-04-21T00:00:00"/>
        <d v="2023-02-10T00:00:00"/>
        <d v="2022-11-08T00:00:00"/>
        <d v="2021-06-26T00:00:00"/>
        <d v="2021-11-24T00:00:00"/>
        <d v="2021-06-06T00:00:00"/>
        <d v="2022-10-14T00:00:00"/>
        <d v="2023-11-28T00:00:00"/>
        <d v="2021-04-16T00:00:00"/>
        <d v="2023-06-15T00:00:00"/>
        <d v="2023-03-22T00:00:00"/>
        <d v="2023-05-05T00:00:00"/>
        <d v="2023-10-20T00:00:00"/>
        <d v="2023-08-22T00:00:00"/>
        <d v="2023-04-10T00:00:00"/>
        <d v="2021-10-20T00:00:00"/>
        <d v="2023-12-17T00:00:00"/>
        <d v="2022-08-28T00:00:00"/>
        <d v="2022-08-31T00:00:00"/>
        <d v="2022-08-26T00:00:00"/>
        <d v="2023-11-30T00:00:00"/>
        <d v="2022-04-21T00:00:00"/>
        <d v="2021-05-13T00:00:00"/>
        <d v="2021-07-19T00:00:00"/>
        <d v="2021-02-23T00:00:00"/>
        <d v="2021-09-03T00:00:00"/>
        <d v="2022-09-13T00:00:00"/>
        <d v="2023-10-07T00:00:00"/>
        <d v="2023-03-12T00:00:00"/>
        <d v="2021-10-01T00:00:00"/>
        <d v="2022-02-24T00:00:00"/>
        <d v="2021-10-22T00:00:00"/>
        <d v="2021-05-01T00:00:00"/>
        <d v="2021-04-04T00:00:00"/>
        <d v="2022-02-01T00:00:00"/>
        <d v="2021-08-13T00:00:00"/>
        <d v="2021-07-28T00:00:00"/>
        <d v="2023-11-14T00:00:00"/>
        <d v="2022-10-27T00:00:00"/>
        <d v="2022-04-14T00:00:00"/>
        <d v="2022-12-02T00:00:00"/>
        <d v="2023-05-16T00:00:00"/>
        <d v="2022-05-27T00:00:00"/>
        <d v="2022-04-30T00:00:00"/>
        <d v="2023-04-26T00:00:00"/>
        <d v="2022-06-18T00:00:00"/>
        <d v="2022-07-10T00:00:00"/>
        <d v="2023-07-29T00:00:00"/>
        <d v="2021-11-28T00:00:00"/>
        <d v="2023-07-19T00:00:00"/>
        <d v="2021-06-12T00:00:00"/>
        <d v="2021-03-12T00:00:00"/>
        <d v="2022-06-07T00:00:00"/>
        <d v="2023-11-15T00:00:00"/>
        <d v="2022-11-09T00:00:00"/>
        <d v="2023-08-25T00:00:00"/>
        <d v="2021-08-09T00:00:00"/>
        <d v="2023-01-06T00:00:00"/>
        <d v="2022-10-01T00:00:00"/>
        <d v="2023-07-09T00:00:00"/>
        <d v="2021-03-23T00:00:00"/>
        <d v="2023-09-23T00:00:00"/>
        <d v="2021-10-28T00:00:00"/>
        <d v="2021-01-25T00:00:00"/>
        <d v="2024-01-01T00:00:00"/>
        <d v="2023-05-25T00:00:00"/>
        <d v="2021-09-16T00:00:00"/>
        <d v="2023-12-07T00:00:00"/>
        <d v="2021-04-15T00:00:00"/>
        <d v="2023-04-17T00:00:00"/>
        <d v="2023-02-05T00:00:00"/>
        <d v="2022-05-25T00:00:00"/>
        <d v="2021-03-25T00:00:00"/>
        <d v="2022-04-17T00:00:00"/>
        <d v="2023-12-11T00:00:00"/>
        <d v="2022-08-17T00:00:00"/>
        <d v="2023-06-08T00:00:00"/>
        <d v="2021-01-27T00:00:00"/>
        <d v="2021-01-12T00:00:00"/>
        <d v="2022-11-23T00:00:00"/>
        <d v="2022-12-09T00:00:00"/>
        <d v="2022-11-26T00:00:00"/>
        <d v="2021-05-03T00:00:00"/>
        <d v="2021-10-15T00:00:00"/>
        <d v="2021-06-22T00:00:00"/>
        <d v="2021-09-27T00:00:00"/>
        <d v="2021-09-05T00:00:00"/>
        <d v="2021-07-23T00:00:00"/>
        <d v="2022-05-04T00:00:00"/>
        <d v="2023-12-23T00:00:00"/>
        <d v="2022-11-27T00:00:00"/>
        <d v="2023-09-25T00:00:00"/>
        <d v="2023-08-20T00:00:00"/>
        <d v="2023-10-18T00:00:00"/>
        <d v="2022-09-11T00:00:00"/>
        <d v="2023-10-28T00:00:00"/>
        <d v="2021-12-26T00:00:00"/>
        <d v="2021-05-28T00:00:00"/>
        <d v="2023-06-23T00:00:00"/>
        <d v="2022-07-07T00:00:00"/>
        <d v="2022-02-10T00:00:00"/>
        <d v="2022-02-19T00:00:00"/>
        <d v="2023-03-18T00:00:00"/>
        <d v="2023-06-17T00:00:00"/>
        <d v="2022-03-09T00:00:00"/>
        <d v="2022-05-20T00:00:00"/>
        <d v="2021-10-21T00:00:00"/>
        <d v="2022-01-20T00:00:00"/>
        <d v="2022-03-24T00:00:00"/>
        <d v="2022-11-29T00:00:00"/>
        <d v="2022-12-20T00:00:00"/>
        <d v="2021-08-12T00:00:00"/>
        <d v="2022-07-18T00:00:00"/>
        <d v="2021-02-10T00:00:00"/>
        <d v="2021-04-08T00:00:00"/>
        <d v="2021-04-19T00:00:00"/>
        <d v="2023-02-15T00:00:00"/>
        <d v="2022-08-07T00:00:00"/>
        <d v="2023-10-30T00:00:00"/>
        <d v="2021-07-05T00:00:00"/>
        <d v="2023-01-12T00:00:00"/>
        <d v="2023-05-10T00:00:00"/>
        <d v="2023-12-01T00:00:00"/>
        <d v="2023-10-17T00:00:00"/>
        <d v="2021-02-02T00:00:00"/>
        <d v="2022-07-16T00:00:00"/>
        <d v="2021-05-23T00:00:00"/>
        <d v="2021-07-03T00:00:00"/>
        <d v="2023-05-22T00:00:00"/>
        <d v="2023-03-05T00:00:00"/>
        <d v="2022-11-14T00:00:00"/>
        <d v="2021-09-21T00:00:00"/>
        <d v="2022-06-21T00:00:00"/>
        <d v="2023-05-24T00:00:00"/>
        <d v="2023-08-30T00:00:00"/>
        <d v="2023-11-20T00:00:00"/>
        <d v="2022-10-13T00:00:00"/>
        <d v="2023-11-22T00:00:00"/>
        <d v="2021-05-02T00:00:00"/>
        <d v="2023-12-04T00:00:00"/>
        <d v="2022-10-11T00:00:00"/>
        <d v="2021-11-09T00:00:00"/>
        <d v="2023-09-16T00:00:00"/>
        <d v="2021-12-16T00:00:00"/>
        <d v="2021-10-26T00:00:00"/>
        <d v="2021-01-20T00:00:00"/>
        <d v="2022-01-11T00:00:00"/>
        <d v="2022-12-11T00:00:00"/>
        <d v="2021-12-08T00:00:00"/>
        <d v="2023-08-08T00:00:00"/>
        <d v="2023-08-19T00:00:00"/>
        <d v="2023-04-08T00:00:00"/>
        <d v="2022-11-25T00:00:00"/>
        <d v="2022-08-27T00:00:00"/>
        <d v="2022-05-01T00:00:00"/>
        <d v="2023-08-07T00:00:00"/>
        <d v="2023-02-18T00:00:00"/>
        <d v="2022-06-11T00:00:00"/>
        <d v="2022-03-12T00:00:00"/>
        <d v="2022-09-28T00:00:00"/>
        <d v="2022-04-26T00:00:00"/>
        <d v="2022-05-31T00:00:00"/>
        <d v="2021-01-21T00:00:00"/>
        <d v="2021-12-03T00:00:00"/>
        <d v="2023-10-05T00:00:00"/>
        <d v="2023-05-11T00:00:00"/>
        <d v="2023-02-09T00:00:00"/>
        <d v="2022-01-17T00:00:00"/>
        <d v="2021-08-08T00:00:00"/>
        <d v="2021-04-17T00:00:00"/>
        <d v="2021-07-24T00:00:00"/>
        <d v="2022-07-11T00:00:00"/>
        <d v="2021-06-13T00:00:00"/>
        <d v="2022-05-08T00:00:00"/>
        <d v="2022-11-10T00:00:00"/>
        <d v="2021-04-05T00:00:00"/>
        <d v="2021-08-30T00:00:00"/>
        <d v="2023-04-04T00:00:00"/>
        <d v="2023-11-06T00:00:00"/>
        <d v="2023-03-23T00:00:00"/>
        <d v="2023-01-25T00:00:00"/>
        <d v="2022-05-10T00:00:00"/>
        <d v="2023-01-04T00:00:00"/>
        <d v="2022-04-02T00:00:00"/>
        <d v="2022-02-15T00:00:00"/>
        <d v="2023-07-03T00:00:00"/>
        <d v="2022-04-20T00:00:00"/>
        <d v="2021-08-23T00:00:00"/>
        <d v="2021-05-18T00:00:00"/>
        <d v="2021-01-07T00:00:00"/>
        <d v="2023-06-26T00:00:00"/>
        <d v="2022-10-15T00:00:00"/>
        <d v="2022-03-04T00:00:00"/>
        <d v="2023-02-16T00:00:00"/>
        <d v="2022-01-25T00:00:00"/>
        <d v="2023-04-12T00:00:00"/>
        <d v="2021-02-08T00:00:00"/>
        <d v="2023-09-21T00:00:00"/>
        <d v="2023-03-31T00:00:00"/>
        <d v="2021-04-11T00:00:00"/>
        <d v="2021-01-09T00:00:00"/>
        <d v="2022-02-11T00:00:00"/>
        <d v="2022-09-23T00:00:00"/>
        <d v="2021-11-11T00:00:00"/>
        <d v="2021-07-13T00:00:00"/>
        <d v="2022-06-06T00:00:00"/>
        <d v="2022-03-30T00:00:00"/>
        <d v="2023-09-17T00:00:00"/>
        <d v="2022-10-23T00:00:00"/>
        <d v="2022-06-29T00:00:00"/>
        <d v="2022-01-14T00:00:00"/>
        <d v="2023-11-08T00:00:00"/>
        <d v="2021-02-12T00:00:00"/>
        <d v="2021-09-01T00:00:00"/>
        <d v="2023-03-25T00:00:00"/>
        <d v="2021-11-17T00:00:00"/>
        <d v="2022-06-27T00:00:00"/>
        <d v="2023-03-16T00:00:00"/>
        <d v="2021-03-16T00:00:00"/>
        <d v="2021-07-26T00:00:00"/>
        <d v="2022-03-31T00:00:00"/>
        <d v="2023-03-03T00:00:00"/>
        <d v="2021-01-18T00:00:00"/>
        <d v="2023-05-18T00:00:00"/>
        <d v="2023-03-20T00:00:00"/>
        <d v="2021-03-06T00:00:00"/>
        <d v="2023-06-27T00:00:00"/>
        <d v="2022-08-10T00:00:00"/>
        <d v="2021-03-18T00:00:00"/>
        <d v="2022-07-25T00:00:00"/>
        <d v="2022-01-26T00:00:00"/>
        <d v="2021-05-05T00:00:00"/>
        <d v="2021-05-30T00:00:00"/>
        <d v="2022-06-17T00:00:00"/>
        <d v="2022-07-28T00:00:00"/>
        <d v="2023-06-13T00:00:00"/>
        <d v="2022-07-22T00:00:00"/>
        <d v="2022-08-15T00:00:00"/>
        <d v="2023-05-09T00:00:00"/>
        <d v="2022-02-04T00:00:00"/>
        <d v="2023-01-15T00:00:00"/>
        <d v="2022-01-19T00:00:00"/>
        <d v="2021-05-22T00:00:00"/>
        <d v="2022-05-29T00:00:00"/>
        <d v="2023-04-27T00:00:00"/>
        <d v="2022-05-09T00:00:00"/>
        <d v="2023-03-29T00:00:00"/>
        <d v="2023-05-27T00:00:00"/>
        <d v="2021-01-30T00:00:00"/>
        <d v="2023-07-18T00:00:00"/>
        <d v="2021-11-10T00:00:00"/>
        <d v="2022-09-12T00:00:00"/>
        <d v="2021-10-16T00:00:00"/>
        <d v="2022-10-31T00:00:00"/>
        <d v="2021-12-30T00:00:00"/>
        <d v="2023-05-23T00:00:00"/>
        <d v="2021-11-21T00:00:00"/>
        <d v="2022-12-25T00:00:00"/>
        <d v="2021-01-19T00:00:00"/>
        <d v="2022-12-21T00:00:00"/>
        <d v="2021-06-04T00:00:00"/>
        <d v="2022-01-21T00:00:00"/>
        <d v="2022-04-22T00:00:00"/>
        <d v="2021-07-01T00:00:00"/>
        <d v="2021-12-13T00:00:00"/>
        <d v="2022-12-12T00:00:00"/>
        <d v="2023-07-21T00:00:00"/>
        <d v="2023-01-16T00:00:00"/>
        <d v="2022-02-26T00:00:00"/>
        <d v="2021-06-18T00:00:00"/>
        <d v="2022-01-30T00:00:00"/>
        <d v="2023-08-16T00:00:00"/>
        <d v="2022-10-17T00:00:00"/>
        <d v="2021-12-25T00:00:00"/>
        <d v="2023-04-09T00:00:00"/>
        <d v="2021-01-06T00:00:00"/>
        <d v="2021-12-27T00:00:00"/>
        <d v="2023-12-19T00:00:00"/>
        <d v="2023-06-18T00:00:00"/>
        <d v="2023-01-23T00:00:00"/>
        <d v="2023-07-01T00:00:00"/>
        <d v="2021-12-14T00:00:00"/>
        <d v="2021-08-06T00:00:00"/>
        <d v="2022-03-03T00:00:00"/>
        <d v="2023-03-04T00:00:00"/>
        <d v="2022-04-23T00:00:00"/>
        <d v="2021-11-27T00:00:00"/>
        <d v="2023-11-03T00:00:00"/>
        <d v="2022-11-15T00:00:00"/>
        <d v="2021-12-23T00:00:00"/>
        <d v="2023-09-10T00:00:00"/>
        <d v="2023-10-03T00:00:00"/>
        <d v="2022-04-12T00:00:00"/>
        <d v="2021-03-27T00:00:00"/>
        <d v="2022-01-05T00:00:00"/>
        <d v="2022-08-24T00:00:00"/>
        <d v="2021-08-04T00:00:00"/>
        <d v="2022-10-16T00:00:00"/>
        <d v="2023-09-28T00:00:00"/>
        <d v="2022-11-04T00:00:00"/>
        <d v="2021-11-07T00:00:00"/>
        <d v="2021-01-13T00:00:00"/>
        <d v="2022-10-26T00:00:00"/>
        <d v="2022-09-21T00:00:00"/>
        <d v="2023-06-14T00:00:00"/>
        <d v="2023-05-02T00:00:00"/>
        <d v="2022-03-26T00:00:00"/>
        <d v="2023-07-23T00:00:00"/>
        <d v="2021-06-10T00:00:00"/>
        <d v="2021-05-12T00:00:00"/>
        <d v="2023-06-21T00:00:00"/>
        <d v="2021-09-24T00:00:00"/>
        <d v="2022-05-24T00:00:00"/>
        <d v="2021-02-19T00:00:00"/>
        <d v="2023-05-07T00:00:00"/>
        <d v="2021-11-22T00:00:00"/>
        <d v="2021-10-31T00:00:00"/>
        <d v="2021-05-26T00:00:00"/>
        <d v="2023-09-19T00:00:00"/>
        <d v="2021-04-27T00:00:00"/>
        <d v="2023-06-16T00:00:00"/>
        <d v="2022-06-30T00:00:00"/>
        <d v="2023-05-13T00:00:00"/>
        <d v="2022-02-07T00:00:00"/>
        <d v="2021-06-23T00:00:00"/>
        <d v="2021-10-18T00:00:00"/>
        <d v="2022-06-26T00:00:00"/>
        <d v="2022-01-02T00:00:00"/>
        <d v="2023-02-17T00:00:00"/>
        <d v="2021-01-22T00:00:00"/>
        <d v="2021-09-29T00:00:00"/>
        <d v="2023-07-11T00:00:00"/>
        <d v="2022-03-10T00:00:00"/>
        <d v="2022-03-07T00:00:00"/>
        <d v="2021-02-11T00:00:00"/>
        <d v="2021-06-03T00:00:00"/>
        <d v="2023-07-20T00:00:00"/>
        <d v="2022-03-18T00:00:00"/>
        <d v="2023-04-29T00:00:00"/>
        <d v="2023-06-30T00:00:00"/>
        <d v="2021-04-14T00:00:00"/>
        <d v="2023-06-09T00:00:00"/>
        <d v="2021-05-21T00:00:00"/>
        <d v="2022-05-03T00:00:00"/>
        <d v="2023-08-23T00:00:00"/>
        <d v="2021-01-01T00:00:00"/>
        <d v="2023-04-19T00:00:00"/>
        <d v="2021-06-30T00:00:00"/>
        <d v="2023-12-14T00:00:00"/>
        <d v="2023-12-21T00:00:00"/>
        <d v="2023-12-13T00:00:00"/>
        <d v="2023-03-07T00:00:00"/>
        <d v="2023-04-24T00:00:00"/>
        <d v="2023-02-28T00:00:00"/>
        <d v="2021-05-27T00:00:00"/>
        <d v="2022-09-15T00:00:00"/>
        <d v="2023-12-12T00:00:00"/>
        <d v="2022-08-04T00:00:00"/>
        <d v="2022-03-02T00:00:00"/>
        <d v="2021-03-17T00:00:00"/>
        <d v="2022-06-01T00:00:00"/>
        <d v="2022-08-22T00:00:00"/>
        <d v="2021-03-21T00:00:00"/>
        <d v="2023-11-02T00:00:00"/>
        <d v="2021-07-07T00:00:00"/>
        <d v="2022-01-15T00:00:00"/>
        <d v="2023-12-31T00:00:00"/>
        <d v="2023-06-11T00:00:00"/>
        <d v="2023-03-27T00:00:00"/>
        <d v="2022-02-28T00:00:00"/>
        <d v="2023-05-30T00:00:00"/>
        <d v="2021-11-02T00:00:00"/>
        <d v="2023-02-21T00:00:00"/>
        <d v="2021-10-27T00:00:00"/>
        <d v="2023-01-30T00:00:00"/>
        <d v="2021-03-29T00:00:00"/>
        <d v="2023-08-06T00:00:00"/>
        <d v="2022-05-14T00:00:00"/>
        <d v="2023-12-24T00:00:00"/>
        <d v="2021-09-09T00:00:00"/>
        <d v="2022-07-06T00:00:00"/>
        <d v="2022-05-12T00:00:00"/>
        <d v="2022-07-24T00:00:00"/>
        <d v="2023-09-27T00:00:00"/>
        <d v="2022-06-12T00:00:00"/>
        <d v="2022-10-20T00:00:00"/>
        <d v="2022-08-16T00:00:00"/>
        <d v="2023-03-09T00:00:00"/>
        <d v="2022-07-17T00:00:00"/>
        <d v="2023-02-23T00:00:00"/>
        <d v="2023-03-01T00:00:00"/>
        <d v="2021-08-02T00:00:00"/>
        <d v="2023-10-11T00:00:00"/>
        <d v="2022-03-19T00:00:00"/>
        <d v="2021-11-01T00:00:00"/>
        <d v="2021-03-03T00:00:00"/>
        <d v="2021-01-08T00:00:00"/>
        <d v="2023-03-13T00:00:00"/>
        <d v="2021-10-24T00:00:00"/>
        <d v="2023-05-19T00:00:00"/>
        <d v="2023-09-03T00:00:00"/>
        <d v="2023-07-27T00:00:00"/>
        <d v="2022-08-11T00:00:00"/>
        <d v="2022-09-07T00:00:00"/>
        <d v="2022-02-05T00:00:00"/>
        <d v="2021-06-02T00:00:00"/>
        <d v="2023-04-25T00:00:00"/>
        <d v="2023-01-17T00:00:00"/>
        <d v="2023-09-01T00:00:00"/>
        <d v="2023-02-12T00:00:00"/>
        <d v="2021-02-18T00:00:00"/>
        <d v="2023-04-11T00:00:00"/>
        <d v="2022-07-15T00:00:00"/>
        <d v="2022-08-20T00:00:00"/>
        <d v="2021-12-11T00:00:00"/>
        <d v="2023-01-08T00:00:00"/>
        <d v="2023-06-25T00:00:00"/>
        <d v="2022-03-23T00:00:00"/>
        <d v="2022-04-28T00:00:00"/>
        <d v="2023-12-09T00:00:00"/>
        <d v="2023-07-08T00:00:00"/>
        <d v="2023-11-04T00:00:00"/>
        <d v="2022-09-19T00:00:00"/>
        <d v="2022-05-13T00:00:00"/>
        <d v="2023-01-28T00:00:00"/>
        <d v="2023-04-14T00:00:00"/>
        <d v="2021-08-16T00:00:00"/>
        <d v="2021-06-05T00:00:00"/>
        <d v="2022-05-17T00:00:00"/>
        <d v="2021-12-20T00:00:00"/>
        <d v="2023-04-16T00:00:00"/>
        <d v="2022-07-14T00:00:00"/>
        <d v="2021-05-29T00:00:00"/>
        <d v="2023-07-02T00:00:00"/>
        <d v="2021-02-05T00:00:00"/>
        <d v="2021-04-07T00:00:00"/>
        <d v="2023-12-20T00:00:00"/>
        <d v="2023-12-27T00:00:00"/>
        <d v="2022-01-18T00:00:00"/>
        <d v="2023-11-10T00:00:00"/>
        <d v="2021-07-29T00:00:00"/>
        <d v="2023-04-13T00:00:00"/>
        <d v="2021-07-06T00:00:00"/>
        <d v="2021-03-14T00:00:00"/>
        <d v="2023-05-12T00:00:00"/>
        <d v="2021-06-27T00:00:00"/>
        <d v="2023-03-28T00:00:00"/>
        <d v="2021-02-17T00:00:00"/>
        <d v="2022-11-28T00:00:00"/>
        <d v="2023-08-27T00:00:00"/>
        <d v="2021-07-20T00:00:00"/>
        <d v="2022-04-27T00:00:00"/>
        <d v="2022-10-22T00:00:00"/>
        <d v="2021-06-15T00:00:00"/>
        <d v="2022-09-10T00:00:00"/>
        <d v="2023-10-01T00:00:00"/>
        <d v="2022-07-04T00:00:00"/>
        <d v="2021-10-08T00:00:00"/>
        <d v="2022-04-29T00:00:00"/>
        <d v="2022-03-11T00:00:00"/>
        <d v="2022-09-25T00:00:00"/>
        <d v="2022-05-28T00:00:00"/>
        <d v="2021-11-23T00:00:00"/>
        <d v="2022-09-06T00:00:00"/>
        <d v="2021-08-19T00:00:00"/>
        <d v="2021-04-24T00:00:00"/>
        <d v="2022-03-29T00:00:00"/>
        <d v="2022-05-19T00:00:00"/>
        <d v="2021-10-06T00:00:00"/>
        <d v="2023-10-22T00:00:00"/>
        <d v="2023-06-05T00:00:00"/>
        <d v="2021-10-29T00:00:00"/>
        <d v="2022-11-13T00:00:00"/>
        <d v="2022-04-19T00:00:00"/>
        <d v="2023-07-07T00:00:00"/>
        <d v="2021-03-08T00:00:00"/>
        <d v="2022-10-03T00:00:00"/>
        <d v="2021-10-17T00:00:00"/>
        <d v="2023-11-16T00:00:00"/>
        <d v="2021-08-11T00:00:00"/>
        <d v="2023-09-15T00:00:00"/>
        <d v="2021-08-31T00:00:00"/>
        <d v="2023-12-22T00:00:00"/>
        <d v="2021-02-26T00:00:00"/>
        <d v="2023-12-03T00:00:00"/>
        <d v="2021-07-12T00:00:00"/>
        <d v="2023-10-16T00:00:00"/>
        <d v="2023-10-31T00:00:00"/>
        <d v="2021-02-03T00:00:00"/>
        <d v="2021-11-13T00:00:00"/>
        <d v="2023-10-25T00:00:00"/>
        <d v="2023-12-15T00:00:00"/>
        <d v="2022-12-22T00:00:00"/>
        <d v="2023-02-19T00:00:00"/>
        <d v="2021-03-28T00:00:00"/>
        <d v="2021-09-11T00:00:00"/>
        <d v="2022-12-16T00:00:00"/>
        <d v="2023-09-18T00:00:00"/>
        <d v="2023-12-06T00:00:00"/>
        <d v="2022-10-02T00:00:00"/>
        <d v="2023-11-21T00:00:00"/>
        <d v="2021-06-07T00:00:00"/>
        <d v="2021-02-24T00:00:00"/>
        <d v="2023-02-13T00:00:00"/>
        <d v="2023-11-24T00:00:00"/>
        <d v="2021-06-21T00:00:00"/>
        <d v="2022-06-09T00:00:00"/>
        <d v="2022-06-25T00:00:00"/>
        <d v="2023-05-17T00:00:00"/>
        <d v="2021-12-17T00:00:00"/>
        <d v="2021-09-10T00:00:00"/>
        <d v="2023-06-12T00:00:00"/>
        <d v="2023-11-09T00:00:00"/>
        <d v="2022-09-02T00:00:00"/>
        <d v="2021-06-20T00:00:00"/>
        <d v="2021-06-16T00:00:00"/>
        <d v="2022-04-08T00:00:00"/>
        <d v="2022-09-20T00:00:00"/>
        <d v="2021-03-20T00:00:00"/>
        <d v="2021-04-18T00:00:00"/>
        <d v="2022-10-04T00:00:00"/>
        <d v="2022-02-16T00:00:00"/>
        <d v="2023-01-03T00:00:00"/>
        <d v="2022-11-07T00:00:00"/>
        <d v="2021-04-12T00:00:00"/>
        <d v="2021-11-04T00:00:00"/>
        <d v="2023-05-08T00:00:00"/>
        <d v="2021-12-12T00:00:00"/>
        <d v="2021-08-14T00:00:00"/>
        <d v="2023-05-01T00:00:00"/>
        <d v="2022-07-01T00:00:00"/>
        <d v="2022-03-08T00:00:00"/>
        <d v="2022-01-22T00:00:00"/>
        <d v="2022-07-09T00:00:00"/>
        <d v="2022-02-22T00:00:00"/>
        <d v="2022-02-06T00:00:00"/>
        <d v="2023-01-19T00:00:00"/>
        <d v="2023-07-16T00:00:00"/>
        <d v="2021-11-08T00:00:00"/>
        <d v="2021-07-22T00:00:00"/>
        <d v="2021-03-26T00:00:00"/>
        <d v="2022-07-30T00:00:00"/>
        <d v="2022-05-05T00:00:00"/>
        <d v="2023-05-20T00:00:00"/>
        <d v="2022-10-06T00:00:00"/>
        <d v="2021-10-30T00:00:00"/>
        <d v="2021-08-07T00:00:00"/>
        <d v="2022-04-16T00:00:00"/>
        <d v="2021-03-05T00:00:00"/>
        <d v="2023-05-15T00:00:00"/>
        <d v="2022-12-08T00:00:00"/>
        <d v="2023-10-21T00:00:00"/>
        <d v="2023-06-20T00:00:00"/>
        <d v="2022-02-18T00:00:00"/>
        <d v="2022-10-12T00:00:00"/>
        <d v="2023-11-29T00:00:00"/>
        <d v="2021-10-04T00:00:00"/>
        <d v="2022-12-29T00:00:00"/>
        <d v="2022-10-24T00:00:00"/>
        <d v="2022-03-14T00:00:00"/>
      </sharedItems>
      <fieldGroup par="22"/>
    </cacheField>
    <cacheField name="Approval_Date" numFmtId="164">
      <sharedItems/>
    </cacheField>
    <cacheField name="Loan_Status" numFmtId="0">
      <sharedItems containsBlank="1" count="4">
        <s v="Approved"/>
        <s v="Pending"/>
        <s v="Rejected"/>
        <m/>
      </sharedItems>
    </cacheField>
    <cacheField name="EMI" numFmtId="0">
      <sharedItems containsSemiMixedTypes="0" containsString="0" containsNumber="1" minValue="449.54" maxValue="187063.65"/>
    </cacheField>
    <cacheField name="Region" numFmtId="0">
      <sharedItems count="5">
        <s v="South"/>
        <s v="Central"/>
        <s v="West"/>
        <s v="North"/>
        <s v="East"/>
      </sharedItems>
    </cacheField>
    <cacheField name="Branch" numFmtId="0">
      <sharedItems count="25">
        <s v="Bangalore-Whitefield"/>
        <s v="Indore-Main"/>
        <s v="Hyderabad-Hitech"/>
        <s v="Bhopal-Mp Nagar"/>
        <s v="Ahmedabad-Cg Road"/>
        <s v="Delhi-Connaught"/>
        <s v="Pune-Shivajinagar"/>
        <s v="Chandigarh-Main"/>
        <s v="Bangalore-Koramangala"/>
        <s v="Kolkata-Salt Lake"/>
        <s v="Raipur-Main"/>
        <s v="Nagpur-Dharampeth"/>
        <s v="Noida-Sector18"/>
        <s v="Mumbai-Bandra"/>
        <s v="Gurgaon-Cybercity"/>
        <s v="Lucknow-Hazratganj"/>
        <s v="Patna-Boring Road"/>
        <s v="Delhi-Dwarka"/>
        <s v="Kochi-Mg Road"/>
        <s v="Mumbai-Andheri"/>
        <s v="Surat-Ring Road"/>
        <s v="Kolkata-Park Street"/>
        <s v="Chennai-Adyar"/>
        <s v="Bhubaneswar-Main"/>
        <s v="Guwahati-Main"/>
      </sharedItems>
    </cacheField>
    <cacheField name="Repayment_Status" numFmtId="0">
      <sharedItems containsBlank="1" count="6">
        <s v="On Track"/>
        <s v="Defaulted"/>
        <s v="Late"/>
        <s v="Closed"/>
        <s v="Grace Period"/>
        <m/>
      </sharedItems>
    </cacheField>
    <cacheField name="Late_Payments" numFmtId="0">
      <sharedItems containsSemiMixedTypes="0" containsString="0" containsNumber="1" containsInteger="1" minValue="0" maxValue="12"/>
    </cacheField>
    <cacheField name="Outstanding_Balance" numFmtId="0">
      <sharedItems containsSemiMixedTypes="0" containsString="0" containsNumber="1" minValue="0" maxValue="2000000"/>
    </cacheField>
    <cacheField name="Risk Category" numFmtId="0">
      <sharedItems count="5">
        <s v="Very High Risk"/>
        <s v="Low Risk"/>
        <s v="Medium Risk"/>
        <s v="High Risk"/>
        <s v="Unclassified"/>
      </sharedItems>
    </cacheField>
    <cacheField name="Months (Application_Date)" numFmtId="0" databaseField="0">
      <fieldGroup base="10">
        <rangePr groupBy="months" startDate="2021-01-01T00:00:00" endDate="2024-01-02T00:00:00"/>
        <groupItems count="14">
          <s v="&lt;01-01-2021"/>
          <s v="Jan"/>
          <s v="Feb"/>
          <s v="Mar"/>
          <s v="Apr"/>
          <s v="May"/>
          <s v="Jun"/>
          <s v="Jul"/>
          <s v="Aug"/>
          <s v="Sep"/>
          <s v="Oct"/>
          <s v="Nov"/>
          <s v="Dec"/>
          <s v="&gt;02-01-2024"/>
        </groupItems>
      </fieldGroup>
    </cacheField>
    <cacheField name="Quarters (Application_Date)" numFmtId="0" databaseField="0">
      <fieldGroup base="10">
        <rangePr groupBy="quarters" startDate="2021-01-01T00:00:00" endDate="2024-01-02T00:00:00"/>
        <groupItems count="6">
          <s v="&lt;01-01-2021"/>
          <s v="Qtr1"/>
          <s v="Qtr2"/>
          <s v="Qtr3"/>
          <s v="Qtr4"/>
          <s v="&gt;02-01-2024"/>
        </groupItems>
      </fieldGroup>
    </cacheField>
    <cacheField name="Years (Application_Date)" numFmtId="0" databaseField="0">
      <fieldGroup base="10">
        <rangePr groupBy="years" startDate="2021-01-01T00:00:00" endDate="2024-01-02T00:00:00"/>
        <groupItems count="6">
          <s v="&lt;01-01-2021"/>
          <s v="2021"/>
          <s v="2022"/>
          <s v="2023"/>
          <s v="2024"/>
          <s v="&gt;02-01-2024"/>
        </groupItems>
      </fieldGroup>
    </cacheField>
  </cacheFields>
  <extLst>
    <ext xmlns:x14="http://schemas.microsoft.com/office/spreadsheetml/2009/9/main" uri="{725AE2AE-9491-48be-B2B4-4EB974FC3084}">
      <x14:pivotCacheDefinition pivotCacheId="699200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Chetna Saxena"/>
    <n v="35"/>
    <x v="0"/>
    <n v="15700"/>
    <n v="2000000"/>
    <n v="48"/>
    <n v="21.84"/>
    <s v="Vehicle Loan"/>
    <n v="450"/>
    <x v="0"/>
    <s v="2022-10-30"/>
    <x v="0"/>
    <n v="62838.559999999998"/>
    <x v="0"/>
    <x v="0"/>
    <x v="0"/>
    <n v="1"/>
    <n v="2000000"/>
    <x v="0"/>
  </r>
  <r>
    <x v="1"/>
    <s v="Vinod Kaur"/>
    <n v="33"/>
    <x v="1"/>
    <n v="175715"/>
    <n v="2000000"/>
    <n v="12"/>
    <n v="16.829999999999998"/>
    <s v="Medical"/>
    <n v="879"/>
    <x v="1"/>
    <s v="2021-10-16"/>
    <x v="0"/>
    <n v="182248.19"/>
    <x v="1"/>
    <x v="1"/>
    <x v="1"/>
    <n v="8"/>
    <n v="2000000"/>
    <x v="1"/>
  </r>
  <r>
    <x v="2"/>
    <s v="Vikram Mishra"/>
    <n v="40"/>
    <x v="2"/>
    <n v="68136"/>
    <n v="2000000"/>
    <n v="60"/>
    <n v="7.85"/>
    <s v="Business Expansion"/>
    <n v="492"/>
    <x v="2"/>
    <s v="2021-05-01"/>
    <x v="0"/>
    <n v="40409.370000000003"/>
    <x v="0"/>
    <x v="2"/>
    <x v="1"/>
    <n v="12"/>
    <n v="2000000"/>
    <x v="0"/>
  </r>
  <r>
    <x v="3"/>
    <s v="Pooja Iyer"/>
    <n v="25"/>
    <x v="0"/>
    <n v="98360"/>
    <n v="2000000"/>
    <n v="120"/>
    <n v="10.119999999999999"/>
    <s v="Debt Consolidation"/>
    <n v="788"/>
    <x v="3"/>
    <s v="2023-12-13"/>
    <x v="1"/>
    <n v="26563.23"/>
    <x v="1"/>
    <x v="3"/>
    <x v="2"/>
    <n v="4"/>
    <n v="1976093.09"/>
    <x v="1"/>
  </r>
  <r>
    <x v="4"/>
    <s v="Vikram Jain"/>
    <n v="54"/>
    <x v="3"/>
    <n v="90978"/>
    <n v="2000000"/>
    <n v="60"/>
    <n v="16.3"/>
    <s v="Business Expansion"/>
    <n v="748"/>
    <x v="4"/>
    <s v="2023-09-06"/>
    <x v="0"/>
    <n v="48955.49"/>
    <x v="2"/>
    <x v="4"/>
    <x v="0"/>
    <n v="2"/>
    <n v="1955940.06"/>
    <x v="2"/>
  </r>
  <r>
    <x v="5"/>
    <s v="Mohan Malhotra"/>
    <n v="58"/>
    <x v="0"/>
    <n v="124468"/>
    <n v="2000000"/>
    <n v="36"/>
    <n v="13.69"/>
    <s v="Business Expansion"/>
    <n v="515"/>
    <x v="5"/>
    <s v="2022-07-24"/>
    <x v="0"/>
    <n v="68054.52"/>
    <x v="3"/>
    <x v="5"/>
    <x v="3"/>
    <n v="0"/>
    <n v="1877501.86"/>
    <x v="0"/>
  </r>
  <r>
    <x v="6"/>
    <s v="Ganesh Mishra"/>
    <n v="56"/>
    <x v="0"/>
    <n v="187306"/>
    <n v="2000000"/>
    <n v="12"/>
    <n v="20.93"/>
    <s v="Agriculture"/>
    <n v="521"/>
    <x v="6"/>
    <s v="2023-11-19"/>
    <x v="0"/>
    <n v="186160.36"/>
    <x v="2"/>
    <x v="6"/>
    <x v="3"/>
    <n v="0"/>
    <n v="1832455.68"/>
    <x v="0"/>
  </r>
  <r>
    <x v="7"/>
    <s v="Anita Saxena"/>
    <n v="65"/>
    <x v="0"/>
    <n v="87806"/>
    <n v="2000000"/>
    <n v="36"/>
    <n v="12.76"/>
    <s v="Medical"/>
    <n v="615"/>
    <x v="7"/>
    <s v="2022-05-17"/>
    <x v="0"/>
    <n v="67156.94"/>
    <x v="3"/>
    <x v="7"/>
    <x v="0"/>
    <n v="0"/>
    <n v="1818676.26"/>
    <x v="3"/>
  </r>
  <r>
    <x v="8"/>
    <s v="Mohan Iyer"/>
    <n v="30"/>
    <x v="0"/>
    <n v="21867"/>
    <n v="2000000"/>
    <n v="60"/>
    <n v="16.28"/>
    <s v="Personal"/>
    <n v="537"/>
    <x v="8"/>
    <s v="2023-09-11"/>
    <x v="2"/>
    <n v="48934.16"/>
    <x v="0"/>
    <x v="8"/>
    <x v="3"/>
    <n v="1"/>
    <n v="1779796.28"/>
    <x v="0"/>
  </r>
  <r>
    <x v="9"/>
    <s v="Vinod Mishra"/>
    <n v="35"/>
    <x v="4"/>
    <n v="180098"/>
    <n v="2000000"/>
    <n v="120"/>
    <n v="9.76"/>
    <s v="Personal"/>
    <n v="744"/>
    <x v="9"/>
    <s v="2023-10-21"/>
    <x v="0"/>
    <n v="26165.06"/>
    <x v="4"/>
    <x v="9"/>
    <x v="0"/>
    <n v="1"/>
    <n v="1740965.91"/>
    <x v="2"/>
  </r>
  <r>
    <x v="10"/>
    <s v="Amit Joshi"/>
    <n v="28"/>
    <x v="4"/>
    <n v="113600"/>
    <n v="2000000"/>
    <n v="36"/>
    <n v="7.73"/>
    <s v="Agriculture"/>
    <n v="382"/>
    <x v="10"/>
    <s v="2022-08-21"/>
    <x v="2"/>
    <n v="62423.92"/>
    <x v="3"/>
    <x v="5"/>
    <x v="3"/>
    <n v="0"/>
    <n v="1719092.36"/>
    <x v="0"/>
  </r>
  <r>
    <x v="11"/>
    <s v="Manoj Singh"/>
    <n v="62"/>
    <x v="4"/>
    <n v="47301"/>
    <n v="2000000"/>
    <n v="180"/>
    <n v="14.13"/>
    <s v="Education"/>
    <n v="810"/>
    <x v="11"/>
    <s v="2023-07-05"/>
    <x v="0"/>
    <n v="26809.74"/>
    <x v="3"/>
    <x v="7"/>
    <x v="2"/>
    <n v="11"/>
    <n v="1710454.81"/>
    <x v="1"/>
  </r>
  <r>
    <x v="12"/>
    <s v="Ganesh Chaudhary"/>
    <n v="32"/>
    <x v="2"/>
    <n v="34322"/>
    <n v="2000000"/>
    <n v="12"/>
    <n v="11.78"/>
    <s v="Medical"/>
    <n v="567"/>
    <x v="12"/>
    <s v="2023-02-16"/>
    <x v="0"/>
    <n v="177491.81"/>
    <x v="3"/>
    <x v="5"/>
    <x v="2"/>
    <n v="5"/>
    <n v="1680514.74"/>
    <x v="3"/>
  </r>
  <r>
    <x v="13"/>
    <s v="Ajay Mehta"/>
    <n v="32"/>
    <x v="0"/>
    <n v="61888"/>
    <n v="2000000"/>
    <n v="12"/>
    <n v="13.58"/>
    <s v="Business Expansion"/>
    <n v="756"/>
    <x v="13"/>
    <s v="2022-02-23"/>
    <x v="0"/>
    <n v="179179.24"/>
    <x v="4"/>
    <x v="9"/>
    <x v="0"/>
    <n v="0"/>
    <n v="1677477.37"/>
    <x v="1"/>
  </r>
  <r>
    <x v="14"/>
    <s v="Naveen Nayak"/>
    <n v="51"/>
    <x v="4"/>
    <n v="160310"/>
    <n v="2000000"/>
    <n v="12"/>
    <n v="14.02"/>
    <s v="Personal"/>
    <n v="629"/>
    <x v="14"/>
    <s v="2021-05-24"/>
    <x v="0"/>
    <n v="179593.06"/>
    <x v="1"/>
    <x v="10"/>
    <x v="0"/>
    <n v="2"/>
    <n v="1676732.49"/>
    <x v="3"/>
  </r>
  <r>
    <x v="15"/>
    <s v="Tarun Chatterjee"/>
    <n v="37"/>
    <x v="4"/>
    <n v="87319"/>
    <n v="2000000"/>
    <n v="12"/>
    <n v="16.57"/>
    <s v="Debt Consolidation"/>
    <n v="330"/>
    <x v="15"/>
    <s v="2022-12-16"/>
    <x v="2"/>
    <n v="182001.62"/>
    <x v="1"/>
    <x v="11"/>
    <x v="1"/>
    <n v="3"/>
    <n v="1672397.08"/>
    <x v="0"/>
  </r>
  <r>
    <x v="16"/>
    <s v="Manoj Gupta"/>
    <n v="34"/>
    <x v="0"/>
    <m/>
    <n v="2000000"/>
    <n v="36"/>
    <n v="19.62"/>
    <s v="Home Purchase"/>
    <n v="806"/>
    <x v="16"/>
    <s v="2023-04-28"/>
    <x v="2"/>
    <n v="73940.490000000005"/>
    <x v="3"/>
    <x v="12"/>
    <x v="2"/>
    <n v="1"/>
    <n v="1600721.35"/>
    <x v="1"/>
  </r>
  <r>
    <x v="17"/>
    <s v="Pallavi Nair"/>
    <n v="34"/>
    <x v="0"/>
    <n v="140940"/>
    <n v="2000000"/>
    <n v="180"/>
    <n v="19.32"/>
    <s v="Business Expansion"/>
    <n v="639"/>
    <x v="17"/>
    <s v="2022-07-25"/>
    <x v="0"/>
    <n v="34125.379999999997"/>
    <x v="2"/>
    <x v="13"/>
    <x v="2"/>
    <n v="3"/>
    <n v="1570020.21"/>
    <x v="3"/>
  </r>
  <r>
    <x v="18"/>
    <s v="Tarun Kapoor"/>
    <n v="28"/>
    <x v="3"/>
    <n v="52387"/>
    <n v="2000000"/>
    <n v="60"/>
    <n v="15.43"/>
    <s v="Vehicle Loan"/>
    <n v="810"/>
    <x v="18"/>
    <s v="2022-09-06"/>
    <x v="0"/>
    <n v="48032.480000000003"/>
    <x v="3"/>
    <x v="14"/>
    <x v="2"/>
    <n v="5"/>
    <n v="1567707.68"/>
    <x v="1"/>
  </r>
  <r>
    <x v="19"/>
    <s v="Ganesh Kulkarni"/>
    <n v="23"/>
    <x v="4"/>
    <n v="51514"/>
    <n v="2000000"/>
    <n v="120"/>
    <n v="10.32"/>
    <s v="Education"/>
    <n v="520"/>
    <x v="19"/>
    <s v="2021-06-10"/>
    <x v="0"/>
    <n v="26785.82"/>
    <x v="1"/>
    <x v="15"/>
    <x v="0"/>
    <n v="2"/>
    <n v="1566069.72"/>
    <x v="0"/>
  </r>
  <r>
    <x v="20"/>
    <s v="Rajesh Patel"/>
    <n v="64"/>
    <x v="3"/>
    <n v="241200"/>
    <n v="2000000"/>
    <n v="12"/>
    <n v="8.7100000000000009"/>
    <s v="Education"/>
    <n v="899"/>
    <x v="20"/>
    <s v="2023-10-10"/>
    <x v="0"/>
    <n v="174634.11"/>
    <x v="3"/>
    <x v="5"/>
    <x v="2"/>
    <n v="11"/>
    <n v="1528487.9"/>
    <x v="1"/>
  </r>
  <r>
    <x v="21"/>
    <s v="Tarun Chaudhary"/>
    <n v="65"/>
    <x v="1"/>
    <n v="235948"/>
    <n v="2000000"/>
    <n v="12"/>
    <n v="10.82"/>
    <s v="Home Purchase"/>
    <n v="623"/>
    <x v="21"/>
    <s v="2022-10-16"/>
    <x v="0"/>
    <n v="176595.44"/>
    <x v="2"/>
    <x v="6"/>
    <x v="4"/>
    <n v="0"/>
    <n v="1523192.31"/>
    <x v="3"/>
  </r>
  <r>
    <x v="22"/>
    <s v="Komal Joshi"/>
    <n v="59"/>
    <x v="4"/>
    <n v="194319"/>
    <n v="2000000"/>
    <n v="48"/>
    <n v="20.010000000000002"/>
    <s v="Business Expansion"/>
    <n v="836"/>
    <x v="22"/>
    <s v="2021-12-03"/>
    <x v="0"/>
    <n v="60871.38"/>
    <x v="0"/>
    <x v="2"/>
    <x v="1"/>
    <n v="12"/>
    <n v="1506941.82"/>
    <x v="1"/>
  </r>
  <r>
    <x v="23"/>
    <s v="Sanjay Mehta"/>
    <n v="58"/>
    <x v="2"/>
    <n v="103784"/>
    <n v="1500000"/>
    <n v="24"/>
    <n v="18.11"/>
    <s v="Home Purchase"/>
    <n v="442"/>
    <x v="23"/>
    <s v="2023-04-25"/>
    <x v="0"/>
    <n v="74965.899999999994"/>
    <x v="1"/>
    <x v="1"/>
    <x v="3"/>
    <n v="1"/>
    <n v="1500000"/>
    <x v="0"/>
  </r>
  <r>
    <x v="24"/>
    <s v="Chetna Shah"/>
    <n v="26"/>
    <x v="4"/>
    <n v="48619"/>
    <n v="1500000"/>
    <n v="24"/>
    <n v="9.35"/>
    <s v="Personal"/>
    <n v="835"/>
    <x v="24"/>
    <s v="2024-01-19"/>
    <x v="2"/>
    <n v="68768.240000000005"/>
    <x v="4"/>
    <x v="9"/>
    <x v="0"/>
    <n v="2"/>
    <n v="1500000"/>
    <x v="1"/>
  </r>
  <r>
    <x v="25"/>
    <s v="Smita Dubey"/>
    <n v="31"/>
    <x v="0"/>
    <n v="208425"/>
    <n v="2000000"/>
    <n v="120"/>
    <n v="13.58"/>
    <s v="Home Purchase"/>
    <n v="442"/>
    <x v="25"/>
    <s v="2023-04-13"/>
    <x v="0"/>
    <n v="30550.22"/>
    <x v="4"/>
    <x v="16"/>
    <x v="0"/>
    <n v="2"/>
    <n v="1477591.24"/>
    <x v="0"/>
  </r>
  <r>
    <x v="26"/>
    <s v="Smita Pillai"/>
    <n v="58"/>
    <x v="1"/>
    <n v="249158"/>
    <n v="1500000"/>
    <n v="36"/>
    <n v="10.24"/>
    <s v="Education"/>
    <n v="511"/>
    <x v="26"/>
    <s v="2024-01-20"/>
    <x v="2"/>
    <n v="48569.97"/>
    <x v="4"/>
    <x v="9"/>
    <x v="2"/>
    <n v="1"/>
    <n v="1456287.03"/>
    <x v="0"/>
  </r>
  <r>
    <x v="27"/>
    <s v="Sarala Reddy"/>
    <n v="23"/>
    <x v="2"/>
    <n v="152358"/>
    <n v="2000000"/>
    <n v="24"/>
    <n v="9.01"/>
    <s v="Education"/>
    <n v="386"/>
    <x v="10"/>
    <s v="2022-08-22"/>
    <x v="0"/>
    <n v="91378.66"/>
    <x v="2"/>
    <x v="6"/>
    <x v="2"/>
    <n v="3"/>
    <n v="1424314.44"/>
    <x v="0"/>
  </r>
  <r>
    <x v="28"/>
    <s v="Sunil Rao"/>
    <n v="23"/>
    <x v="0"/>
    <n v="226347"/>
    <n v="2000000"/>
    <n v="24"/>
    <n v="11.02"/>
    <s v="Education"/>
    <n v="682"/>
    <x v="27"/>
    <s v="2021-07-28"/>
    <x v="1"/>
    <n v="93234.25"/>
    <x v="3"/>
    <x v="17"/>
    <x v="2"/>
    <n v="9"/>
    <n v="1412624.23"/>
    <x v="2"/>
  </r>
  <r>
    <x v="29"/>
    <s v="Lakshmi Rao"/>
    <n v="49"/>
    <x v="2"/>
    <n v="163547"/>
    <n v="2000000"/>
    <n v="84"/>
    <n v="11.68"/>
    <s v="Home Purchase"/>
    <n v="810"/>
    <x v="28"/>
    <s v="2023-12-20"/>
    <x v="0"/>
    <n v="34964.120000000003"/>
    <x v="0"/>
    <x v="2"/>
    <x v="0"/>
    <n v="2"/>
    <n v="1402113.55"/>
    <x v="1"/>
  </r>
  <r>
    <x v="30"/>
    <s v="Anita Menon"/>
    <n v="32"/>
    <x v="1"/>
    <n v="40586"/>
    <n v="2000000"/>
    <n v="60"/>
    <n v="11.99"/>
    <s v="Vehicle Loan"/>
    <n v="378"/>
    <x v="29"/>
    <s v="2021-06-12"/>
    <x v="0"/>
    <n v="44478.79"/>
    <x v="0"/>
    <x v="8"/>
    <x v="1"/>
    <n v="0"/>
    <n v="1399536.33"/>
    <x v="0"/>
  </r>
  <r>
    <x v="31"/>
    <s v="Rohit Jain"/>
    <n v="54"/>
    <x v="2"/>
    <n v="181456"/>
    <n v="1500000"/>
    <n v="84"/>
    <n v="17.600000000000001"/>
    <s v="Debt Consolidation"/>
    <n v="734"/>
    <x v="30"/>
    <s v="2023-02-03"/>
    <x v="0"/>
    <n v="31176.06"/>
    <x v="0"/>
    <x v="0"/>
    <x v="0"/>
    <n v="1"/>
    <n v="1387766.18"/>
    <x v="2"/>
  </r>
  <r>
    <x v="32"/>
    <s v="Jyoti Dubey"/>
    <n v="42"/>
    <x v="3"/>
    <n v="145383"/>
    <n v="1500000"/>
    <n v="12"/>
    <n v="8.99"/>
    <s v="Debt Consolidation"/>
    <n v="336"/>
    <x v="31"/>
    <s v="2022-10-05"/>
    <x v="0"/>
    <n v="131170.26"/>
    <x v="1"/>
    <x v="15"/>
    <x v="0"/>
    <n v="0"/>
    <n v="1381946.77"/>
    <x v="0"/>
  </r>
  <r>
    <x v="33"/>
    <s v="Kavitha Joshi"/>
    <n v="33"/>
    <x v="3"/>
    <n v="109721"/>
    <n v="2000000"/>
    <n v="12"/>
    <n v="8.1"/>
    <s v="Vehicle Loan"/>
    <n v="584"/>
    <x v="32"/>
    <s v="2021-10-16"/>
    <x v="0"/>
    <n v="174069.34"/>
    <x v="3"/>
    <x v="7"/>
    <x v="0"/>
    <n v="2"/>
    <n v="1373350.38"/>
    <x v="3"/>
  </r>
  <r>
    <x v="34"/>
    <s v="Madhuri Shetty"/>
    <n v="26"/>
    <x v="2"/>
    <n v="95841"/>
    <n v="1500000"/>
    <n v="60"/>
    <n v="13.4"/>
    <s v="Home Purchase"/>
    <n v="591"/>
    <x v="33"/>
    <s v="2021-10-28"/>
    <x v="0"/>
    <n v="34437.54"/>
    <x v="4"/>
    <x v="9"/>
    <x v="0"/>
    <n v="2"/>
    <n v="1345031.07"/>
    <x v="3"/>
  </r>
  <r>
    <x v="35"/>
    <s v="Kiran Kapoor"/>
    <n v="22"/>
    <x v="1"/>
    <n v="33308"/>
    <n v="2000000"/>
    <n v="120"/>
    <n v="15.11"/>
    <s v="Business Expansion"/>
    <n v="741"/>
    <x v="34"/>
    <s v="2021-10-12"/>
    <x v="2"/>
    <n v="32401.85"/>
    <x v="0"/>
    <x v="0"/>
    <x v="0"/>
    <n v="1"/>
    <n v="1329281.71"/>
    <x v="2"/>
  </r>
  <r>
    <x v="36"/>
    <s v="Rajesh Iyer"/>
    <n v="53"/>
    <x v="0"/>
    <n v="33928"/>
    <n v="1500000"/>
    <n v="60"/>
    <n v="11.01"/>
    <s v="Debt Consolidation"/>
    <n v="610"/>
    <x v="35"/>
    <s v="2022-01-30"/>
    <x v="0"/>
    <n v="32621.119999999999"/>
    <x v="0"/>
    <x v="18"/>
    <x v="4"/>
    <n v="2"/>
    <n v="1323845.95"/>
    <x v="3"/>
  </r>
  <r>
    <x v="37"/>
    <s v="Usha Tiwari"/>
    <n v="65"/>
    <x v="2"/>
    <n v="160268"/>
    <n v="1500000"/>
    <n v="60"/>
    <n v="20.83"/>
    <s v="Business Expansion"/>
    <n v="532"/>
    <x v="36"/>
    <s v="2023-12-20"/>
    <x v="0"/>
    <n v="40436.730000000003"/>
    <x v="2"/>
    <x v="13"/>
    <x v="0"/>
    <n v="1"/>
    <n v="1318034.71"/>
    <x v="0"/>
  </r>
  <r>
    <x v="38"/>
    <s v="Mohan Singh"/>
    <n v="60"/>
    <x v="4"/>
    <n v="150217"/>
    <n v="1500000"/>
    <n v="48"/>
    <n v="16.420000000000002"/>
    <s v="Home Purchase"/>
    <n v="668"/>
    <x v="37"/>
    <s v="2022-08-16"/>
    <x v="0"/>
    <n v="42833.77"/>
    <x v="0"/>
    <x v="8"/>
    <x v="2"/>
    <n v="2"/>
    <n v="1307248.03"/>
    <x v="2"/>
  </r>
  <r>
    <x v="39"/>
    <s v="Rani Tiwari"/>
    <n v="64"/>
    <x v="1"/>
    <n v="42253"/>
    <n v="2000000"/>
    <n v="180"/>
    <n v="15.63"/>
    <s v="Debt Consolidation"/>
    <n v="831"/>
    <x v="38"/>
    <s v="2021-08-11"/>
    <x v="0"/>
    <n v="28859.72"/>
    <x v="2"/>
    <x v="19"/>
    <x v="3"/>
    <n v="2"/>
    <n v="1298708.8"/>
    <x v="1"/>
  </r>
  <r>
    <x v="40"/>
    <s v="Divya Patel"/>
    <n v="47"/>
    <x v="2"/>
    <n v="160739"/>
    <n v="1500000"/>
    <n v="240"/>
    <n v="11.12"/>
    <s v="Agriculture"/>
    <n v="404"/>
    <x v="39"/>
    <s v="2022-04-08"/>
    <x v="0"/>
    <n v="15605.51"/>
    <x v="0"/>
    <x v="8"/>
    <x v="0"/>
    <n v="0"/>
    <n v="1289325.6100000001"/>
    <x v="0"/>
  </r>
  <r>
    <x v="41"/>
    <s v="Manoj Gupta"/>
    <n v="33"/>
    <x v="3"/>
    <n v="47778"/>
    <n v="1500000"/>
    <n v="48"/>
    <n v="17.100000000000001"/>
    <s v="Vehicle Loan"/>
    <n v="515"/>
    <x v="40"/>
    <s v="2021-05-29"/>
    <x v="2"/>
    <n v="43360.21"/>
    <x v="0"/>
    <x v="2"/>
    <x v="0"/>
    <n v="0"/>
    <n v="1265854.8700000001"/>
    <x v="0"/>
  </r>
  <r>
    <x v="42"/>
    <s v="Meena Mehta"/>
    <n v="58"/>
    <x v="4"/>
    <n v="167745"/>
    <n v="2000000"/>
    <n v="24"/>
    <n v="20.91"/>
    <s v="Vehicle Loan"/>
    <n v="592"/>
    <x v="41"/>
    <s v="2023-03-19"/>
    <x v="0"/>
    <n v="102682.91"/>
    <x v="1"/>
    <x v="11"/>
    <x v="0"/>
    <n v="1"/>
    <n v="1260683.05"/>
    <x v="3"/>
  </r>
  <r>
    <x v="43"/>
    <s v="Divya Tiwari"/>
    <n v="22"/>
    <x v="2"/>
    <n v="220965"/>
    <n v="2000000"/>
    <n v="240"/>
    <n v="8.4499999999999993"/>
    <s v="Agriculture"/>
    <n v="656"/>
    <x v="42"/>
    <s v="2022-08-17"/>
    <x v="0"/>
    <n v="17293.23"/>
    <x v="4"/>
    <x v="9"/>
    <x v="0"/>
    <n v="1"/>
    <n v="1206240.74"/>
    <x v="2"/>
  </r>
  <r>
    <x v="44"/>
    <s v="Vinod Reddy"/>
    <n v="23"/>
    <x v="0"/>
    <n v="168776"/>
    <n v="1500000"/>
    <n v="36"/>
    <n v="18.73"/>
    <s v="Medical"/>
    <n v="374"/>
    <x v="43"/>
    <s v="2022-12-03"/>
    <x v="0"/>
    <n v="54779.48"/>
    <x v="4"/>
    <x v="16"/>
    <x v="3"/>
    <n v="2"/>
    <n v="1204190.81"/>
    <x v="0"/>
  </r>
  <r>
    <x v="45"/>
    <s v="Tarun Rao"/>
    <n v="55"/>
    <x v="4"/>
    <m/>
    <n v="2000000"/>
    <n v="84"/>
    <n v="12.59"/>
    <s v="Education"/>
    <n v="541"/>
    <x v="44"/>
    <s v="2022-01-13"/>
    <x v="0"/>
    <n v="35939.61"/>
    <x v="3"/>
    <x v="17"/>
    <x v="0"/>
    <n v="1"/>
    <n v="1191358.77"/>
    <x v="0"/>
  </r>
  <r>
    <x v="46"/>
    <s v="Sanjay Dubey"/>
    <n v="30"/>
    <x v="4"/>
    <n v="143566"/>
    <n v="1500000"/>
    <n v="84"/>
    <n v="15.08"/>
    <s v="Medical"/>
    <n v="851"/>
    <x v="45"/>
    <s v="2021-04-12"/>
    <x v="3"/>
    <n v="29012.5"/>
    <x v="1"/>
    <x v="3"/>
    <x v="0"/>
    <n v="2"/>
    <n v="1186665"/>
    <x v="1"/>
  </r>
  <r>
    <x v="47"/>
    <s v="Lakshmi Chaudhary"/>
    <n v="40"/>
    <x v="4"/>
    <n v="56101"/>
    <n v="2000000"/>
    <n v="36"/>
    <n v="15.88"/>
    <s v="Personal"/>
    <n v="388"/>
    <x v="46"/>
    <s v="2023-09-26"/>
    <x v="2"/>
    <n v="70195.64"/>
    <x v="2"/>
    <x v="20"/>
    <x v="0"/>
    <n v="1"/>
    <n v="1178711.01"/>
    <x v="0"/>
  </r>
  <r>
    <x v="48"/>
    <s v="Amit Shah"/>
    <n v="57"/>
    <x v="1"/>
    <n v="246918"/>
    <n v="1500000"/>
    <n v="36"/>
    <n v="14.63"/>
    <s v="Education"/>
    <n v="619"/>
    <x v="47"/>
    <s v="2023-10-26"/>
    <x v="0"/>
    <n v="51726.62"/>
    <x v="2"/>
    <x v="4"/>
    <x v="1"/>
    <n v="12"/>
    <n v="1174122.29"/>
    <x v="3"/>
  </r>
  <r>
    <x v="49"/>
    <s v="Kavitha Reddy"/>
    <n v="44"/>
    <x v="1"/>
    <n v="237495"/>
    <n v="2000000"/>
    <n v="36"/>
    <n v="11.77"/>
    <s v="Education"/>
    <n v="864"/>
    <x v="48"/>
    <s v="2021-05-21"/>
    <x v="0"/>
    <n v="66209.13"/>
    <x v="2"/>
    <x v="13"/>
    <x v="3"/>
    <n v="0"/>
    <n v="1165764.96"/>
    <x v="1"/>
  </r>
  <r>
    <x v="50"/>
    <s v="Rekha Chatterjee"/>
    <n v="51"/>
    <x v="0"/>
    <n v="111899"/>
    <n v="2000000"/>
    <n v="84"/>
    <n v="17.079999999999998"/>
    <s v="Debt Consolidation"/>
    <n v="366"/>
    <x v="49"/>
    <s v="2022-02-17"/>
    <x v="0"/>
    <n v="40964.129999999997"/>
    <x v="3"/>
    <x v="17"/>
    <x v="2"/>
    <n v="2"/>
    <n v="1115174.79"/>
    <x v="0"/>
  </r>
  <r>
    <x v="51"/>
    <s v="Madhuri Banerjee"/>
    <n v="23"/>
    <x v="0"/>
    <n v="217401"/>
    <n v="2000000"/>
    <n v="24"/>
    <n v="20.13"/>
    <s v="Medical"/>
    <n v="669"/>
    <x v="50"/>
    <s v="2023-08-28"/>
    <x v="0"/>
    <n v="101918.66"/>
    <x v="2"/>
    <x v="13"/>
    <x v="0"/>
    <n v="0"/>
    <n v="1082732.06"/>
    <x v="2"/>
  </r>
  <r>
    <x v="52"/>
    <s v="Komal Mehta"/>
    <n v="47"/>
    <x v="0"/>
    <n v="74487"/>
    <n v="1500000"/>
    <n v="48"/>
    <n v="14.38"/>
    <s v="Agriculture"/>
    <n v="772"/>
    <x v="51"/>
    <s v="2023-06-25"/>
    <x v="0"/>
    <n v="41276.22"/>
    <x v="4"/>
    <x v="21"/>
    <x v="0"/>
    <n v="1"/>
    <n v="1054216.82"/>
    <x v="1"/>
  </r>
  <r>
    <x v="53"/>
    <s v="Naveen Kulkarni"/>
    <n v="38"/>
    <x v="4"/>
    <n v="71765"/>
    <n v="2000000"/>
    <n v="12"/>
    <n v="12.44"/>
    <s v="Debt Consolidation"/>
    <n v="737"/>
    <x v="52"/>
    <s v="2022-09-11"/>
    <x v="0"/>
    <n v="178109.51"/>
    <x v="3"/>
    <x v="5"/>
    <x v="0"/>
    <n v="2"/>
    <n v="1038208.65"/>
    <x v="2"/>
  </r>
  <r>
    <x v="54"/>
    <s v="Ravi Mehta"/>
    <n v="56"/>
    <x v="4"/>
    <n v="64635"/>
    <n v="1500000"/>
    <n v="24"/>
    <n v="17.690000000000001"/>
    <s v="Vehicle Loan"/>
    <s v="Not Available"/>
    <x v="53"/>
    <s v="2021-12-14"/>
    <x v="0"/>
    <n v="74661.67"/>
    <x v="0"/>
    <x v="22"/>
    <x v="2"/>
    <n v="12"/>
    <n v="1029631.48"/>
    <x v="4"/>
  </r>
  <r>
    <x v="55"/>
    <s v="Priya Gupta"/>
    <n v="29"/>
    <x v="1"/>
    <m/>
    <n v="1000000"/>
    <n v="12"/>
    <n v="12.94"/>
    <s v="Business Expansion"/>
    <n v="847"/>
    <x v="54"/>
    <s v="2021-09-02"/>
    <x v="1"/>
    <n v="89289.13"/>
    <x v="1"/>
    <x v="1"/>
    <x v="2"/>
    <n v="9"/>
    <n v="1000000"/>
    <x v="1"/>
  </r>
  <r>
    <x v="56"/>
    <s v="Rohit Mehta"/>
    <n v="35"/>
    <x v="3"/>
    <n v="119212"/>
    <n v="1000000"/>
    <n v="120"/>
    <n v="7.93"/>
    <s v="Agriculture"/>
    <n v="742"/>
    <x v="2"/>
    <s v="2021-04-25"/>
    <x v="0"/>
    <n v="12095.8"/>
    <x v="2"/>
    <x v="4"/>
    <x v="2"/>
    <n v="2"/>
    <n v="989113.78"/>
    <x v="2"/>
  </r>
  <r>
    <x v="57"/>
    <s v="Arjun Saxena"/>
    <n v="53"/>
    <x v="4"/>
    <n v="194600"/>
    <n v="1000000"/>
    <n v="240"/>
    <n v="17.62"/>
    <s v="Debt Consolidation"/>
    <n v="314"/>
    <x v="55"/>
    <s v="2023-06-15"/>
    <x v="2"/>
    <n v="15141.3"/>
    <x v="1"/>
    <x v="3"/>
    <x v="2"/>
    <n v="11"/>
    <n v="986372.83"/>
    <x v="0"/>
  </r>
  <r>
    <x v="58"/>
    <s v="Divya Jain"/>
    <n v="37"/>
    <x v="3"/>
    <n v="71409"/>
    <n v="1000000"/>
    <n v="84"/>
    <n v="12.89"/>
    <s v="Medical"/>
    <n v="425"/>
    <x v="56"/>
    <s v="2022-11-14"/>
    <x v="0"/>
    <n v="18132.21"/>
    <x v="3"/>
    <x v="12"/>
    <x v="0"/>
    <n v="2"/>
    <n v="983681.01"/>
    <x v="0"/>
  </r>
  <r>
    <x v="59"/>
    <s v="Arjun Yadav"/>
    <n v="40"/>
    <x v="3"/>
    <n v="202760"/>
    <n v="1500000"/>
    <n v="24"/>
    <n v="13.94"/>
    <s v="Debt Consolidation"/>
    <n v="805"/>
    <x v="57"/>
    <s v="2021-09-10"/>
    <x v="0"/>
    <n v="71976.81"/>
    <x v="4"/>
    <x v="21"/>
    <x v="3"/>
    <n v="0"/>
    <n v="981766.97"/>
    <x v="1"/>
  </r>
  <r>
    <x v="60"/>
    <s v="Harish Nayak"/>
    <n v="27"/>
    <x v="4"/>
    <n v="49862"/>
    <n v="1000000"/>
    <n v="84"/>
    <n v="9.2200000000000006"/>
    <s v="Debt Consolidation"/>
    <n v="841"/>
    <x v="58"/>
    <s v="2022-09-21"/>
    <x v="0"/>
    <n v="16200.95"/>
    <x v="0"/>
    <x v="0"/>
    <x v="0"/>
    <n v="0"/>
    <n v="970838.29"/>
    <x v="1"/>
  </r>
  <r>
    <x v="61"/>
    <s v="Mohan Patel"/>
    <n v="35"/>
    <x v="2"/>
    <n v="218180"/>
    <n v="1000000"/>
    <n v="36"/>
    <n v="14.02"/>
    <s v="Education"/>
    <n v="609"/>
    <x v="59"/>
    <s v="2022-04-28"/>
    <x v="0"/>
    <n v="34187.339999999997"/>
    <x v="2"/>
    <x v="13"/>
    <x v="2"/>
    <n v="2"/>
    <n v="969231.39"/>
    <x v="3"/>
  </r>
  <r>
    <x v="62"/>
    <s v="Anil Kaur"/>
    <n v="57"/>
    <x v="1"/>
    <n v="38672"/>
    <n v="2000000"/>
    <n v="120"/>
    <n v="7.7"/>
    <s v="Vehicle Loan"/>
    <n v="765"/>
    <x v="60"/>
    <s v="2023-02-06"/>
    <x v="2"/>
    <n v="23949.64"/>
    <x v="4"/>
    <x v="23"/>
    <x v="0"/>
    <n v="2"/>
    <n v="965375.55"/>
    <x v="1"/>
  </r>
  <r>
    <x v="63"/>
    <s v="Sanjay Deshpande"/>
    <n v="28"/>
    <x v="3"/>
    <n v="100962"/>
    <n v="1000000"/>
    <n v="60"/>
    <n v="11.94"/>
    <s v="Debt Consolidation"/>
    <n v="470"/>
    <x v="61"/>
    <s v="2023-01-15"/>
    <x v="0"/>
    <n v="22214.14"/>
    <x v="2"/>
    <x v="6"/>
    <x v="0"/>
    <n v="1"/>
    <n v="960014.55"/>
    <x v="0"/>
  </r>
  <r>
    <x v="64"/>
    <s v="Abhishek Saxena"/>
    <n v="30"/>
    <x v="0"/>
    <n v="52509"/>
    <n v="1000000"/>
    <n v="60"/>
    <n v="15.08"/>
    <s v="Debt Consolidation"/>
    <n v="544"/>
    <x v="62"/>
    <s v="2022-01-29"/>
    <x v="2"/>
    <n v="23831.94"/>
    <x v="0"/>
    <x v="18"/>
    <x v="0"/>
    <n v="2"/>
    <n v="957102.51"/>
    <x v="0"/>
  </r>
  <r>
    <x v="65"/>
    <s v="Anil Joshi"/>
    <n v="31"/>
    <x v="3"/>
    <n v="92540"/>
    <n v="2000000"/>
    <n v="24"/>
    <n v="14.86"/>
    <s v="Home Purchase"/>
    <n v="644"/>
    <x v="63"/>
    <s v="2021-11-20"/>
    <x v="0"/>
    <n v="96840.320000000007"/>
    <x v="1"/>
    <x v="3"/>
    <x v="2"/>
    <n v="9"/>
    <n v="954124.54"/>
    <x v="3"/>
  </r>
  <r>
    <x v="66"/>
    <s v="Bhavna Dubey"/>
    <n v="26"/>
    <x v="2"/>
    <n v="203984"/>
    <n v="1000000"/>
    <n v="240"/>
    <n v="8.66"/>
    <s v="Medical"/>
    <n v="771"/>
    <x v="64"/>
    <s v="2021-04-05"/>
    <x v="0"/>
    <n v="8779.76"/>
    <x v="0"/>
    <x v="22"/>
    <x v="0"/>
    <n v="1"/>
    <n v="944687.51"/>
    <x v="1"/>
  </r>
  <r>
    <x v="67"/>
    <s v="Rohit Saxena"/>
    <n v="44"/>
    <x v="3"/>
    <n v="72362"/>
    <n v="2000000"/>
    <n v="180"/>
    <n v="10.86"/>
    <s v="Business Expansion"/>
    <n v="678"/>
    <x v="65"/>
    <s v="2023-12-25"/>
    <x v="0"/>
    <n v="22556.43"/>
    <x v="0"/>
    <x v="8"/>
    <x v="0"/>
    <n v="2"/>
    <n v="944359.08"/>
    <x v="2"/>
  </r>
  <r>
    <x v="68"/>
    <s v="Geeta Reddy"/>
    <n v="44"/>
    <x v="2"/>
    <n v="116333"/>
    <n v="1000000"/>
    <n v="120"/>
    <n v="8.6300000000000008"/>
    <s v="Business Expansion"/>
    <n v="663"/>
    <x v="66"/>
    <s v="2023-09-14"/>
    <x v="0"/>
    <n v="12468.2"/>
    <x v="1"/>
    <x v="15"/>
    <x v="3"/>
    <n v="1"/>
    <n v="943893.1"/>
    <x v="2"/>
  </r>
  <r>
    <x v="69"/>
    <s v="Suresh Jain"/>
    <n v="57"/>
    <x v="2"/>
    <n v="177702"/>
    <n v="1500000"/>
    <n v="36"/>
    <n v="20.92"/>
    <s v="Personal"/>
    <n v="466"/>
    <x v="67"/>
    <s v="2022-12-10"/>
    <x v="1"/>
    <n v="56451.01"/>
    <x v="0"/>
    <x v="2"/>
    <x v="1"/>
    <n v="0"/>
    <n v="941135"/>
    <x v="0"/>
  </r>
  <r>
    <x v="70"/>
    <s v="Usha Reddy"/>
    <n v="43"/>
    <x v="3"/>
    <n v="41912"/>
    <n v="1000000"/>
    <n v="120"/>
    <n v="21.7"/>
    <s v="Agriculture"/>
    <n v="892"/>
    <x v="68"/>
    <s v="2023-10-11"/>
    <x v="2"/>
    <n v="20465.82"/>
    <x v="1"/>
    <x v="15"/>
    <x v="0"/>
    <n v="1"/>
    <n v="926323.05"/>
    <x v="1"/>
  </r>
  <r>
    <x v="71"/>
    <s v="Abhishek Pillai"/>
    <n v="45"/>
    <x v="4"/>
    <n v="187311"/>
    <n v="1000000"/>
    <n v="240"/>
    <n v="16.27"/>
    <s v="Debt Consolidation"/>
    <n v="457"/>
    <x v="69"/>
    <s v="2022-05-27"/>
    <x v="0"/>
    <n v="14115.52"/>
    <x v="4"/>
    <x v="16"/>
    <x v="0"/>
    <n v="1"/>
    <n v="923776.19"/>
    <x v="0"/>
  </r>
  <r>
    <x v="72"/>
    <s v="Bhavna Iyer"/>
    <n v="27"/>
    <x v="3"/>
    <n v="38498"/>
    <n v="1000000"/>
    <n v="12"/>
    <n v="16.440000000000001"/>
    <s v="Debt Consolidation"/>
    <n v="406"/>
    <x v="70"/>
    <s v="2023-07-18"/>
    <x v="1"/>
    <n v="90939.21"/>
    <x v="2"/>
    <x v="20"/>
    <x v="0"/>
    <n v="2"/>
    <n v="918154.71"/>
    <x v="0"/>
  </r>
  <r>
    <x v="73"/>
    <s v="Varsha Malhotra"/>
    <n v="54"/>
    <x v="2"/>
    <n v="83898"/>
    <n v="1000000"/>
    <n v="12"/>
    <n v="16.5"/>
    <s v="Home Purchase"/>
    <n v="550"/>
    <x v="71"/>
    <s v="2022-09-03"/>
    <x v="2"/>
    <n v="90967.64"/>
    <x v="1"/>
    <x v="1"/>
    <x v="0"/>
    <n v="0"/>
    <n v="918129.12"/>
    <x v="3"/>
  </r>
  <r>
    <x v="74"/>
    <s v="Jyoti Yadav"/>
    <n v="64"/>
    <x v="2"/>
    <n v="220448"/>
    <n v="1500000"/>
    <n v="84"/>
    <n v="14.02"/>
    <s v="Medical"/>
    <n v="732"/>
    <x v="72"/>
    <s v="2021-02-15"/>
    <x v="0"/>
    <n v="28126.59"/>
    <x v="4"/>
    <x v="24"/>
    <x v="2"/>
    <n v="11"/>
    <n v="917779.59"/>
    <x v="2"/>
  </r>
  <r>
    <x v="75"/>
    <s v="Arjun Deshpande"/>
    <n v="42"/>
    <x v="2"/>
    <n v="213171"/>
    <n v="1000000"/>
    <n v="120"/>
    <n v="7.78"/>
    <s v="Business Expansion"/>
    <n v="804"/>
    <x v="73"/>
    <s v="2021-04-02"/>
    <x v="0"/>
    <n v="12016.82"/>
    <x v="3"/>
    <x v="14"/>
    <x v="3"/>
    <n v="2"/>
    <n v="913478.9"/>
    <x v="1"/>
  </r>
  <r>
    <x v="76"/>
    <s v="Sarala Verma"/>
    <n v="58"/>
    <x v="4"/>
    <n v="59455"/>
    <n v="1000000"/>
    <n v="120"/>
    <n v="9.9600000000000009"/>
    <s v="Business Expansion"/>
    <n v="608"/>
    <x v="74"/>
    <s v="2021-12-25"/>
    <x v="0"/>
    <n v="13192.93"/>
    <x v="4"/>
    <x v="16"/>
    <x v="2"/>
    <n v="2"/>
    <n v="905010.9"/>
    <x v="3"/>
  </r>
  <r>
    <x v="77"/>
    <s v="Tarun Dubey"/>
    <n v="55"/>
    <x v="0"/>
    <n v="84549"/>
    <n v="1000000"/>
    <n v="84"/>
    <n v="20.38"/>
    <s v="Debt Consolidation"/>
    <n v="727"/>
    <x v="75"/>
    <s v="2023-12-27"/>
    <x v="0"/>
    <n v="22435.57"/>
    <x v="4"/>
    <x v="23"/>
    <x v="0"/>
    <n v="0"/>
    <n v="899039.94"/>
    <x v="2"/>
  </r>
  <r>
    <x v="78"/>
    <s v="Manoj Iyer"/>
    <n v="42"/>
    <x v="2"/>
    <n v="96926"/>
    <n v="1000000"/>
    <n v="60"/>
    <n v="12.93"/>
    <s v="Education"/>
    <n v="785"/>
    <x v="76"/>
    <s v="2023-06-10"/>
    <x v="0"/>
    <n v="22717.26"/>
    <x v="3"/>
    <x v="5"/>
    <x v="0"/>
    <n v="0"/>
    <n v="897772.33"/>
    <x v="1"/>
  </r>
  <r>
    <x v="79"/>
    <s v="Abhishek Sharma"/>
    <n v="54"/>
    <x v="2"/>
    <n v="147072"/>
    <n v="1500000"/>
    <n v="240"/>
    <n v="11.25"/>
    <s v="Personal"/>
    <n v="603"/>
    <x v="77"/>
    <s v="2022-04-08"/>
    <x v="1"/>
    <n v="15738.84"/>
    <x v="4"/>
    <x v="24"/>
    <x v="0"/>
    <n v="0"/>
    <n v="890906.89"/>
    <x v="3"/>
  </r>
  <r>
    <x v="80"/>
    <s v="Jyoti Deshpande"/>
    <n v="61"/>
    <x v="4"/>
    <n v="154090"/>
    <n v="1500000"/>
    <n v="12"/>
    <n v="17.3"/>
    <s v="Vehicle Loan"/>
    <n v="387"/>
    <x v="78"/>
    <s v="2021-07-17"/>
    <x v="0"/>
    <n v="137020.76999999999"/>
    <x v="3"/>
    <x v="5"/>
    <x v="0"/>
    <n v="0"/>
    <n v="883406.54"/>
    <x v="0"/>
  </r>
  <r>
    <x v="81"/>
    <s v="Usha Saxena"/>
    <n v="53"/>
    <x v="1"/>
    <n v="38890"/>
    <n v="1000000"/>
    <n v="240"/>
    <n v="13.12"/>
    <s v="Medical"/>
    <n v="690"/>
    <x v="79"/>
    <s v="2022-07-11"/>
    <x v="0"/>
    <n v="11801.35"/>
    <x v="4"/>
    <x v="9"/>
    <x v="3"/>
    <n v="1"/>
    <n v="883166.64"/>
    <x v="2"/>
  </r>
  <r>
    <x v="82"/>
    <s v="Bhavna Nayak"/>
    <n v="44"/>
    <x v="4"/>
    <n v="22554"/>
    <n v="1000000"/>
    <n v="36"/>
    <n v="14.5"/>
    <s v="Agriculture"/>
    <n v="415"/>
    <x v="80"/>
    <s v="2022-07-13"/>
    <x v="0"/>
    <n v="34420.980000000003"/>
    <x v="2"/>
    <x v="4"/>
    <x v="1"/>
    <n v="0"/>
    <n v="876084.47"/>
    <x v="0"/>
  </r>
  <r>
    <x v="83"/>
    <s v="Kavitha Pillai"/>
    <n v="59"/>
    <x v="4"/>
    <n v="62166"/>
    <n v="1000000"/>
    <n v="240"/>
    <n v="7.89"/>
    <s v="Agriculture"/>
    <n v="514"/>
    <x v="81"/>
    <s v="2023-05-12"/>
    <x v="1"/>
    <n v="8296.07"/>
    <x v="2"/>
    <x v="6"/>
    <x v="0"/>
    <n v="2"/>
    <n v="873070.13"/>
    <x v="0"/>
  </r>
  <r>
    <x v="84"/>
    <s v="Amit Nayak"/>
    <n v="64"/>
    <x v="0"/>
    <n v="93347"/>
    <n v="1500000"/>
    <n v="120"/>
    <n v="20.5"/>
    <s v="Medical"/>
    <n v="798"/>
    <x v="82"/>
    <s v="2021-10-18"/>
    <x v="0"/>
    <n v="29487.35"/>
    <x v="3"/>
    <x v="14"/>
    <x v="0"/>
    <n v="2"/>
    <n v="863073.24"/>
    <x v="1"/>
  </r>
  <r>
    <x v="85"/>
    <s v="Ravi Nair"/>
    <n v="27"/>
    <x v="0"/>
    <n v="204865"/>
    <n v="1500000"/>
    <n v="24"/>
    <n v="14.09"/>
    <s v="Medical"/>
    <n v="547"/>
    <x v="83"/>
    <s v="2022-10-17"/>
    <x v="0"/>
    <n v="72083.12"/>
    <x v="1"/>
    <x v="10"/>
    <x v="2"/>
    <n v="0"/>
    <n v="851251.92"/>
    <x v="0"/>
  </r>
  <r>
    <x v="86"/>
    <s v="Vinod Shetty"/>
    <n v="24"/>
    <x v="0"/>
    <n v="42208"/>
    <n v="1000000"/>
    <n v="48"/>
    <n v="7.59"/>
    <s v="Home Purchase"/>
    <n v="876"/>
    <x v="84"/>
    <s v="2022-05-02"/>
    <x v="0"/>
    <n v="24220.93"/>
    <x v="3"/>
    <x v="14"/>
    <x v="0"/>
    <n v="2"/>
    <n v="847408.14"/>
    <x v="1"/>
  </r>
  <r>
    <x v="87"/>
    <s v="Ravi Mehta"/>
    <n v="43"/>
    <x v="3"/>
    <n v="167761"/>
    <n v="1000000"/>
    <n v="36"/>
    <n v="20.79"/>
    <s v="Business Expansion"/>
    <s v="Not Available"/>
    <x v="83"/>
    <s v="2022-10-17"/>
    <x v="0"/>
    <n v="37567.33"/>
    <x v="0"/>
    <x v="18"/>
    <x v="2"/>
    <n v="11"/>
    <n v="830947.02"/>
    <x v="4"/>
  </r>
  <r>
    <x v="88"/>
    <s v="Geeta Das"/>
    <n v="27"/>
    <x v="1"/>
    <n v="189196"/>
    <n v="1000000"/>
    <n v="36"/>
    <n v="8.25"/>
    <s v="Business Expansion"/>
    <n v="539"/>
    <x v="85"/>
    <s v="2021-01-12"/>
    <x v="0"/>
    <n v="31451.82"/>
    <x v="2"/>
    <x v="19"/>
    <x v="0"/>
    <n v="2"/>
    <n v="830160.17"/>
    <x v="0"/>
  </r>
  <r>
    <x v="89"/>
    <s v="Ravi Kulkarni"/>
    <n v="56"/>
    <x v="4"/>
    <n v="19632"/>
    <n v="2000000"/>
    <n v="12"/>
    <n v="21.87"/>
    <s v="Vehicle Loan"/>
    <n v="692"/>
    <x v="86"/>
    <s v="2023-08-04"/>
    <x v="0"/>
    <n v="187063.65"/>
    <x v="2"/>
    <x v="6"/>
    <x v="0"/>
    <n v="1"/>
    <n v="821499"/>
    <x v="2"/>
  </r>
  <r>
    <x v="90"/>
    <s v="Pallavi Deshpande"/>
    <n v="44"/>
    <x v="2"/>
    <n v="49279"/>
    <n v="2000000"/>
    <n v="84"/>
    <n v="14.97"/>
    <s v="Vehicle Loan"/>
    <n v="626"/>
    <x v="87"/>
    <s v="2023-07-20"/>
    <x v="0"/>
    <n v="38559.85"/>
    <x v="0"/>
    <x v="2"/>
    <x v="4"/>
    <n v="0"/>
    <n v="820068.59"/>
    <x v="3"/>
  </r>
  <r>
    <x v="91"/>
    <s v="Manoj Kaur"/>
    <n v="46"/>
    <x v="3"/>
    <n v="167836"/>
    <n v="1500000"/>
    <n v="48"/>
    <n v="12.48"/>
    <s v="Personal"/>
    <n v="847"/>
    <x v="88"/>
    <s v="2022-01-13"/>
    <x v="0"/>
    <n v="39855.19"/>
    <x v="2"/>
    <x v="6"/>
    <x v="1"/>
    <n v="8"/>
    <n v="818476.25"/>
    <x v="1"/>
  </r>
  <r>
    <x v="92"/>
    <s v="Chetna Kumar"/>
    <n v="41"/>
    <x v="3"/>
    <n v="118626"/>
    <n v="1500000"/>
    <n v="24"/>
    <n v="19.54"/>
    <s v="Business Expansion"/>
    <s v="Not Available"/>
    <x v="89"/>
    <s v="2022-12-26"/>
    <x v="2"/>
    <n v="76007.05"/>
    <x v="0"/>
    <x v="18"/>
    <x v="2"/>
    <n v="8"/>
    <n v="815936.55"/>
    <x v="4"/>
  </r>
  <r>
    <x v="93"/>
    <s v="Mohan Jain"/>
    <n v="56"/>
    <x v="3"/>
    <n v="230940"/>
    <n v="1000000"/>
    <n v="120"/>
    <n v="18.21"/>
    <s v="Education"/>
    <n v="820"/>
    <x v="90"/>
    <s v="2023-08-03"/>
    <x v="0"/>
    <n v="18153.939999999999"/>
    <x v="4"/>
    <x v="21"/>
    <x v="2"/>
    <n v="3"/>
    <n v="803937.45"/>
    <x v="1"/>
  </r>
  <r>
    <x v="94"/>
    <s v="Komal Shah"/>
    <n v="62"/>
    <x v="2"/>
    <n v="222360"/>
    <n v="1000000"/>
    <n v="36"/>
    <n v="7.54"/>
    <s v="Personal"/>
    <n v="612"/>
    <x v="22"/>
    <s v="2021-11-30"/>
    <x v="0"/>
    <n v="31124.59"/>
    <x v="4"/>
    <x v="24"/>
    <x v="1"/>
    <n v="1"/>
    <n v="803915.08"/>
    <x v="3"/>
  </r>
  <r>
    <x v="95"/>
    <s v="Meena Kaur"/>
    <n v="61"/>
    <x v="2"/>
    <n v="152207"/>
    <n v="1500000"/>
    <n v="48"/>
    <n v="8.35"/>
    <s v="Agriculture"/>
    <n v="558"/>
    <x v="91"/>
    <s v="2021-11-09"/>
    <x v="0"/>
    <n v="36866.32"/>
    <x v="2"/>
    <x v="6"/>
    <x v="1"/>
    <n v="11"/>
    <n v="803226.55"/>
    <x v="3"/>
  </r>
  <r>
    <x v="96"/>
    <s v="Shweta Nair"/>
    <n v="39"/>
    <x v="2"/>
    <n v="78927"/>
    <n v="2000000"/>
    <n v="180"/>
    <n v="15.76"/>
    <s v="Debt Consolidation"/>
    <n v="644"/>
    <x v="68"/>
    <s v="2023-10-05"/>
    <x v="2"/>
    <n v="29040.04"/>
    <x v="3"/>
    <x v="14"/>
    <x v="2"/>
    <n v="5"/>
    <n v="797742.34"/>
    <x v="3"/>
  </r>
  <r>
    <x v="97"/>
    <s v="Chetna Kumar"/>
    <n v="28"/>
    <x v="4"/>
    <n v="130679"/>
    <n v="1500000"/>
    <n v="36"/>
    <n v="10.7"/>
    <s v="Personal"/>
    <n v="523"/>
    <x v="92"/>
    <s v="2021-02-14"/>
    <x v="0"/>
    <n v="48895.25"/>
    <x v="4"/>
    <x v="21"/>
    <x v="2"/>
    <n v="0"/>
    <n v="795908.4"/>
    <x v="0"/>
  </r>
  <r>
    <x v="98"/>
    <s v="Manoj Verma"/>
    <n v="39"/>
    <x v="0"/>
    <n v="221405"/>
    <n v="1500000"/>
    <n v="24"/>
    <n v="13.05"/>
    <s v="Home Purchase"/>
    <n v="781"/>
    <x v="93"/>
    <s v="2022-10-17"/>
    <x v="1"/>
    <n v="71347.97"/>
    <x v="0"/>
    <x v="0"/>
    <x v="3"/>
    <n v="1"/>
    <n v="793655.1"/>
    <x v="1"/>
  </r>
  <r>
    <x v="99"/>
    <s v="Meena Jain"/>
    <n v="63"/>
    <x v="1"/>
    <n v="74214"/>
    <n v="1000000"/>
    <n v="120"/>
    <n v="17.46"/>
    <s v="Vehicle Loan"/>
    <n v="803"/>
    <x v="94"/>
    <s v="2022-08-15"/>
    <x v="0"/>
    <n v="17672.330000000002"/>
    <x v="0"/>
    <x v="8"/>
    <x v="2"/>
    <n v="3"/>
    <n v="793233.74"/>
    <x v="1"/>
  </r>
  <r>
    <x v="100"/>
    <s v="Amit Patel"/>
    <n v="32"/>
    <x v="0"/>
    <n v="40307"/>
    <n v="1000000"/>
    <n v="24"/>
    <n v="14.74"/>
    <s v="Agriculture"/>
    <n v="631"/>
    <x v="95"/>
    <s v="2023-03-25"/>
    <x v="0"/>
    <n v="48363.21"/>
    <x v="0"/>
    <x v="0"/>
    <x v="2"/>
    <n v="1"/>
    <n v="782365.55"/>
    <x v="3"/>
  </r>
  <r>
    <x v="101"/>
    <s v="Rekha Nayak"/>
    <n v="58"/>
    <x v="0"/>
    <n v="86649"/>
    <n v="1500000"/>
    <n v="36"/>
    <n v="16.8"/>
    <s v="Personal"/>
    <n v="454"/>
    <x v="96"/>
    <s v="2021-10-22"/>
    <x v="0"/>
    <n v="53329.91"/>
    <x v="2"/>
    <x v="6"/>
    <x v="0"/>
    <n v="1"/>
    <n v="780046.21"/>
    <x v="0"/>
  </r>
  <r>
    <x v="102"/>
    <s v="Divya Yadav"/>
    <n v="42"/>
    <x v="3"/>
    <n v="106115"/>
    <n v="1500000"/>
    <n v="120"/>
    <n v="17.72"/>
    <s v="Agriculture"/>
    <n v="800"/>
    <x v="97"/>
    <s v="2021-03-13"/>
    <x v="0"/>
    <n v="26757.97"/>
    <x v="1"/>
    <x v="10"/>
    <x v="3"/>
    <n v="2"/>
    <n v="777534.81"/>
    <x v="1"/>
  </r>
  <r>
    <x v="103"/>
    <s v="Manoj Das"/>
    <n v="27"/>
    <x v="2"/>
    <n v="20081"/>
    <n v="1500000"/>
    <n v="240"/>
    <n v="8.26"/>
    <s v="Medical"/>
    <n v="529"/>
    <x v="98"/>
    <s v="2022-03-14"/>
    <x v="0"/>
    <n v="12790.4"/>
    <x v="3"/>
    <x v="5"/>
    <x v="0"/>
    <n v="0"/>
    <n v="774784.32"/>
    <x v="0"/>
  </r>
  <r>
    <x v="104"/>
    <s v="Abhishek Mishra"/>
    <n v="30"/>
    <x v="3"/>
    <n v="176396"/>
    <n v="1500000"/>
    <n v="48"/>
    <n v="11.02"/>
    <s v="Personal"/>
    <n v="538"/>
    <x v="99"/>
    <s v="2023-09-01"/>
    <x v="0"/>
    <n v="38782.85"/>
    <x v="3"/>
    <x v="5"/>
    <x v="2"/>
    <n v="6"/>
    <n v="767004.14"/>
    <x v="0"/>
  </r>
  <r>
    <x v="105"/>
    <s v="Tarun Mehta"/>
    <n v="60"/>
    <x v="1"/>
    <n v="156613"/>
    <n v="1000000"/>
    <n v="36"/>
    <n v="19.84"/>
    <s v="Education"/>
    <n v="510"/>
    <x v="100"/>
    <s v="2023-11-13"/>
    <x v="0"/>
    <n v="37082.11"/>
    <x v="2"/>
    <x v="19"/>
    <x v="2"/>
    <n v="6"/>
    <n v="766382.71"/>
    <x v="0"/>
  </r>
  <r>
    <x v="106"/>
    <s v="Suresh Tiwari"/>
    <n v="35"/>
    <x v="3"/>
    <n v="248651"/>
    <n v="1000000"/>
    <n v="12"/>
    <n v="7.64"/>
    <s v="Medical"/>
    <n v="583"/>
    <x v="101"/>
    <s v="2022-04-19"/>
    <x v="0"/>
    <n v="86822.07"/>
    <x v="4"/>
    <x v="16"/>
    <x v="1"/>
    <n v="3"/>
    <n v="765580.41"/>
    <x v="3"/>
  </r>
  <r>
    <x v="107"/>
    <s v="Dinesh Tiwari"/>
    <n v="53"/>
    <x v="3"/>
    <n v="223034"/>
    <n v="2000000"/>
    <n v="36"/>
    <n v="21.88"/>
    <s v="Home Purchase"/>
    <n v="782"/>
    <x v="102"/>
    <s v="2023-02-15"/>
    <x v="0"/>
    <n v="76256.800000000003"/>
    <x v="0"/>
    <x v="8"/>
    <x v="2"/>
    <n v="2"/>
    <n v="764639.84"/>
    <x v="1"/>
  </r>
  <r>
    <x v="108"/>
    <s v="Smita Shetty"/>
    <n v="43"/>
    <x v="0"/>
    <n v="192646"/>
    <n v="1500000"/>
    <n v="60"/>
    <n v="11.2"/>
    <s v="Home Purchase"/>
    <n v="443"/>
    <x v="103"/>
    <s v="2023-10-22"/>
    <x v="2"/>
    <n v="32763.45"/>
    <x v="3"/>
    <x v="14"/>
    <x v="2"/>
    <n v="6"/>
    <n v="762822.38"/>
    <x v="0"/>
  </r>
  <r>
    <x v="109"/>
    <s v="Rohit Menon"/>
    <n v="45"/>
    <x v="1"/>
    <n v="233823"/>
    <n v="1000000"/>
    <n v="120"/>
    <n v="9.73"/>
    <s v="Vehicle Loan"/>
    <n v="462"/>
    <x v="104"/>
    <s v="2023-02-11"/>
    <x v="0"/>
    <n v="13066.01"/>
    <x v="2"/>
    <x v="4"/>
    <x v="0"/>
    <n v="0"/>
    <n v="753052.41"/>
    <x v="0"/>
  </r>
  <r>
    <x v="110"/>
    <s v="Shweta Nair"/>
    <n v="49"/>
    <x v="3"/>
    <n v="133848"/>
    <n v="750000"/>
    <n v="12"/>
    <n v="11.98"/>
    <s v="Education"/>
    <n v="422"/>
    <x v="105"/>
    <s v="2021-12-20"/>
    <x v="0"/>
    <n v="66629.570000000007"/>
    <x v="3"/>
    <x v="17"/>
    <x v="2"/>
    <n v="11"/>
    <n v="750000"/>
    <x v="0"/>
  </r>
  <r>
    <x v="111"/>
    <s v="Nisha Kaur"/>
    <n v="30"/>
    <x v="4"/>
    <n v="245511"/>
    <n v="750000"/>
    <n v="12"/>
    <n v="10.02"/>
    <s v="Personal"/>
    <n v="359"/>
    <x v="106"/>
    <s v="2023-02-03"/>
    <x v="0"/>
    <n v="65943.89"/>
    <x v="0"/>
    <x v="8"/>
    <x v="1"/>
    <n v="7"/>
    <n v="750000"/>
    <x v="0"/>
  </r>
  <r>
    <x v="112"/>
    <s v="Kiran Deshpande"/>
    <n v="59"/>
    <x v="2"/>
    <n v="76976"/>
    <n v="750000"/>
    <n v="12"/>
    <n v="11.63"/>
    <s v="Home Purchase"/>
    <n v="772"/>
    <x v="26"/>
    <s v="2024-01-17"/>
    <x v="0"/>
    <n v="66506.84"/>
    <x v="4"/>
    <x v="9"/>
    <x v="0"/>
    <n v="1"/>
    <n v="750000"/>
    <x v="1"/>
  </r>
  <r>
    <x v="113"/>
    <s v="Nisha Menon"/>
    <n v="36"/>
    <x v="0"/>
    <n v="87958"/>
    <n v="750000"/>
    <n v="24"/>
    <n v="16.920000000000002"/>
    <s v="Medical"/>
    <s v="Not Available"/>
    <x v="107"/>
    <s v="2023-12-20"/>
    <x v="0"/>
    <n v="37052.870000000003"/>
    <x v="2"/>
    <x v="20"/>
    <x v="4"/>
    <n v="2"/>
    <n v="750000"/>
    <x v="4"/>
  </r>
  <r>
    <x v="114"/>
    <s v="Varsha Chatterjee"/>
    <n v="47"/>
    <x v="3"/>
    <n v="180746"/>
    <n v="1000000"/>
    <n v="24"/>
    <n v="12.8"/>
    <s v="Medical"/>
    <n v="382"/>
    <x v="108"/>
    <s v="2022-01-17"/>
    <x v="0"/>
    <n v="47447.94"/>
    <x v="2"/>
    <x v="6"/>
    <x v="2"/>
    <n v="10"/>
    <n v="743781.12"/>
    <x v="0"/>
  </r>
  <r>
    <x v="115"/>
    <s v="Komal Banerjee"/>
    <n v="48"/>
    <x v="0"/>
    <n v="143945"/>
    <n v="1500000"/>
    <n v="48"/>
    <n v="7.91"/>
    <s v="Business Expansion"/>
    <n v="804"/>
    <x v="20"/>
    <s v="2023-10-03"/>
    <x v="0"/>
    <n v="36556.050000000003"/>
    <x v="3"/>
    <x v="7"/>
    <x v="2"/>
    <n v="11"/>
    <n v="743289.77"/>
    <x v="1"/>
  </r>
  <r>
    <x v="116"/>
    <s v="Suresh Mishra"/>
    <n v="53"/>
    <x v="1"/>
    <n v="84573"/>
    <n v="2000000"/>
    <n v="24"/>
    <n v="18.940000000000001"/>
    <s v="Education"/>
    <n v="450"/>
    <x v="109"/>
    <s v="2023-10-06"/>
    <x v="2"/>
    <n v="100758.94"/>
    <x v="4"/>
    <x v="9"/>
    <x v="1"/>
    <n v="6"/>
    <n v="730437.36"/>
    <x v="0"/>
  </r>
  <r>
    <x v="117"/>
    <s v="Usha Tiwari"/>
    <n v="64"/>
    <x v="3"/>
    <n v="71633"/>
    <n v="750000"/>
    <n v="36"/>
    <n v="7.85"/>
    <s v="Medical"/>
    <n v="401"/>
    <x v="110"/>
    <s v="2023-08-24"/>
    <x v="0"/>
    <n v="23450.41"/>
    <x v="4"/>
    <x v="16"/>
    <x v="2"/>
    <n v="12"/>
    <n v="728894.63"/>
    <x v="0"/>
  </r>
  <r>
    <x v="118"/>
    <s v="Nisha Saxena"/>
    <n v="48"/>
    <x v="1"/>
    <n v="131385"/>
    <n v="2000000"/>
    <n v="12"/>
    <n v="11.66"/>
    <s v="Education"/>
    <n v="361"/>
    <x v="111"/>
    <s v="2021-11-28"/>
    <x v="0"/>
    <n v="177379.62"/>
    <x v="3"/>
    <x v="7"/>
    <x v="0"/>
    <n v="0"/>
    <n v="722866.74"/>
    <x v="0"/>
  </r>
  <r>
    <x v="119"/>
    <s v="Vikram Sharma"/>
    <n v="22"/>
    <x v="1"/>
    <n v="243107"/>
    <n v="750000"/>
    <n v="24"/>
    <n v="9.77"/>
    <s v="Agriculture"/>
    <n v="638"/>
    <x v="112"/>
    <s v="2021-10-21"/>
    <x v="1"/>
    <n v="34529.129999999997"/>
    <x v="3"/>
    <x v="7"/>
    <x v="0"/>
    <n v="0"/>
    <n v="718923.78"/>
    <x v="3"/>
  </r>
  <r>
    <x v="120"/>
    <s v="Nisha Kapoor"/>
    <n v="45"/>
    <x v="2"/>
    <n v="197697"/>
    <n v="2000000"/>
    <n v="12"/>
    <n v="12.29"/>
    <s v="Education"/>
    <n v="357"/>
    <x v="113"/>
    <s v="2023-08-29"/>
    <x v="0"/>
    <n v="177969.02"/>
    <x v="4"/>
    <x v="16"/>
    <x v="0"/>
    <n v="0"/>
    <n v="718623.06"/>
    <x v="0"/>
  </r>
  <r>
    <x v="121"/>
    <s v="Siddharth Reddy"/>
    <n v="37"/>
    <x v="2"/>
    <n v="34113"/>
    <n v="2000000"/>
    <n v="12"/>
    <n v="12.51"/>
    <s v="Vehicle Loan"/>
    <n v="726"/>
    <x v="114"/>
    <s v="2023-09-15"/>
    <x v="0"/>
    <n v="178175.1"/>
    <x v="1"/>
    <x v="15"/>
    <x v="0"/>
    <n v="0"/>
    <n v="717139.28"/>
    <x v="2"/>
  </r>
  <r>
    <x v="122"/>
    <s v="Abhishek Nayak"/>
    <n v="56"/>
    <x v="3"/>
    <n v="81375"/>
    <n v="750000"/>
    <n v="24"/>
    <n v="17.62"/>
    <s v="Agriculture"/>
    <n v="478"/>
    <x v="115"/>
    <s v="2022-09-09"/>
    <x v="2"/>
    <n v="37305.519999999997"/>
    <x v="2"/>
    <x v="6"/>
    <x v="0"/>
    <n v="0"/>
    <n v="716425.03"/>
    <x v="0"/>
  </r>
  <r>
    <x v="123"/>
    <s v="Kavitha Jain"/>
    <n v="57"/>
    <x v="2"/>
    <m/>
    <n v="750000"/>
    <n v="120"/>
    <n v="17.28"/>
    <s v="Business Expansion"/>
    <n v="732"/>
    <x v="116"/>
    <s v="2023-02-27"/>
    <x v="0"/>
    <n v="13168.19"/>
    <x v="3"/>
    <x v="7"/>
    <x v="2"/>
    <n v="1"/>
    <n v="714445.89"/>
    <x v="2"/>
  </r>
  <r>
    <x v="124"/>
    <s v="Siddharth Saxena"/>
    <n v="26"/>
    <x v="1"/>
    <n v="19626"/>
    <n v="750000"/>
    <n v="180"/>
    <n v="13.04"/>
    <s v="Personal"/>
    <n v="815"/>
    <x v="117"/>
    <s v="2021-09-24"/>
    <x v="2"/>
    <n v="9509.06"/>
    <x v="1"/>
    <x v="1"/>
    <x v="2"/>
    <n v="3"/>
    <n v="707209.23"/>
    <x v="1"/>
  </r>
  <r>
    <x v="125"/>
    <s v="Anita Malhotra"/>
    <n v="23"/>
    <x v="1"/>
    <n v="160867"/>
    <n v="1500000"/>
    <n v="180"/>
    <n v="21.85"/>
    <s v="Debt Consolidation"/>
    <n v="850"/>
    <x v="118"/>
    <s v="2021-08-02"/>
    <x v="0"/>
    <n v="28416.51"/>
    <x v="0"/>
    <x v="2"/>
    <x v="3"/>
    <n v="2"/>
    <n v="707179.37"/>
    <x v="1"/>
  </r>
  <r>
    <x v="126"/>
    <s v="Rani Kaur"/>
    <n v="38"/>
    <x v="4"/>
    <n v="145764"/>
    <n v="1000000"/>
    <n v="120"/>
    <n v="21.95"/>
    <s v="Agriculture"/>
    <n v="726"/>
    <x v="119"/>
    <s v="2023-10-15"/>
    <x v="0"/>
    <n v="20635.66"/>
    <x v="0"/>
    <x v="0"/>
    <x v="3"/>
    <n v="2"/>
    <n v="702846.5"/>
    <x v="2"/>
  </r>
  <r>
    <x v="127"/>
    <s v="Meena Joshi"/>
    <n v="31"/>
    <x v="2"/>
    <n v="163782"/>
    <n v="1500000"/>
    <n v="60"/>
    <n v="8.27"/>
    <s v="Medical"/>
    <n v="555"/>
    <x v="120"/>
    <s v="2022-01-27"/>
    <x v="0"/>
    <n v="30608.79"/>
    <x v="1"/>
    <x v="10"/>
    <x v="2"/>
    <n v="11"/>
    <n v="701110.58"/>
    <x v="3"/>
  </r>
  <r>
    <x v="128"/>
    <s v="Suresh Chatterjee"/>
    <n v="61"/>
    <x v="0"/>
    <n v="164686"/>
    <n v="1000000"/>
    <n v="36"/>
    <n v="12.19"/>
    <s v="Personal"/>
    <n v="705"/>
    <x v="121"/>
    <s v="2022-11-17"/>
    <x v="0"/>
    <n v="33305.129999999997"/>
    <x v="0"/>
    <x v="0"/>
    <x v="1"/>
    <n v="9"/>
    <n v="700253.83"/>
    <x v="2"/>
  </r>
  <r>
    <x v="129"/>
    <s v="Bhavna Shah"/>
    <n v="48"/>
    <x v="0"/>
    <n v="62075"/>
    <n v="750000"/>
    <n v="120"/>
    <n v="14.14"/>
    <s v="Education"/>
    <n v="882"/>
    <x v="7"/>
    <s v="2022-06-05"/>
    <x v="0"/>
    <n v="11708.2"/>
    <x v="3"/>
    <x v="14"/>
    <x v="3"/>
    <n v="2"/>
    <n v="697313.1"/>
    <x v="1"/>
  </r>
  <r>
    <x v="130"/>
    <s v="Dinesh Jain"/>
    <n v="26"/>
    <x v="0"/>
    <n v="99321"/>
    <n v="1500000"/>
    <n v="48"/>
    <n v="19.04"/>
    <s v="Education"/>
    <n v="398"/>
    <x v="122"/>
    <s v="2021-08-31"/>
    <x v="0"/>
    <n v="44881.84"/>
    <x v="1"/>
    <x v="10"/>
    <x v="2"/>
    <n v="8"/>
    <n v="692126.88"/>
    <x v="0"/>
  </r>
  <r>
    <x v="131"/>
    <s v="Ashok Nayak"/>
    <n v="31"/>
    <x v="4"/>
    <n v="248848"/>
    <n v="750000"/>
    <n v="12"/>
    <n v="7.67"/>
    <s v="Education"/>
    <n v="817"/>
    <x v="123"/>
    <s v="2023-10-17"/>
    <x v="0"/>
    <n v="65126.94"/>
    <x v="2"/>
    <x v="4"/>
    <x v="2"/>
    <n v="2"/>
    <n v="691385.75"/>
    <x v="1"/>
  </r>
  <r>
    <x v="132"/>
    <s v="Mohan Joshi"/>
    <n v="42"/>
    <x v="4"/>
    <n v="75011"/>
    <n v="1500000"/>
    <n v="48"/>
    <n v="19.29"/>
    <s v="Personal"/>
    <n v="800"/>
    <x v="124"/>
    <s v="2023-11-19"/>
    <x v="0"/>
    <n v="45080.04"/>
    <x v="1"/>
    <x v="10"/>
    <x v="0"/>
    <n v="0"/>
    <n v="688559.28"/>
    <x v="1"/>
  </r>
  <r>
    <x v="133"/>
    <s v="Mohan Sharma"/>
    <n v="58"/>
    <x v="1"/>
    <n v="19488"/>
    <n v="1000000"/>
    <n v="84"/>
    <n v="16.91"/>
    <s v="Debt Consolidation"/>
    <n v="307"/>
    <x v="125"/>
    <s v="2021-08-07"/>
    <x v="2"/>
    <n v="20383.830000000002"/>
    <x v="4"/>
    <x v="16"/>
    <x v="0"/>
    <n v="0"/>
    <n v="688127.4"/>
    <x v="0"/>
  </r>
  <r>
    <x v="134"/>
    <s v="Kiran Shetty"/>
    <n v="41"/>
    <x v="1"/>
    <n v="218642"/>
    <n v="750000"/>
    <n v="24"/>
    <n v="20.309999999999999"/>
    <s v="Education"/>
    <n v="461"/>
    <x v="126"/>
    <s v="2022-07-29"/>
    <x v="1"/>
    <n v="38285.53"/>
    <x v="1"/>
    <x v="1"/>
    <x v="3"/>
    <n v="2"/>
    <n v="681086.05"/>
    <x v="0"/>
  </r>
  <r>
    <x v="135"/>
    <s v="Jyoti Shetty"/>
    <n v="55"/>
    <x v="3"/>
    <n v="246683"/>
    <n v="1500000"/>
    <n v="48"/>
    <n v="8.18"/>
    <s v="Debt Consolidation"/>
    <n v="845"/>
    <x v="127"/>
    <s v="2022-02-16"/>
    <x v="0"/>
    <n v="36746.25"/>
    <x v="2"/>
    <x v="6"/>
    <x v="1"/>
    <n v="0"/>
    <n v="673209.38"/>
    <x v="1"/>
  </r>
  <r>
    <x v="136"/>
    <s v="Manoj Nair"/>
    <n v="64"/>
    <x v="1"/>
    <m/>
    <n v="1500000"/>
    <n v="12"/>
    <n v="9.48"/>
    <s v="Vehicle Loan"/>
    <n v="304"/>
    <x v="128"/>
    <s v="2023-01-25"/>
    <x v="1"/>
    <n v="131511.34"/>
    <x v="3"/>
    <x v="14"/>
    <x v="2"/>
    <n v="0"/>
    <n v="671478.56"/>
    <x v="0"/>
  </r>
  <r>
    <x v="137"/>
    <s v="Abhishek Shetty"/>
    <n v="48"/>
    <x v="2"/>
    <n v="124914"/>
    <n v="750000"/>
    <n v="84"/>
    <n v="11.84"/>
    <s v="Personal"/>
    <n v="466"/>
    <x v="129"/>
    <s v="2022-10-09"/>
    <x v="2"/>
    <n v="13175.46"/>
    <x v="1"/>
    <x v="10"/>
    <x v="0"/>
    <n v="2"/>
    <n v="655136.68999999994"/>
    <x v="0"/>
  </r>
  <r>
    <x v="138"/>
    <s v="Sarala Nayak"/>
    <n v="41"/>
    <x v="1"/>
    <n v="227926"/>
    <n v="1000000"/>
    <n v="24"/>
    <n v="15.26"/>
    <s v="Personal"/>
    <n v="753"/>
    <x v="130"/>
    <s v="2022-09-14"/>
    <x v="1"/>
    <n v="48610.27"/>
    <x v="2"/>
    <x v="19"/>
    <x v="4"/>
    <n v="1"/>
    <n v="650006.06000000006"/>
    <x v="1"/>
  </r>
  <r>
    <x v="139"/>
    <s v="Pallavi Jain"/>
    <n v="27"/>
    <x v="4"/>
    <n v="17128"/>
    <n v="750000"/>
    <n v="240"/>
    <n v="13.36"/>
    <s v="Education"/>
    <n v="601"/>
    <x v="131"/>
    <s v="2021-01-27"/>
    <x v="0"/>
    <n v="8979.86"/>
    <x v="3"/>
    <x v="12"/>
    <x v="0"/>
    <n v="2"/>
    <n v="644935.64"/>
    <x v="3"/>
  </r>
  <r>
    <x v="140"/>
    <s v="Tarun Yadav"/>
    <n v="53"/>
    <x v="0"/>
    <n v="139111"/>
    <n v="1500000"/>
    <n v="240"/>
    <n v="19.21"/>
    <s v="Home Purchase"/>
    <n v="678"/>
    <x v="132"/>
    <s v="2022-01-28"/>
    <x v="1"/>
    <n v="24555.51"/>
    <x v="3"/>
    <x v="7"/>
    <x v="0"/>
    <n v="2"/>
    <n v="638101.6"/>
    <x v="2"/>
  </r>
  <r>
    <x v="141"/>
    <s v="Kiran Saxena"/>
    <n v="51"/>
    <x v="2"/>
    <n v="242745"/>
    <n v="1000000"/>
    <n v="180"/>
    <n v="11.89"/>
    <s v="Medical"/>
    <n v="704"/>
    <x v="133"/>
    <s v="2021-02-07"/>
    <x v="1"/>
    <n v="11931"/>
    <x v="4"/>
    <x v="21"/>
    <x v="0"/>
    <n v="0"/>
    <n v="634911.4"/>
    <x v="2"/>
  </r>
  <r>
    <x v="142"/>
    <s v="Suresh Rao"/>
    <n v="53"/>
    <x v="4"/>
    <n v="224498"/>
    <n v="750000"/>
    <n v="48"/>
    <n v="8.42"/>
    <s v="Personal"/>
    <n v="736"/>
    <x v="33"/>
    <s v="2021-10-22"/>
    <x v="0"/>
    <n v="18457.91"/>
    <x v="4"/>
    <x v="16"/>
    <x v="0"/>
    <n v="1"/>
    <n v="633715.17000000004"/>
    <x v="2"/>
  </r>
  <r>
    <x v="143"/>
    <s v="Vinod Pillai"/>
    <n v="51"/>
    <x v="3"/>
    <n v="83774"/>
    <n v="1000000"/>
    <n v="180"/>
    <n v="15.15"/>
    <s v="Medical"/>
    <n v="697"/>
    <x v="134"/>
    <s v="2022-12-28"/>
    <x v="0"/>
    <n v="14098.75"/>
    <x v="1"/>
    <x v="10"/>
    <x v="2"/>
    <n v="9"/>
    <n v="632022.62"/>
    <x v="2"/>
  </r>
  <r>
    <x v="144"/>
    <s v="Chetna Shetty"/>
    <n v="30"/>
    <x v="4"/>
    <n v="30723"/>
    <n v="750000"/>
    <n v="240"/>
    <n v="15.64"/>
    <s v="Vehicle Loan"/>
    <n v="720"/>
    <x v="135"/>
    <s v="2022-09-04"/>
    <x v="0"/>
    <n v="10232.379999999999"/>
    <x v="4"/>
    <x v="16"/>
    <x v="0"/>
    <n v="2"/>
    <n v="630281.15"/>
    <x v="2"/>
  </r>
  <r>
    <x v="145"/>
    <s v="Rohit Kumar"/>
    <n v="57"/>
    <x v="2"/>
    <n v="103591"/>
    <n v="750000"/>
    <n v="180"/>
    <n v="17.72"/>
    <s v="Debt Consolidation"/>
    <n v="468"/>
    <x v="136"/>
    <s v="2021-08-09"/>
    <x v="1"/>
    <n v="11927.37"/>
    <x v="1"/>
    <x v="10"/>
    <x v="2"/>
    <n v="2"/>
    <n v="610449.77"/>
    <x v="0"/>
  </r>
  <r>
    <x v="146"/>
    <s v="Shweta Chaudhary"/>
    <n v="44"/>
    <x v="2"/>
    <n v="89589"/>
    <n v="1000000"/>
    <n v="36"/>
    <n v="17.86"/>
    <s v="Personal"/>
    <n v="407"/>
    <x v="128"/>
    <s v="2023-01-27"/>
    <x v="0"/>
    <n v="36082.199999999997"/>
    <x v="4"/>
    <x v="24"/>
    <x v="2"/>
    <n v="9"/>
    <n v="610312.24"/>
    <x v="0"/>
  </r>
  <r>
    <x v="147"/>
    <s v="Pallavi Joshi"/>
    <n v="54"/>
    <x v="3"/>
    <n v="180528"/>
    <n v="750000"/>
    <n v="120"/>
    <n v="19.72"/>
    <s v="Business Expansion"/>
    <n v="866"/>
    <x v="137"/>
    <s v="2021-07-14"/>
    <x v="2"/>
    <n v="14355.21"/>
    <x v="0"/>
    <x v="22"/>
    <x v="1"/>
    <n v="3"/>
    <n v="607883.42000000004"/>
    <x v="1"/>
  </r>
  <r>
    <x v="148"/>
    <s v="Anil Malhotra"/>
    <n v="43"/>
    <x v="3"/>
    <n v="141226"/>
    <n v="1000000"/>
    <n v="180"/>
    <n v="14.45"/>
    <s v="Education"/>
    <n v="720"/>
    <x v="138"/>
    <s v="2021-12-03"/>
    <x v="0"/>
    <n v="13621.1"/>
    <x v="3"/>
    <x v="17"/>
    <x v="0"/>
    <n v="0"/>
    <n v="607712.31999999995"/>
    <x v="2"/>
  </r>
  <r>
    <x v="149"/>
    <s v="Meena Singh"/>
    <n v="64"/>
    <x v="4"/>
    <n v="234680"/>
    <n v="750000"/>
    <n v="60"/>
    <n v="12.3"/>
    <s v="Vehicle Loan"/>
    <n v="350"/>
    <x v="139"/>
    <s v="2022-08-28"/>
    <x v="0"/>
    <n v="16797.259999999998"/>
    <x v="3"/>
    <x v="14"/>
    <x v="3"/>
    <n v="0"/>
    <n v="598824.66"/>
    <x v="0"/>
  </r>
  <r>
    <x v="150"/>
    <s v="Chetna Pillai"/>
    <n v="53"/>
    <x v="0"/>
    <n v="76567"/>
    <n v="1500000"/>
    <n v="48"/>
    <n v="20.149999999999999"/>
    <s v="Personal"/>
    <n v="534"/>
    <x v="140"/>
    <s v="2021-12-13"/>
    <x v="0"/>
    <n v="45765.51"/>
    <x v="0"/>
    <x v="0"/>
    <x v="2"/>
    <n v="9"/>
    <n v="593842.9"/>
    <x v="0"/>
  </r>
  <r>
    <x v="151"/>
    <s v="Deepa Malhotra"/>
    <n v="55"/>
    <x v="4"/>
    <n v="218579"/>
    <n v="1500000"/>
    <n v="48"/>
    <n v="17.690000000000001"/>
    <s v="Personal"/>
    <n v="670"/>
    <x v="4"/>
    <s v="2023-09-05"/>
    <x v="0"/>
    <n v="43819.89"/>
    <x v="3"/>
    <x v="17"/>
    <x v="0"/>
    <n v="0"/>
    <n v="592928.28"/>
    <x v="2"/>
  </r>
  <r>
    <x v="152"/>
    <s v="Harish Shetty"/>
    <n v="42"/>
    <x v="4"/>
    <n v="127601"/>
    <n v="1000000"/>
    <n v="48"/>
    <n v="20.85"/>
    <s v="Personal"/>
    <n v="848"/>
    <x v="141"/>
    <s v="2021-05-13"/>
    <x v="0"/>
    <n v="30885.07"/>
    <x v="4"/>
    <x v="9"/>
    <x v="2"/>
    <n v="5"/>
    <n v="583051.55000000005"/>
    <x v="1"/>
  </r>
  <r>
    <x v="153"/>
    <s v="Smita Shah"/>
    <n v="65"/>
    <x v="1"/>
    <n v="176083"/>
    <n v="750000"/>
    <n v="24"/>
    <n v="17.25"/>
    <s v="Medical"/>
    <n v="420"/>
    <x v="142"/>
    <s v="2023-03-01"/>
    <x v="0"/>
    <n v="37171.85"/>
    <x v="0"/>
    <x v="22"/>
    <x v="3"/>
    <n v="0"/>
    <n v="582726.68000000005"/>
    <x v="0"/>
  </r>
  <r>
    <x v="154"/>
    <s v="Vinod Das"/>
    <n v="60"/>
    <x v="0"/>
    <n v="207260"/>
    <n v="2000000"/>
    <n v="12"/>
    <n v="10.35"/>
    <s v="Business Expansion"/>
    <n v="684"/>
    <x v="143"/>
    <s v="2021-09-22"/>
    <x v="0"/>
    <n v="176157.5"/>
    <x v="1"/>
    <x v="10"/>
    <x v="0"/>
    <n v="0"/>
    <n v="573124.25"/>
    <x v="2"/>
  </r>
  <r>
    <x v="155"/>
    <s v="Nisha Rao"/>
    <n v="23"/>
    <x v="2"/>
    <n v="145919"/>
    <n v="2000000"/>
    <n v="36"/>
    <n v="21.24"/>
    <s v="Medical"/>
    <n v="459"/>
    <x v="18"/>
    <s v="2022-09-16"/>
    <x v="0"/>
    <n v="75596.81"/>
    <x v="3"/>
    <x v="7"/>
    <x v="0"/>
    <n v="2"/>
    <n v="571220.29"/>
    <x v="0"/>
  </r>
  <r>
    <x v="156"/>
    <s v="Madhuri Gupta"/>
    <n v="28"/>
    <x v="2"/>
    <n v="65635"/>
    <n v="750000"/>
    <n v="36"/>
    <n v="21.96"/>
    <s v="Medical"/>
    <n v="765"/>
    <x v="144"/>
    <s v="2021-05-28"/>
    <x v="1"/>
    <n v="28627.32"/>
    <x v="1"/>
    <x v="10"/>
    <x v="3"/>
    <n v="1"/>
    <n v="569647.88"/>
    <x v="1"/>
  </r>
  <r>
    <x v="157"/>
    <s v="Priya Verma"/>
    <n v="35"/>
    <x v="3"/>
    <n v="41449"/>
    <n v="750000"/>
    <n v="12"/>
    <n v="13.97"/>
    <s v="Home Purchase"/>
    <n v="550"/>
    <x v="145"/>
    <s v="2022-04-17"/>
    <x v="2"/>
    <n v="67329.75"/>
    <x v="3"/>
    <x v="14"/>
    <x v="2"/>
    <n v="7"/>
    <n v="568209.68000000005"/>
    <x v="3"/>
  </r>
  <r>
    <x v="158"/>
    <s v="Sunil Pillai"/>
    <n v="35"/>
    <x v="1"/>
    <n v="26470"/>
    <n v="750000"/>
    <n v="12"/>
    <n v="21.25"/>
    <s v="Medical"/>
    <n v="556"/>
    <x v="146"/>
    <s v="2021-05-11"/>
    <x v="2"/>
    <n v="69925.350000000006"/>
    <x v="0"/>
    <x v="22"/>
    <x v="3"/>
    <n v="1"/>
    <n v="561201.55000000005"/>
    <x v="3"/>
  </r>
  <r>
    <x v="159"/>
    <s v="Deepa Yadav"/>
    <n v="64"/>
    <x v="2"/>
    <n v="134027"/>
    <n v="1000000"/>
    <n v="60"/>
    <n v="16.12"/>
    <s v="Home Purchase"/>
    <n v="637"/>
    <x v="147"/>
    <s v="2021-10-01"/>
    <x v="2"/>
    <n v="24381.86"/>
    <x v="3"/>
    <x v="7"/>
    <x v="0"/>
    <n v="1"/>
    <n v="561126.52"/>
    <x v="3"/>
  </r>
  <r>
    <x v="160"/>
    <s v="Meena Saxena"/>
    <n v="31"/>
    <x v="0"/>
    <n v="98935"/>
    <n v="750000"/>
    <n v="12"/>
    <n v="21.82"/>
    <s v="Debt Consolidation"/>
    <n v="363"/>
    <x v="148"/>
    <s v="2021-04-30"/>
    <x v="0"/>
    <n v="70130.83"/>
    <x v="4"/>
    <x v="16"/>
    <x v="2"/>
    <n v="7"/>
    <n v="560646.76"/>
    <x v="0"/>
  </r>
  <r>
    <x v="161"/>
    <s v="Smita Kapoor"/>
    <n v="57"/>
    <x v="4"/>
    <n v="44677"/>
    <n v="750000"/>
    <n v="24"/>
    <n v="11.38"/>
    <s v="Medical"/>
    <n v="855"/>
    <x v="55"/>
    <s v="2023-05-27"/>
    <x v="1"/>
    <n v="35088.339999999997"/>
    <x v="3"/>
    <x v="14"/>
    <x v="0"/>
    <n v="2"/>
    <n v="560522.96"/>
    <x v="1"/>
  </r>
  <r>
    <x v="162"/>
    <s v="Pallavi Dubey"/>
    <n v="28"/>
    <x v="3"/>
    <n v="158282"/>
    <n v="750000"/>
    <n v="84"/>
    <n v="11.87"/>
    <s v="Agriculture"/>
    <n v="506"/>
    <x v="49"/>
    <s v="2022-02-13"/>
    <x v="0"/>
    <n v="13187.46"/>
    <x v="1"/>
    <x v="3"/>
    <x v="3"/>
    <n v="0"/>
    <n v="560100.57999999996"/>
    <x v="0"/>
  </r>
  <r>
    <x v="163"/>
    <s v="Dinesh Pillai"/>
    <n v="63"/>
    <x v="0"/>
    <n v="171653"/>
    <n v="750000"/>
    <n v="24"/>
    <n v="11.79"/>
    <s v="Home Purchase"/>
    <n v="499"/>
    <x v="149"/>
    <s v="2023-02-26"/>
    <x v="0"/>
    <n v="35231.599999999999"/>
    <x v="1"/>
    <x v="15"/>
    <x v="0"/>
    <n v="1"/>
    <n v="528040.92000000004"/>
    <x v="0"/>
  </r>
  <r>
    <x v="164"/>
    <s v="Ravi Patel"/>
    <n v="60"/>
    <x v="2"/>
    <n v="127939"/>
    <n v="1500000"/>
    <n v="36"/>
    <n v="21.8"/>
    <s v="Personal"/>
    <n v="762"/>
    <x v="150"/>
    <s v="2022-11-18"/>
    <x v="0"/>
    <n v="57130.6"/>
    <x v="4"/>
    <x v="24"/>
    <x v="0"/>
    <n v="2"/>
    <n v="523066.74"/>
    <x v="1"/>
  </r>
  <r>
    <x v="165"/>
    <s v="Pallavi Yadav"/>
    <n v="30"/>
    <x v="1"/>
    <n v="204528"/>
    <n v="1500000"/>
    <n v="120"/>
    <n v="21.42"/>
    <s v="Medical"/>
    <n v="783"/>
    <x v="151"/>
    <s v="2021-07-20"/>
    <x v="0"/>
    <n v="30414.36"/>
    <x v="0"/>
    <x v="18"/>
    <x v="0"/>
    <n v="0"/>
    <n v="514574.74"/>
    <x v="1"/>
  </r>
  <r>
    <x v="166"/>
    <s v="Pooja Kulkarni"/>
    <n v="41"/>
    <x v="4"/>
    <n v="204499"/>
    <n v="750000"/>
    <n v="12"/>
    <n v="11.29"/>
    <s v="Medical"/>
    <n v="541"/>
    <x v="152"/>
    <s v="2021-12-09"/>
    <x v="0"/>
    <n v="66387.740000000005"/>
    <x v="3"/>
    <x v="5"/>
    <x v="0"/>
    <n v="1"/>
    <n v="511004.14"/>
    <x v="0"/>
  </r>
  <r>
    <x v="167"/>
    <s v="Kiran Mishra"/>
    <n v="62"/>
    <x v="4"/>
    <n v="91517"/>
    <n v="1000000"/>
    <n v="24"/>
    <n v="17.62"/>
    <s v="Personal"/>
    <n v="805"/>
    <x v="153"/>
    <s v="2021-07-03"/>
    <x v="0"/>
    <n v="49740.69"/>
    <x v="2"/>
    <x v="20"/>
    <x v="2"/>
    <n v="1"/>
    <n v="507567.17"/>
    <x v="1"/>
  </r>
  <r>
    <x v="168"/>
    <s v="Nisha Kapoor"/>
    <n v="28"/>
    <x v="4"/>
    <n v="222424"/>
    <n v="750000"/>
    <n v="36"/>
    <n v="11.15"/>
    <s v="Vehicle Loan"/>
    <n v="632"/>
    <x v="154"/>
    <s v="2022-11-13"/>
    <x v="2"/>
    <n v="24607.35"/>
    <x v="2"/>
    <x v="13"/>
    <x v="3"/>
    <n v="1"/>
    <n v="506387.23"/>
    <x v="3"/>
  </r>
  <r>
    <x v="169"/>
    <s v="Naveen Singh"/>
    <n v="46"/>
    <x v="2"/>
    <n v="175947"/>
    <n v="1000000"/>
    <n v="240"/>
    <n v="11.65"/>
    <s v="Home Purchase"/>
    <n v="479"/>
    <x v="155"/>
    <s v="2023-12-10"/>
    <x v="0"/>
    <n v="10767.84"/>
    <x v="2"/>
    <x v="4"/>
    <x v="3"/>
    <n v="0"/>
    <n v="505756.14"/>
    <x v="0"/>
  </r>
  <r>
    <x v="170"/>
    <s v="Priya Shetty"/>
    <n v="43"/>
    <x v="3"/>
    <n v="124193"/>
    <n v="750000"/>
    <n v="60"/>
    <n v="19.05"/>
    <s v="Home Purchase"/>
    <n v="785"/>
    <x v="156"/>
    <s v="2021-05-07"/>
    <x v="0"/>
    <n v="19476.05"/>
    <x v="4"/>
    <x v="24"/>
    <x v="0"/>
    <n v="2"/>
    <n v="504601.77"/>
    <x v="1"/>
  </r>
  <r>
    <x v="171"/>
    <s v="Pooja Dubey"/>
    <n v="64"/>
    <x v="0"/>
    <n v="239855"/>
    <n v="1000000"/>
    <n v="36"/>
    <n v="10.5"/>
    <s v="Medical"/>
    <n v="492"/>
    <x v="157"/>
    <s v="2023-06-19"/>
    <x v="0"/>
    <n v="32502.44"/>
    <x v="0"/>
    <x v="2"/>
    <x v="0"/>
    <n v="1"/>
    <n v="502712.67"/>
    <x v="0"/>
  </r>
  <r>
    <x v="172"/>
    <s v="Kavitha Verma"/>
    <n v="59"/>
    <x v="4"/>
    <n v="25418"/>
    <n v="750000"/>
    <n v="24"/>
    <n v="13.58"/>
    <s v="Medical"/>
    <n v="567"/>
    <x v="158"/>
    <s v="2023-03-29"/>
    <x v="0"/>
    <n v="35861.03"/>
    <x v="0"/>
    <x v="22"/>
    <x v="0"/>
    <n v="0"/>
    <n v="491800.58"/>
    <x v="3"/>
  </r>
  <r>
    <x v="173"/>
    <s v="Naveen Shetty"/>
    <n v="38"/>
    <x v="2"/>
    <n v="103463"/>
    <n v="1000000"/>
    <n v="60"/>
    <n v="18.62"/>
    <s v="Home Purchase"/>
    <n v="855"/>
    <x v="159"/>
    <s v="2023-05-08"/>
    <x v="0"/>
    <n v="25731.91"/>
    <x v="4"/>
    <x v="9"/>
    <x v="0"/>
    <n v="1"/>
    <n v="490508.18"/>
    <x v="1"/>
  </r>
  <r>
    <x v="174"/>
    <s v="Chetna Nayak"/>
    <n v="61"/>
    <x v="2"/>
    <n v="21036"/>
    <n v="500000"/>
    <n v="60"/>
    <n v="10.47"/>
    <s v="Agriculture"/>
    <n v="747"/>
    <x v="160"/>
    <s v="2023-11-08"/>
    <x v="0"/>
    <n v="10739.52"/>
    <x v="1"/>
    <x v="11"/>
    <x v="0"/>
    <n v="1"/>
    <n v="490334.43"/>
    <x v="2"/>
  </r>
  <r>
    <x v="175"/>
    <s v="Dinesh Iyer"/>
    <n v="38"/>
    <x v="0"/>
    <n v="169888"/>
    <n v="500000"/>
    <n v="48"/>
    <n v="8.69"/>
    <s v="Education"/>
    <n v="489"/>
    <x v="161"/>
    <s v="2023-08-31"/>
    <x v="2"/>
    <n v="12369.05"/>
    <x v="1"/>
    <x v="1"/>
    <x v="0"/>
    <n v="2"/>
    <n v="488867.85"/>
    <x v="0"/>
  </r>
  <r>
    <x v="176"/>
    <s v="Komal Nair"/>
    <n v="39"/>
    <x v="0"/>
    <n v="248648"/>
    <n v="500000"/>
    <n v="48"/>
    <n v="11.32"/>
    <s v="Vehicle Loan"/>
    <n v="377"/>
    <x v="162"/>
    <s v="2023-05-07"/>
    <x v="0"/>
    <n v="13000.6"/>
    <x v="3"/>
    <x v="7"/>
    <x v="1"/>
    <n v="10"/>
    <n v="488299.46"/>
    <x v="0"/>
  </r>
  <r>
    <x v="177"/>
    <s v="Jyoti Tiwari"/>
    <n v="33"/>
    <x v="0"/>
    <n v="114669"/>
    <n v="500000"/>
    <n v="48"/>
    <n v="14.75"/>
    <s v="Medical"/>
    <n v="373"/>
    <x v="86"/>
    <s v="2023-08-05"/>
    <x v="0"/>
    <n v="13852.09"/>
    <x v="2"/>
    <x v="19"/>
    <x v="0"/>
    <n v="1"/>
    <n v="487533.12"/>
    <x v="0"/>
  </r>
  <r>
    <x v="178"/>
    <s v="Kavitha Shetty"/>
    <n v="58"/>
    <x v="1"/>
    <n v="25559"/>
    <n v="500000"/>
    <n v="36"/>
    <n v="9.2100000000000009"/>
    <s v="Business Expansion"/>
    <n v="683"/>
    <x v="163"/>
    <s v="2021-10-27"/>
    <x v="2"/>
    <n v="15948.78"/>
    <x v="4"/>
    <x v="23"/>
    <x v="3"/>
    <n v="1"/>
    <n v="485646.1"/>
    <x v="2"/>
  </r>
  <r>
    <x v="179"/>
    <s v="Ravi Sharma"/>
    <n v="29"/>
    <x v="4"/>
    <n v="60773"/>
    <n v="750000"/>
    <n v="36"/>
    <n v="17.059999999999999"/>
    <s v="Medical"/>
    <n v="479"/>
    <x v="164"/>
    <s v="2024-01-16"/>
    <x v="0"/>
    <n v="26761.95"/>
    <x v="4"/>
    <x v="9"/>
    <x v="3"/>
    <n v="1"/>
    <n v="485056.7"/>
    <x v="0"/>
  </r>
  <r>
    <x v="180"/>
    <s v="Madhuri Pillai"/>
    <n v="46"/>
    <x v="0"/>
    <n v="153496"/>
    <n v="1000000"/>
    <n v="24"/>
    <n v="13.3"/>
    <s v="Personal"/>
    <n v="458"/>
    <x v="165"/>
    <s v="2022-09-23"/>
    <x v="0"/>
    <n v="47682.86"/>
    <x v="3"/>
    <x v="17"/>
    <x v="0"/>
    <n v="2"/>
    <n v="485025.11"/>
    <x v="0"/>
  </r>
  <r>
    <x v="181"/>
    <s v="Vinod Nayak"/>
    <n v="29"/>
    <x v="2"/>
    <n v="82263"/>
    <n v="500000"/>
    <n v="60"/>
    <n v="7.86"/>
    <s v="Medical"/>
    <s v="Not Available"/>
    <x v="166"/>
    <s v="2022-09-23"/>
    <x v="0"/>
    <n v="10104.73"/>
    <x v="1"/>
    <x v="10"/>
    <x v="0"/>
    <n v="1"/>
    <n v="481811.49"/>
    <x v="4"/>
  </r>
  <r>
    <x v="182"/>
    <s v="Sunita Sharma"/>
    <n v="38"/>
    <x v="0"/>
    <n v="177676"/>
    <n v="2000000"/>
    <n v="180"/>
    <n v="19.53"/>
    <s v="Medical"/>
    <n v="859"/>
    <x v="167"/>
    <s v="2022-09-12"/>
    <x v="0"/>
    <n v="34433.46"/>
    <x v="1"/>
    <x v="3"/>
    <x v="0"/>
    <n v="2"/>
    <n v="481484.41"/>
    <x v="1"/>
  </r>
  <r>
    <x v="183"/>
    <s v="Sarala Das"/>
    <n v="24"/>
    <x v="3"/>
    <n v="47693"/>
    <n v="500000"/>
    <n v="60"/>
    <n v="12.77"/>
    <s v="Education"/>
    <n v="733"/>
    <x v="168"/>
    <s v="2023-12-28"/>
    <x v="0"/>
    <n v="11317.75"/>
    <x v="3"/>
    <x v="17"/>
    <x v="0"/>
    <n v="1"/>
    <n v="479628.05"/>
    <x v="2"/>
  </r>
  <r>
    <x v="184"/>
    <s v="Mohan Dubey"/>
    <n v="64"/>
    <x v="4"/>
    <n v="112862"/>
    <n v="500000"/>
    <n v="60"/>
    <n v="14.43"/>
    <s v="Education"/>
    <n v="896"/>
    <x v="169"/>
    <s v="2022-04-30"/>
    <x v="0"/>
    <n v="11745.89"/>
    <x v="2"/>
    <x v="19"/>
    <x v="0"/>
    <n v="2"/>
    <n v="478857.4"/>
    <x v="1"/>
  </r>
  <r>
    <x v="185"/>
    <s v="Manoj Menon"/>
    <n v="37"/>
    <x v="2"/>
    <n v="172837"/>
    <n v="750000"/>
    <n v="240"/>
    <n v="14.17"/>
    <s v="Medical"/>
    <n v="317"/>
    <x v="170"/>
    <s v="2021-05-17"/>
    <x v="1"/>
    <n v="9419.15"/>
    <x v="1"/>
    <x v="15"/>
    <x v="2"/>
    <n v="2"/>
    <n v="478728.48"/>
    <x v="0"/>
  </r>
  <r>
    <x v="186"/>
    <s v="Harish Nayak"/>
    <n v="52"/>
    <x v="1"/>
    <n v="53050"/>
    <n v="500000"/>
    <n v="120"/>
    <n v="7.67"/>
    <s v="Agriculture"/>
    <n v="691"/>
    <x v="171"/>
    <s v="2021-08-08"/>
    <x v="0"/>
    <n v="5979.55"/>
    <x v="4"/>
    <x v="24"/>
    <x v="0"/>
    <n v="2"/>
    <n v="473092.03"/>
    <x v="2"/>
  </r>
  <r>
    <x v="187"/>
    <s v="Pooja Singh"/>
    <n v="28"/>
    <x v="3"/>
    <n v="145179"/>
    <n v="500000"/>
    <n v="48"/>
    <n v="16.93"/>
    <s v="Debt Consolidation"/>
    <n v="789"/>
    <x v="172"/>
    <s v="2021-03-22"/>
    <x v="2"/>
    <n v="14409.42"/>
    <x v="4"/>
    <x v="9"/>
    <x v="2"/>
    <n v="0"/>
    <n v="461094.57"/>
    <x v="1"/>
  </r>
  <r>
    <x v="188"/>
    <s v="Ashok Das"/>
    <n v="44"/>
    <x v="0"/>
    <n v="60800"/>
    <n v="500000"/>
    <n v="12"/>
    <n v="19.2"/>
    <s v="Medical"/>
    <n v="740"/>
    <x v="77"/>
    <s v="2022-04-22"/>
    <x v="1"/>
    <n v="46126.03"/>
    <x v="3"/>
    <x v="7"/>
    <x v="2"/>
    <n v="3"/>
    <n v="458486.57"/>
    <x v="2"/>
  </r>
  <r>
    <x v="189"/>
    <s v="Nisha Mishra"/>
    <n v="59"/>
    <x v="3"/>
    <n v="107259"/>
    <n v="500000"/>
    <n v="24"/>
    <n v="12"/>
    <s v="Agriculture"/>
    <n v="338"/>
    <x v="78"/>
    <s v="2021-07-26"/>
    <x v="2"/>
    <n v="23536.74"/>
    <x v="3"/>
    <x v="12"/>
    <x v="1"/>
    <n v="4"/>
    <n v="457633.87"/>
    <x v="0"/>
  </r>
  <r>
    <x v="190"/>
    <s v="Siddharth Chatterjee"/>
    <n v="24"/>
    <x v="0"/>
    <n v="118615"/>
    <n v="750000"/>
    <n v="12"/>
    <n v="7.61"/>
    <s v="Business Expansion"/>
    <n v="516"/>
    <x v="173"/>
    <s v="2021-09-06"/>
    <x v="2"/>
    <n v="65106.16"/>
    <x v="0"/>
    <x v="22"/>
    <x v="2"/>
    <n v="4"/>
    <n v="457022.28"/>
    <x v="0"/>
  </r>
  <r>
    <x v="191"/>
    <s v="Rajesh Gupta"/>
    <n v="42"/>
    <x v="0"/>
    <n v="165649"/>
    <n v="500000"/>
    <n v="120"/>
    <n v="17.45"/>
    <s v="Home Purchase"/>
    <n v="797"/>
    <x v="174"/>
    <s v="2022-09-29"/>
    <x v="0"/>
    <n v="8832.98"/>
    <x v="2"/>
    <x v="4"/>
    <x v="2"/>
    <n v="12"/>
    <n v="452301.91"/>
    <x v="1"/>
  </r>
  <r>
    <x v="192"/>
    <s v="Pooja Jain"/>
    <n v="34"/>
    <x v="3"/>
    <n v="228983"/>
    <n v="750000"/>
    <n v="60"/>
    <n v="19.22"/>
    <s v="Personal"/>
    <n v="539"/>
    <x v="175"/>
    <s v="2023-11-01"/>
    <x v="0"/>
    <n v="19546.32"/>
    <x v="2"/>
    <x v="6"/>
    <x v="1"/>
    <n v="0"/>
    <n v="450941.3"/>
    <x v="0"/>
  </r>
  <r>
    <x v="193"/>
    <s v="Madhuri Rao"/>
    <n v="52"/>
    <x v="4"/>
    <n v="192814"/>
    <n v="500000"/>
    <n v="60"/>
    <n v="14.05"/>
    <s v="Medical"/>
    <n v="367"/>
    <x v="176"/>
    <s v="2023-03-20"/>
    <x v="2"/>
    <n v="11647.09"/>
    <x v="0"/>
    <x v="2"/>
    <x v="1"/>
    <n v="1"/>
    <n v="447588.09"/>
    <x v="0"/>
  </r>
  <r>
    <x v="194"/>
    <s v="Dinesh Jain"/>
    <n v="37"/>
    <x v="4"/>
    <n v="194326"/>
    <n v="750000"/>
    <n v="12"/>
    <n v="16.309999999999999"/>
    <s v="Education"/>
    <n v="836"/>
    <x v="177"/>
    <s v="2021-10-20"/>
    <x v="2"/>
    <n v="68158.22"/>
    <x v="0"/>
    <x v="0"/>
    <x v="0"/>
    <n v="0"/>
    <n v="443288.01"/>
    <x v="1"/>
  </r>
  <r>
    <x v="195"/>
    <s v="Chetna Shetty"/>
    <n v="26"/>
    <x v="1"/>
    <n v="124441"/>
    <n v="1000000"/>
    <n v="12"/>
    <n v="11.81"/>
    <s v="Home Purchase"/>
    <n v="422"/>
    <x v="178"/>
    <s v="2022-03-02"/>
    <x v="2"/>
    <n v="88759.93"/>
    <x v="4"/>
    <x v="9"/>
    <x v="0"/>
    <n v="1"/>
    <n v="440812.44"/>
    <x v="0"/>
  </r>
  <r>
    <x v="196"/>
    <s v="Shweta Kaur"/>
    <n v="41"/>
    <x v="2"/>
    <n v="34129"/>
    <n v="1500000"/>
    <n v="12"/>
    <n v="9.7899999999999991"/>
    <s v="Debt Consolidation"/>
    <n v="795"/>
    <x v="179"/>
    <s v="2021-11-04"/>
    <x v="0"/>
    <n v="131727.37"/>
    <x v="2"/>
    <x v="13"/>
    <x v="0"/>
    <n v="1"/>
    <n v="433008.3"/>
    <x v="1"/>
  </r>
  <r>
    <x v="197"/>
    <s v="Sarala Kulkarni"/>
    <n v="38"/>
    <x v="2"/>
    <n v="204676"/>
    <n v="1000000"/>
    <n v="180"/>
    <n v="14.18"/>
    <s v="Medical"/>
    <n v="473"/>
    <x v="180"/>
    <s v="2021-05-20"/>
    <x v="0"/>
    <n v="13438.57"/>
    <x v="0"/>
    <x v="18"/>
    <x v="0"/>
    <n v="1"/>
    <n v="431548.49"/>
    <x v="0"/>
  </r>
  <r>
    <x v="198"/>
    <s v="Kiran Sharma"/>
    <n v="25"/>
    <x v="2"/>
    <n v="86644"/>
    <n v="750000"/>
    <n v="60"/>
    <n v="19.670000000000002"/>
    <s v="Debt Consolidation"/>
    <n v="659"/>
    <x v="181"/>
    <s v="2021-04-12"/>
    <x v="0"/>
    <n v="19732.95"/>
    <x v="0"/>
    <x v="18"/>
    <x v="3"/>
    <n v="2"/>
    <n v="430326.21"/>
    <x v="2"/>
  </r>
  <r>
    <x v="199"/>
    <s v="Anita Iyer"/>
    <n v="43"/>
    <x v="3"/>
    <n v="134033"/>
    <n v="500000"/>
    <n v="84"/>
    <n v="16.02"/>
    <s v="Vehicle Loan"/>
    <n v="405"/>
    <x v="182"/>
    <s v="2022-02-22"/>
    <x v="0"/>
    <n v="9936.73"/>
    <x v="3"/>
    <x v="7"/>
    <x v="0"/>
    <n v="2"/>
    <n v="428455.54"/>
    <x v="0"/>
  </r>
  <r>
    <x v="200"/>
    <s v="Priya Shah"/>
    <n v="38"/>
    <x v="3"/>
    <n v="59754"/>
    <n v="1000000"/>
    <n v="12"/>
    <n v="16.11"/>
    <s v="Agriculture"/>
    <n v="897"/>
    <x v="183"/>
    <s v="2021-08-17"/>
    <x v="0"/>
    <n v="90782.92"/>
    <x v="3"/>
    <x v="14"/>
    <x v="0"/>
    <n v="0"/>
    <n v="428067.6"/>
    <x v="1"/>
  </r>
  <r>
    <x v="201"/>
    <s v="Ravi Kulkarni"/>
    <n v="44"/>
    <x v="1"/>
    <n v="216875"/>
    <n v="500000"/>
    <n v="60"/>
    <n v="20.5"/>
    <s v="Vehicle Loan"/>
    <n v="351"/>
    <x v="184"/>
    <s v="2021-08-26"/>
    <x v="0"/>
    <n v="13386.43"/>
    <x v="2"/>
    <x v="4"/>
    <x v="0"/>
    <n v="0"/>
    <n v="427713.28000000003"/>
    <x v="0"/>
  </r>
  <r>
    <x v="202"/>
    <s v="Anil Tiwari"/>
    <n v="53"/>
    <x v="1"/>
    <n v="215492"/>
    <n v="1500000"/>
    <n v="60"/>
    <n v="18.47"/>
    <s v="Debt Consolidation"/>
    <n v="664"/>
    <x v="185"/>
    <s v="2023-11-25"/>
    <x v="0"/>
    <n v="38474.699999999997"/>
    <x v="2"/>
    <x v="20"/>
    <x v="1"/>
    <n v="6"/>
    <n v="426555.87"/>
    <x v="2"/>
  </r>
  <r>
    <x v="203"/>
    <s v="Suresh Reddy"/>
    <n v="62"/>
    <x v="1"/>
    <n v="87363"/>
    <n v="500000"/>
    <n v="84"/>
    <n v="13.85"/>
    <s v="Business Expansion"/>
    <n v="413"/>
    <x v="186"/>
    <s v="2022-11-23"/>
    <x v="0"/>
    <n v="9328.6200000000008"/>
    <x v="2"/>
    <x v="13"/>
    <x v="2"/>
    <n v="11"/>
    <n v="424438.18"/>
    <x v="0"/>
  </r>
  <r>
    <x v="204"/>
    <s v="Ganesh Kumar"/>
    <n v="30"/>
    <x v="4"/>
    <n v="74294"/>
    <n v="500000"/>
    <n v="180"/>
    <n v="7.63"/>
    <s v="Medical"/>
    <n v="423"/>
    <x v="187"/>
    <s v="2022-04-29"/>
    <x v="2"/>
    <n v="4672.08"/>
    <x v="2"/>
    <x v="13"/>
    <x v="0"/>
    <n v="1"/>
    <n v="424312.3"/>
    <x v="0"/>
  </r>
  <r>
    <x v="205"/>
    <s v="Usha Nayak"/>
    <n v="30"/>
    <x v="3"/>
    <n v="43279"/>
    <n v="2000000"/>
    <n v="12"/>
    <n v="9.33"/>
    <s v="Medical"/>
    <n v="812"/>
    <x v="188"/>
    <s v="2022-12-18"/>
    <x v="0"/>
    <n v="175209.16"/>
    <x v="3"/>
    <x v="17"/>
    <x v="2"/>
    <n v="0"/>
    <n v="423117.56"/>
    <x v="1"/>
  </r>
  <r>
    <x v="206"/>
    <s v="Madhuri Kaur"/>
    <n v="24"/>
    <x v="4"/>
    <n v="116554"/>
    <n v="500000"/>
    <n v="12"/>
    <n v="10.25"/>
    <s v="Agriculture"/>
    <n v="707"/>
    <x v="189"/>
    <s v="2023-05-28"/>
    <x v="2"/>
    <n v="44016.1"/>
    <x v="4"/>
    <x v="23"/>
    <x v="0"/>
    <n v="1"/>
    <n v="420771.02"/>
    <x v="2"/>
  </r>
  <r>
    <x v="207"/>
    <s v="Pallavi Banerjee"/>
    <n v="40"/>
    <x v="4"/>
    <n v="85082"/>
    <n v="500000"/>
    <n v="24"/>
    <n v="9.4700000000000006"/>
    <s v="Debt Consolidation"/>
    <n v="360"/>
    <x v="190"/>
    <s v="2022-06-03"/>
    <x v="2"/>
    <n v="22950.34"/>
    <x v="4"/>
    <x v="9"/>
    <x v="0"/>
    <n v="2"/>
    <n v="417378.78"/>
    <x v="0"/>
  </r>
  <r>
    <x v="208"/>
    <s v="Suresh Verma"/>
    <n v="64"/>
    <x v="0"/>
    <n v="84868"/>
    <n v="500000"/>
    <n v="12"/>
    <n v="18.579999999999998"/>
    <s v="Personal"/>
    <n v="889"/>
    <x v="191"/>
    <s v="2022-05-21"/>
    <x v="0"/>
    <n v="45978.12"/>
    <x v="2"/>
    <x v="6"/>
    <x v="2"/>
    <n v="2"/>
    <n v="417239.38"/>
    <x v="1"/>
  </r>
  <r>
    <x v="209"/>
    <s v="Vikram Kumar"/>
    <n v="30"/>
    <x v="0"/>
    <n v="41805"/>
    <n v="500000"/>
    <n v="36"/>
    <n v="21.13"/>
    <s v="Personal"/>
    <n v="394"/>
    <x v="192"/>
    <s v="2023-05-09"/>
    <x v="0"/>
    <n v="18870.919999999998"/>
    <x v="4"/>
    <x v="23"/>
    <x v="0"/>
    <n v="1"/>
    <n v="415080.86"/>
    <x v="0"/>
  </r>
  <r>
    <x v="210"/>
    <s v="Pooja Menon"/>
    <n v="48"/>
    <x v="3"/>
    <n v="162392"/>
    <n v="2000000"/>
    <n v="84"/>
    <n v="11.29"/>
    <s v="Medical"/>
    <n v="721"/>
    <x v="193"/>
    <s v="2022-06-22"/>
    <x v="0"/>
    <n v="34550.589999999997"/>
    <x v="2"/>
    <x v="4"/>
    <x v="1"/>
    <n v="6"/>
    <n v="414127.92"/>
    <x v="2"/>
  </r>
  <r>
    <x v="211"/>
    <s v="Ashok Mehta"/>
    <n v="40"/>
    <x v="3"/>
    <n v="90400"/>
    <n v="1500000"/>
    <n v="24"/>
    <n v="12.52"/>
    <s v="Agriculture"/>
    <n v="562"/>
    <x v="194"/>
    <s v="2022-07-30"/>
    <x v="0"/>
    <n v="70975.009999999995"/>
    <x v="2"/>
    <x v="13"/>
    <x v="0"/>
    <n v="0"/>
    <n v="414082.35"/>
    <x v="3"/>
  </r>
  <r>
    <x v="212"/>
    <s v="Pooja Shetty"/>
    <n v="48"/>
    <x v="1"/>
    <n v="180004"/>
    <n v="1000000"/>
    <n v="48"/>
    <n v="9.6999999999999993"/>
    <s v="Debt Consolidation"/>
    <n v="533"/>
    <x v="195"/>
    <s v="2023-08-28"/>
    <x v="2"/>
    <n v="25218.75"/>
    <x v="0"/>
    <x v="2"/>
    <x v="0"/>
    <n v="1"/>
    <n v="409881.25"/>
    <x v="0"/>
  </r>
  <r>
    <x v="213"/>
    <s v="Suresh Dubey"/>
    <n v="46"/>
    <x v="0"/>
    <n v="182089"/>
    <n v="750000"/>
    <n v="240"/>
    <n v="10.4"/>
    <s v="Business Expansion"/>
    <n v="802"/>
    <x v="196"/>
    <s v="2021-12-14"/>
    <x v="0"/>
    <n v="7437.54"/>
    <x v="2"/>
    <x v="6"/>
    <x v="0"/>
    <n v="0"/>
    <n v="408616.91"/>
    <x v="1"/>
  </r>
  <r>
    <x v="214"/>
    <s v="Ashok Sharma"/>
    <n v="33"/>
    <x v="0"/>
    <n v="163457"/>
    <n v="1000000"/>
    <n v="120"/>
    <n v="8.51"/>
    <s v="Home Purchase"/>
    <n v="393"/>
    <x v="197"/>
    <s v="2023-08-01"/>
    <x v="0"/>
    <n v="12403.92"/>
    <x v="1"/>
    <x v="3"/>
    <x v="0"/>
    <n v="1"/>
    <n v="408333.02"/>
    <x v="0"/>
  </r>
  <r>
    <x v="215"/>
    <s v="Ravi Shah"/>
    <n v="50"/>
    <x v="2"/>
    <n v="19526"/>
    <n v="400000"/>
    <n v="12"/>
    <n v="14.26"/>
    <s v="Medical"/>
    <n v="791"/>
    <x v="198"/>
    <s v="2021-06-23"/>
    <x v="0"/>
    <n v="35963.800000000003"/>
    <x v="1"/>
    <x v="3"/>
    <x v="2"/>
    <n v="6"/>
    <n v="400000"/>
    <x v="1"/>
  </r>
  <r>
    <x v="216"/>
    <s v="Pallavi Yadav"/>
    <n v="64"/>
    <x v="4"/>
    <n v="151293"/>
    <n v="500000"/>
    <n v="60"/>
    <n v="18.52"/>
    <s v="Education"/>
    <n v="635"/>
    <x v="199"/>
    <s v="2021-04-07"/>
    <x v="0"/>
    <n v="12838.58"/>
    <x v="2"/>
    <x v="6"/>
    <x v="1"/>
    <n v="10"/>
    <n v="396007.5"/>
    <x v="3"/>
  </r>
  <r>
    <x v="217"/>
    <s v="Suresh Singh"/>
    <n v="41"/>
    <x v="2"/>
    <n v="23746"/>
    <n v="750000"/>
    <n v="84"/>
    <n v="18.12"/>
    <s v="Vehicle Loan"/>
    <n v="602"/>
    <x v="1"/>
    <s v="2021-10-26"/>
    <x v="0"/>
    <n v="15816.17"/>
    <x v="4"/>
    <x v="16"/>
    <x v="0"/>
    <n v="0"/>
    <n v="394136.17"/>
    <x v="3"/>
  </r>
  <r>
    <x v="218"/>
    <s v="Divya Kumar"/>
    <n v="33"/>
    <x v="0"/>
    <n v="207696"/>
    <n v="500000"/>
    <n v="24"/>
    <n v="12.97"/>
    <s v="Debt Consolidation"/>
    <n v="585"/>
    <x v="200"/>
    <s v="2022-06-10"/>
    <x v="0"/>
    <n v="23763.87"/>
    <x v="1"/>
    <x v="11"/>
    <x v="5"/>
    <n v="0"/>
    <n v="393062.59"/>
    <x v="3"/>
  </r>
  <r>
    <x v="219"/>
    <s v="Usha Chatterjee"/>
    <n v="24"/>
    <x v="0"/>
    <n v="215061"/>
    <n v="500000"/>
    <n v="24"/>
    <n v="13.6"/>
    <s v="Business Expansion"/>
    <n v="891"/>
    <x v="201"/>
    <s v="2023-11-23"/>
    <x v="2"/>
    <n v="23912.07"/>
    <x v="2"/>
    <x v="20"/>
    <x v="0"/>
    <n v="0"/>
    <n v="392395.68"/>
    <x v="1"/>
  </r>
  <r>
    <x v="220"/>
    <s v="Ganesh Kumar"/>
    <n v="36"/>
    <x v="2"/>
    <n v="58412"/>
    <n v="1000000"/>
    <n v="180"/>
    <n v="9.16"/>
    <s v="Agriculture"/>
    <n v="650"/>
    <x v="202"/>
    <s v="2022-12-02"/>
    <x v="0"/>
    <n v="10238.07"/>
    <x v="1"/>
    <x v="11"/>
    <x v="3"/>
    <n v="1"/>
    <n v="391858.64"/>
    <x v="2"/>
  </r>
  <r>
    <x v="221"/>
    <s v="Priya Chaudhary"/>
    <n v="30"/>
    <x v="4"/>
    <n v="177508"/>
    <n v="500000"/>
    <n v="24"/>
    <n v="16.190000000000001"/>
    <s v="Debt Consolidation"/>
    <n v="323"/>
    <x v="203"/>
    <s v="2023-09-18"/>
    <x v="0"/>
    <n v="24526.97"/>
    <x v="4"/>
    <x v="24"/>
    <x v="2"/>
    <n v="3"/>
    <n v="389628.64"/>
    <x v="0"/>
  </r>
  <r>
    <x v="222"/>
    <s v="Jyoti Joshi"/>
    <n v="48"/>
    <x v="3"/>
    <n v="81660"/>
    <n v="750000"/>
    <n v="48"/>
    <n v="10.220000000000001"/>
    <s v="Debt Consolidation"/>
    <n v="520"/>
    <x v="204"/>
    <s v="2021-09-05"/>
    <x v="0"/>
    <n v="19101.28"/>
    <x v="2"/>
    <x v="13"/>
    <x v="0"/>
    <n v="2"/>
    <n v="388985.81"/>
    <x v="0"/>
  </r>
  <r>
    <x v="223"/>
    <s v="Ramesh Deshpande"/>
    <n v="39"/>
    <x v="1"/>
    <n v="234154"/>
    <n v="750000"/>
    <n v="60"/>
    <n v="20.71"/>
    <s v="Medical"/>
    <n v="548"/>
    <x v="143"/>
    <s v="2021-09-19"/>
    <x v="0"/>
    <n v="20167.86"/>
    <x v="4"/>
    <x v="9"/>
    <x v="1"/>
    <n v="7"/>
    <n v="386978.52"/>
    <x v="0"/>
  </r>
  <r>
    <x v="224"/>
    <s v="Pallavi Kapoor"/>
    <n v="52"/>
    <x v="2"/>
    <n v="120883"/>
    <n v="1500000"/>
    <n v="24"/>
    <n v="15.33"/>
    <s v="Home Purchase"/>
    <n v="693"/>
    <x v="205"/>
    <s v="2023-01-19"/>
    <x v="0"/>
    <n v="72965.37"/>
    <x v="2"/>
    <x v="19"/>
    <x v="0"/>
    <n v="2"/>
    <n v="383629.84"/>
    <x v="2"/>
  </r>
  <r>
    <x v="225"/>
    <s v="Ashok Banerjee"/>
    <n v="51"/>
    <x v="2"/>
    <n v="129311"/>
    <n v="500000"/>
    <n v="120"/>
    <n v="20.87"/>
    <s v="Business Expansion"/>
    <n v="477"/>
    <x v="206"/>
    <s v="2022-10-09"/>
    <x v="0"/>
    <n v="9952.93"/>
    <x v="0"/>
    <x v="22"/>
    <x v="0"/>
    <n v="1"/>
    <n v="383550.71999999997"/>
    <x v="0"/>
  </r>
  <r>
    <x v="226"/>
    <s v="Ganesh Chatterjee"/>
    <n v="58"/>
    <x v="2"/>
    <n v="103558"/>
    <n v="2000000"/>
    <n v="120"/>
    <n v="14.39"/>
    <s v="Education"/>
    <n v="441"/>
    <x v="207"/>
    <s v="2023-07-16"/>
    <x v="0"/>
    <n v="31523.98"/>
    <x v="1"/>
    <x v="10"/>
    <x v="2"/>
    <n v="12"/>
    <n v="382819.83"/>
    <x v="0"/>
  </r>
  <r>
    <x v="227"/>
    <s v="Sanjay Menon"/>
    <n v="61"/>
    <x v="4"/>
    <n v="139480"/>
    <n v="500000"/>
    <n v="12"/>
    <n v="9.16"/>
    <s v="Medical"/>
    <n v="756"/>
    <x v="208"/>
    <s v="2021-04-16"/>
    <x v="0"/>
    <n v="43762.85"/>
    <x v="0"/>
    <x v="18"/>
    <x v="0"/>
    <n v="2"/>
    <n v="381840.3"/>
    <x v="1"/>
  </r>
  <r>
    <x v="228"/>
    <s v="Pooja Deshpande"/>
    <n v="45"/>
    <x v="3"/>
    <n v="189125"/>
    <n v="1000000"/>
    <n v="84"/>
    <n v="14.78"/>
    <s v="Debt Consolidation"/>
    <n v="530"/>
    <x v="87"/>
    <s v="2023-07-18"/>
    <x v="0"/>
    <n v="19173.53"/>
    <x v="2"/>
    <x v="4"/>
    <x v="0"/>
    <n v="1"/>
    <n v="378777.63"/>
    <x v="0"/>
  </r>
  <r>
    <x v="229"/>
    <s v="Harish Kulkarni"/>
    <n v="30"/>
    <x v="4"/>
    <n v="39498"/>
    <n v="1000000"/>
    <n v="120"/>
    <n v="14.87"/>
    <s v="Home Purchase"/>
    <n v="671"/>
    <x v="209"/>
    <s v="2023-10-02"/>
    <x v="0"/>
    <n v="16053.98"/>
    <x v="4"/>
    <x v="9"/>
    <x v="0"/>
    <n v="0"/>
    <n v="378710.97"/>
    <x v="2"/>
  </r>
  <r>
    <x v="230"/>
    <s v="Meena Kapoor"/>
    <n v="49"/>
    <x v="1"/>
    <n v="105540"/>
    <n v="400000"/>
    <n v="48"/>
    <n v="20.82"/>
    <s v="Agriculture"/>
    <n v="341"/>
    <x v="210"/>
    <s v="2021-11-19"/>
    <x v="0"/>
    <n v="12347.58"/>
    <x v="3"/>
    <x v="12"/>
    <x v="0"/>
    <n v="1"/>
    <n v="377774.36"/>
    <x v="0"/>
  </r>
  <r>
    <x v="231"/>
    <s v="Pallavi Joshi"/>
    <n v="56"/>
    <x v="1"/>
    <n v="17237"/>
    <n v="2000000"/>
    <n v="60"/>
    <n v="11.59"/>
    <s v="Medical"/>
    <n v="713"/>
    <x v="211"/>
    <s v="2021-02-12"/>
    <x v="3"/>
    <n v="44075.63"/>
    <x v="2"/>
    <x v="20"/>
    <x v="1"/>
    <n v="12"/>
    <n v="373609.25"/>
    <x v="2"/>
  </r>
  <r>
    <x v="232"/>
    <s v="Arjun Banerjee"/>
    <n v="29"/>
    <x v="2"/>
    <n v="176934"/>
    <n v="400000"/>
    <n v="60"/>
    <n v="17.66"/>
    <s v="Agriculture"/>
    <n v="492"/>
    <x v="212"/>
    <s v="2024-01-04"/>
    <x v="0"/>
    <n v="10083.530000000001"/>
    <x v="4"/>
    <x v="21"/>
    <x v="2"/>
    <n v="2"/>
    <n v="372774.47"/>
    <x v="0"/>
  </r>
  <r>
    <x v="233"/>
    <s v="Dinesh Rao"/>
    <n v="23"/>
    <x v="3"/>
    <n v="41952"/>
    <n v="500000"/>
    <n v="60"/>
    <n v="8.99"/>
    <s v="Debt Consolidation"/>
    <n v="445"/>
    <x v="213"/>
    <s v="2023-06-09"/>
    <x v="0"/>
    <n v="10376.75"/>
    <x v="3"/>
    <x v="17"/>
    <x v="0"/>
    <n v="0"/>
    <n v="369252.95"/>
    <x v="0"/>
  </r>
  <r>
    <x v="234"/>
    <s v="Meena Kapoor"/>
    <n v="62"/>
    <x v="0"/>
    <n v="62163"/>
    <n v="400000"/>
    <n v="12"/>
    <n v="9.92"/>
    <s v="Debt Consolidation"/>
    <n v="569"/>
    <x v="214"/>
    <s v="2021-10-16"/>
    <x v="1"/>
    <n v="35151.47"/>
    <x v="1"/>
    <x v="10"/>
    <x v="3"/>
    <n v="2"/>
    <n v="368363.68"/>
    <x v="3"/>
  </r>
  <r>
    <x v="235"/>
    <s v="Ashok Das"/>
    <n v="32"/>
    <x v="1"/>
    <n v="48274"/>
    <n v="1500000"/>
    <n v="60"/>
    <n v="18.13"/>
    <s v="Vehicle Loan"/>
    <n v="330"/>
    <x v="40"/>
    <s v="2021-05-22"/>
    <x v="0"/>
    <n v="38196.300000000003"/>
    <x v="4"/>
    <x v="16"/>
    <x v="3"/>
    <n v="1"/>
    <n v="365569.89"/>
    <x v="0"/>
  </r>
  <r>
    <x v="236"/>
    <s v="Usha Mishra"/>
    <n v="54"/>
    <x v="4"/>
    <n v="144445"/>
    <n v="400000"/>
    <n v="24"/>
    <n v="16.170000000000002"/>
    <s v="Debt Consolidation"/>
    <n v="630"/>
    <x v="187"/>
    <s v="2022-05-08"/>
    <x v="0"/>
    <n v="19617.75"/>
    <x v="1"/>
    <x v="11"/>
    <x v="3"/>
    <n v="0"/>
    <n v="364688.05"/>
    <x v="3"/>
  </r>
  <r>
    <x v="237"/>
    <s v="Varsha Shah"/>
    <n v="51"/>
    <x v="3"/>
    <m/>
    <n v="500000"/>
    <n v="180"/>
    <n v="12.08"/>
    <s v="Home Purchase"/>
    <n v="312"/>
    <x v="121"/>
    <s v="2022-11-12"/>
    <x v="0"/>
    <n v="6026.6"/>
    <x v="0"/>
    <x v="2"/>
    <x v="0"/>
    <n v="2"/>
    <n v="364401.5"/>
    <x v="0"/>
  </r>
  <r>
    <x v="238"/>
    <s v="Siddharth Sharma"/>
    <n v="65"/>
    <x v="1"/>
    <n v="55238"/>
    <n v="400000"/>
    <n v="84"/>
    <n v="10.08"/>
    <s v="Home Purchase"/>
    <n v="845"/>
    <x v="215"/>
    <s v="2023-12-30"/>
    <x v="0"/>
    <n v="6657.02"/>
    <x v="0"/>
    <x v="2"/>
    <x v="0"/>
    <n v="2"/>
    <n v="364052.09"/>
    <x v="1"/>
  </r>
  <r>
    <x v="239"/>
    <s v="Usha Sharma"/>
    <n v="49"/>
    <x v="3"/>
    <n v="34950"/>
    <n v="2000000"/>
    <n v="60"/>
    <n v="15.26"/>
    <s v="Debt Consolidation"/>
    <n v="316"/>
    <x v="216"/>
    <s v="2021-05-03"/>
    <x v="0"/>
    <n v="47853.25"/>
    <x v="1"/>
    <x v="11"/>
    <x v="1"/>
    <n v="12"/>
    <n v="363418.85"/>
    <x v="0"/>
  </r>
  <r>
    <x v="240"/>
    <s v="Anil Saxena"/>
    <n v="46"/>
    <x v="1"/>
    <n v="169415"/>
    <n v="2000000"/>
    <n v="24"/>
    <n v="13.67"/>
    <s v="Business Expansion"/>
    <n v="788"/>
    <x v="217"/>
    <s v="2023-04-28"/>
    <x v="0"/>
    <n v="95714.27"/>
    <x v="0"/>
    <x v="8"/>
    <x v="0"/>
    <n v="1"/>
    <n v="363285.98"/>
    <x v="1"/>
  </r>
  <r>
    <x v="241"/>
    <s v="Rekha Kapoor"/>
    <n v="49"/>
    <x v="2"/>
    <n v="126080"/>
    <n v="750000"/>
    <n v="60"/>
    <n v="19.329999999999998"/>
    <s v="Vehicle Loan"/>
    <n v="692"/>
    <x v="218"/>
    <s v="2023-02-28"/>
    <x v="0"/>
    <n v="19591.849999999999"/>
    <x v="2"/>
    <x v="13"/>
    <x v="0"/>
    <n v="2"/>
    <n v="362081.37"/>
    <x v="2"/>
  </r>
  <r>
    <x v="242"/>
    <s v="Vinod Sharma"/>
    <n v="65"/>
    <x v="4"/>
    <n v="216203"/>
    <n v="1500000"/>
    <n v="48"/>
    <n v="21.68"/>
    <s v="Medical"/>
    <n v="831"/>
    <x v="219"/>
    <s v="2022-06-12"/>
    <x v="0"/>
    <n v="46998.91"/>
    <x v="1"/>
    <x v="15"/>
    <x v="3"/>
    <n v="0"/>
    <n v="357926.49"/>
    <x v="1"/>
  </r>
  <r>
    <x v="243"/>
    <s v="Komal Kapoor"/>
    <n v="27"/>
    <x v="2"/>
    <n v="224982"/>
    <n v="1000000"/>
    <n v="12"/>
    <n v="12.73"/>
    <s v="Debt Consolidation"/>
    <n v="677"/>
    <x v="220"/>
    <s v="2021-04-20"/>
    <x v="1"/>
    <n v="89190.65"/>
    <x v="3"/>
    <x v="7"/>
    <x v="0"/>
    <n v="1"/>
    <n v="357827.32"/>
    <x v="2"/>
  </r>
  <r>
    <x v="244"/>
    <s v="Chetna Kaur"/>
    <n v="40"/>
    <x v="3"/>
    <n v="220468"/>
    <n v="2000000"/>
    <n v="48"/>
    <n v="14.68"/>
    <s v="Vehicle Loan"/>
    <n v="546"/>
    <x v="211"/>
    <s v="2021-02-08"/>
    <x v="0"/>
    <n v="55337.61"/>
    <x v="2"/>
    <x v="20"/>
    <x v="0"/>
    <n v="0"/>
    <n v="356472.98"/>
    <x v="0"/>
  </r>
  <r>
    <x v="245"/>
    <s v="Abhishek Malhotra"/>
    <n v="60"/>
    <x v="1"/>
    <n v="51233"/>
    <n v="2000000"/>
    <n v="48"/>
    <n v="13.06"/>
    <s v="Agriculture"/>
    <n v="851"/>
    <x v="221"/>
    <s v="2022-05-02"/>
    <x v="0"/>
    <n v="53714.57"/>
    <x v="1"/>
    <x v="10"/>
    <x v="0"/>
    <n v="2"/>
    <n v="356334.16"/>
    <x v="1"/>
  </r>
  <r>
    <x v="246"/>
    <s v="Manoj Tiwari"/>
    <n v="65"/>
    <x v="2"/>
    <n v="214974"/>
    <n v="2000000"/>
    <n v="240"/>
    <n v="11.84"/>
    <s v="Home Purchase"/>
    <n v="881"/>
    <x v="176"/>
    <s v="2023-03-27"/>
    <x v="0"/>
    <n v="21799.040000000001"/>
    <x v="3"/>
    <x v="17"/>
    <x v="0"/>
    <n v="0"/>
    <n v="351992.58"/>
    <x v="1"/>
  </r>
  <r>
    <x v="247"/>
    <s v="Nisha Mishra"/>
    <n v="25"/>
    <x v="4"/>
    <n v="170101"/>
    <n v="1500000"/>
    <n v="36"/>
    <n v="16.579999999999998"/>
    <s v="Debt Consolidation"/>
    <n v="869"/>
    <x v="222"/>
    <s v="2023-12-24"/>
    <x v="0"/>
    <n v="53166.080000000002"/>
    <x v="2"/>
    <x v="19"/>
    <x v="0"/>
    <n v="1"/>
    <n v="351612.67"/>
    <x v="1"/>
  </r>
  <r>
    <x v="248"/>
    <s v="Suresh Dubey"/>
    <n v="56"/>
    <x v="1"/>
    <n v="30007"/>
    <n v="2000000"/>
    <n v="12"/>
    <n v="17.93"/>
    <s v="Medical"/>
    <n v="620"/>
    <x v="223"/>
    <s v="2022-09-13"/>
    <x v="0"/>
    <n v="183293.36"/>
    <x v="2"/>
    <x v="19"/>
    <x v="0"/>
    <n v="2"/>
    <n v="350359.76"/>
    <x v="3"/>
  </r>
  <r>
    <x v="249"/>
    <s v="Sunil Deshpande"/>
    <n v="55"/>
    <x v="1"/>
    <n v="114084"/>
    <n v="400000"/>
    <n v="36"/>
    <n v="20.13"/>
    <s v="Agriculture"/>
    <s v="Not Available"/>
    <x v="89"/>
    <s v="2022-12-13"/>
    <x v="0"/>
    <n v="14891.94"/>
    <x v="2"/>
    <x v="4"/>
    <x v="0"/>
    <n v="0"/>
    <n v="346389.02"/>
    <x v="4"/>
  </r>
  <r>
    <x v="250"/>
    <s v="Divya Deshpande"/>
    <n v="62"/>
    <x v="3"/>
    <n v="16235"/>
    <n v="400000"/>
    <n v="60"/>
    <n v="10.54"/>
    <s v="Education"/>
    <n v="890"/>
    <x v="224"/>
    <s v="2023-07-01"/>
    <x v="2"/>
    <n v="8605.49"/>
    <x v="0"/>
    <x v="2"/>
    <x v="0"/>
    <n v="0"/>
    <n v="338040.47"/>
    <x v="1"/>
  </r>
  <r>
    <x v="251"/>
    <s v="Mohan Nayak"/>
    <n v="65"/>
    <x v="3"/>
    <n v="159833"/>
    <n v="400000"/>
    <n v="12"/>
    <n v="13.11"/>
    <s v="Debt Consolidation"/>
    <n v="428"/>
    <x v="143"/>
    <s v="2021-09-11"/>
    <x v="0"/>
    <n v="35747.56"/>
    <x v="2"/>
    <x v="4"/>
    <x v="0"/>
    <n v="2"/>
    <n v="335654.39"/>
    <x v="0"/>
  </r>
  <r>
    <x v="252"/>
    <s v="Deepa Das"/>
    <n v="40"/>
    <x v="3"/>
    <n v="107539"/>
    <n v="500000"/>
    <n v="48"/>
    <n v="17.059999999999999"/>
    <s v="Personal"/>
    <n v="379"/>
    <x v="225"/>
    <s v="2021-02-20"/>
    <x v="0"/>
    <n v="14443.05"/>
    <x v="3"/>
    <x v="14"/>
    <x v="0"/>
    <n v="0"/>
    <n v="331016.32000000001"/>
    <x v="0"/>
  </r>
  <r>
    <x v="253"/>
    <s v="Mohan Mehta"/>
    <n v="23"/>
    <x v="3"/>
    <n v="79184"/>
    <n v="400000"/>
    <n v="24"/>
    <n v="14.1"/>
    <s v="Personal"/>
    <n v="693"/>
    <x v="226"/>
    <s v="2021-02-08"/>
    <x v="0"/>
    <n v="19224.060000000001"/>
    <x v="2"/>
    <x v="4"/>
    <x v="1"/>
    <n v="3"/>
    <n v="330793.38"/>
    <x v="2"/>
  </r>
  <r>
    <x v="254"/>
    <s v="Pallavi Menon"/>
    <n v="36"/>
    <x v="3"/>
    <n v="241867"/>
    <n v="2000000"/>
    <n v="36"/>
    <n v="19.920000000000002"/>
    <s v="Debt Consolidation"/>
    <n v="606"/>
    <x v="227"/>
    <s v="2022-12-09"/>
    <x v="0"/>
    <n v="74245.67"/>
    <x v="0"/>
    <x v="8"/>
    <x v="2"/>
    <n v="8"/>
    <n v="329472.43"/>
    <x v="3"/>
  </r>
  <r>
    <x v="255"/>
    <s v="Rajesh Mishra"/>
    <n v="55"/>
    <x v="4"/>
    <n v="53498"/>
    <n v="1500000"/>
    <n v="120"/>
    <n v="13.97"/>
    <s v="Personal"/>
    <n v="857"/>
    <x v="228"/>
    <s v="2023-01-06"/>
    <x v="1"/>
    <n v="23262.92"/>
    <x v="1"/>
    <x v="15"/>
    <x v="0"/>
    <n v="2"/>
    <n v="327548.83"/>
    <x v="1"/>
  </r>
  <r>
    <x v="256"/>
    <s v="Ganesh Malhotra"/>
    <n v="34"/>
    <x v="3"/>
    <n v="40409"/>
    <n v="1000000"/>
    <n v="120"/>
    <n v="12.64"/>
    <s v="Debt Consolidation"/>
    <n v="778"/>
    <x v="229"/>
    <s v="2022-12-24"/>
    <x v="0"/>
    <n v="14719.49"/>
    <x v="3"/>
    <x v="5"/>
    <x v="0"/>
    <n v="0"/>
    <n v="324375.40999999997"/>
    <x v="1"/>
  </r>
  <r>
    <x v="257"/>
    <s v="Amit Saxena"/>
    <n v="60"/>
    <x v="0"/>
    <n v="112359"/>
    <n v="2000000"/>
    <n v="24"/>
    <n v="11.11"/>
    <s v="Agriculture"/>
    <n v="393"/>
    <x v="230"/>
    <s v="2021-05-07"/>
    <x v="0"/>
    <n v="93317.85"/>
    <x v="1"/>
    <x v="11"/>
    <x v="1"/>
    <n v="12"/>
    <n v="320278.7"/>
    <x v="0"/>
  </r>
  <r>
    <x v="258"/>
    <s v="Varsha Jain"/>
    <n v="51"/>
    <x v="1"/>
    <n v="127110"/>
    <n v="400000"/>
    <n v="120"/>
    <n v="21.44"/>
    <s v="Agriculture"/>
    <n v="328"/>
    <x v="231"/>
    <s v="2021-11-06"/>
    <x v="0"/>
    <n v="8115.9"/>
    <x v="1"/>
    <x v="1"/>
    <x v="0"/>
    <n v="1"/>
    <n v="319652.59000000003"/>
    <x v="0"/>
  </r>
  <r>
    <x v="259"/>
    <s v="Smita Iyer"/>
    <n v="29"/>
    <x v="0"/>
    <n v="19348"/>
    <n v="400000"/>
    <n v="36"/>
    <n v="11.37"/>
    <s v="Agriculture"/>
    <n v="843"/>
    <x v="232"/>
    <s v="2021-07-06"/>
    <x v="0"/>
    <n v="13165.69"/>
    <x v="2"/>
    <x v="6"/>
    <x v="3"/>
    <n v="1"/>
    <n v="317056.15000000002"/>
    <x v="1"/>
  </r>
  <r>
    <x v="260"/>
    <s v="Siddharth Joshi"/>
    <n v="27"/>
    <x v="2"/>
    <n v="151503"/>
    <n v="1000000"/>
    <n v="48"/>
    <n v="13.55"/>
    <s v="Education"/>
    <n v="736"/>
    <x v="233"/>
    <s v="2021-10-06"/>
    <x v="0"/>
    <n v="27101.279999999999"/>
    <x v="4"/>
    <x v="24"/>
    <x v="0"/>
    <n v="1"/>
    <n v="317047.74"/>
    <x v="2"/>
  </r>
  <r>
    <x v="261"/>
    <s v="Suresh Kapoor"/>
    <n v="23"/>
    <x v="2"/>
    <n v="34287"/>
    <n v="400000"/>
    <n v="24"/>
    <n v="10.55"/>
    <s v="Debt Consolidation"/>
    <n v="684"/>
    <x v="58"/>
    <s v="2022-09-07"/>
    <x v="0"/>
    <n v="18559.68"/>
    <x v="4"/>
    <x v="16"/>
    <x v="0"/>
    <n v="0"/>
    <n v="316481.44"/>
    <x v="2"/>
  </r>
  <r>
    <x v="262"/>
    <s v="Kiran Kaur"/>
    <n v="26"/>
    <x v="0"/>
    <n v="116770"/>
    <n v="400000"/>
    <n v="24"/>
    <n v="12.56"/>
    <s v="Agriculture"/>
    <n v="847"/>
    <x v="54"/>
    <s v="2021-08-25"/>
    <x v="0"/>
    <n v="18934.169999999998"/>
    <x v="2"/>
    <x v="19"/>
    <x v="1"/>
    <n v="1"/>
    <n v="314796.23"/>
    <x v="1"/>
  </r>
  <r>
    <x v="263"/>
    <s v="Naveen Chatterjee"/>
    <n v="26"/>
    <x v="2"/>
    <n v="110272"/>
    <n v="1000000"/>
    <n v="24"/>
    <n v="13.25"/>
    <s v="Education"/>
    <n v="541"/>
    <x v="234"/>
    <s v="2021-09-24"/>
    <x v="0"/>
    <n v="47659.33"/>
    <x v="3"/>
    <x v="7"/>
    <x v="3"/>
    <n v="2"/>
    <n v="313705.65000000002"/>
    <x v="0"/>
  </r>
  <r>
    <x v="264"/>
    <s v="Sarala Singh"/>
    <n v="54"/>
    <x v="3"/>
    <n v="58790"/>
    <n v="1000000"/>
    <n v="24"/>
    <n v="20.13"/>
    <s v="Medical"/>
    <n v="460"/>
    <x v="235"/>
    <s v="2021-07-30"/>
    <x v="0"/>
    <n v="50959.33"/>
    <x v="4"/>
    <x v="16"/>
    <x v="0"/>
    <n v="2"/>
    <n v="312049.03999999998"/>
    <x v="0"/>
  </r>
  <r>
    <x v="265"/>
    <s v="Deepa Chatterjee"/>
    <n v="27"/>
    <x v="4"/>
    <n v="68267"/>
    <n v="2000000"/>
    <n v="36"/>
    <n v="15.28"/>
    <s v="Debt Consolidation"/>
    <n v="900"/>
    <x v="236"/>
    <s v="2022-05-08"/>
    <x v="0"/>
    <n v="69605.210000000006"/>
    <x v="3"/>
    <x v="12"/>
    <x v="0"/>
    <n v="2"/>
    <n v="308593.40000000002"/>
    <x v="1"/>
  </r>
  <r>
    <x v="266"/>
    <s v="Siddharth Shetty"/>
    <n v="30"/>
    <x v="4"/>
    <n v="25780"/>
    <n v="750000"/>
    <n v="36"/>
    <n v="11.27"/>
    <s v="Agriculture"/>
    <n v="647"/>
    <x v="237"/>
    <s v="2024-01-08"/>
    <x v="2"/>
    <n v="24650.05"/>
    <x v="2"/>
    <x v="13"/>
    <x v="2"/>
    <n v="1"/>
    <n v="306299.09999999998"/>
    <x v="3"/>
  </r>
  <r>
    <x v="267"/>
    <s v="Divya Iyer"/>
    <n v="40"/>
    <x v="1"/>
    <n v="47778"/>
    <n v="1500000"/>
    <n v="180"/>
    <n v="18.04"/>
    <s v="Personal"/>
    <n v="392"/>
    <x v="188"/>
    <s v="2022-12-18"/>
    <x v="0"/>
    <n v="24199.5"/>
    <x v="0"/>
    <x v="8"/>
    <x v="2"/>
    <n v="7"/>
    <n v="302124.75"/>
    <x v="0"/>
  </r>
  <r>
    <x v="268"/>
    <s v="Divya Menon"/>
    <n v="33"/>
    <x v="3"/>
    <n v="210829"/>
    <n v="750000"/>
    <n v="60"/>
    <n v="20.14"/>
    <s v="Vehicle Loan"/>
    <n v="744"/>
    <x v="57"/>
    <s v="2021-08-30"/>
    <x v="0"/>
    <n v="19928.88"/>
    <x v="1"/>
    <x v="1"/>
    <x v="0"/>
    <n v="0"/>
    <n v="301600.2"/>
    <x v="2"/>
  </r>
  <r>
    <x v="269"/>
    <s v="Abhishek Malhotra"/>
    <n v="35"/>
    <x v="2"/>
    <n v="132957"/>
    <n v="500000"/>
    <n v="12"/>
    <n v="12.93"/>
    <s v="Education"/>
    <n v="612"/>
    <x v="238"/>
    <s v="2022-12-07"/>
    <x v="0"/>
    <n v="44642.22"/>
    <x v="3"/>
    <x v="14"/>
    <x v="4"/>
    <n v="2"/>
    <n v="299110.01"/>
    <x v="3"/>
  </r>
  <r>
    <x v="270"/>
    <s v="Pooja Kaur"/>
    <n v="46"/>
    <x v="3"/>
    <n v="136625"/>
    <n v="300000"/>
    <n v="120"/>
    <n v="9.65"/>
    <s v="Business Expansion"/>
    <n v="768"/>
    <x v="174"/>
    <s v="2022-09-17"/>
    <x v="0"/>
    <n v="3906.61"/>
    <x v="3"/>
    <x v="7"/>
    <x v="0"/>
    <n v="1"/>
    <n v="296484.05"/>
    <x v="1"/>
  </r>
  <r>
    <x v="271"/>
    <s v="Sunita Deshpande"/>
    <n v="62"/>
    <x v="3"/>
    <n v="66491"/>
    <n v="400000"/>
    <n v="24"/>
    <n v="13.91"/>
    <s v="Agriculture"/>
    <n v="502"/>
    <x v="239"/>
    <s v="2023-10-07"/>
    <x v="0"/>
    <n v="19188.150000000001"/>
    <x v="3"/>
    <x v="7"/>
    <x v="1"/>
    <n v="9"/>
    <n v="296383.99"/>
    <x v="0"/>
  </r>
  <r>
    <x v="272"/>
    <s v="Dinesh Joshi"/>
    <n v="39"/>
    <x v="3"/>
    <n v="29293"/>
    <n v="500000"/>
    <n v="60"/>
    <n v="17.61"/>
    <s v="Education"/>
    <n v="802"/>
    <x v="240"/>
    <s v="2023-09-07"/>
    <x v="0"/>
    <n v="12590.87"/>
    <x v="3"/>
    <x v="5"/>
    <x v="0"/>
    <n v="2"/>
    <n v="296027.90999999997"/>
    <x v="1"/>
  </r>
  <r>
    <x v="273"/>
    <s v="Ravi Deshpande"/>
    <n v="29"/>
    <x v="1"/>
    <n v="241731"/>
    <n v="500000"/>
    <n v="12"/>
    <n v="17.04"/>
    <s v="Agriculture"/>
    <n v="723"/>
    <x v="241"/>
    <s v="2023-11-10"/>
    <x v="2"/>
    <n v="45611.87"/>
    <x v="3"/>
    <x v="17"/>
    <x v="3"/>
    <n v="2"/>
    <n v="294746.58"/>
    <x v="2"/>
  </r>
  <r>
    <x v="274"/>
    <s v="Priya Saxena"/>
    <n v="39"/>
    <x v="3"/>
    <n v="223232"/>
    <n v="750000"/>
    <n v="36"/>
    <n v="13.07"/>
    <s v="Debt Consolidation"/>
    <n v="605"/>
    <x v="40"/>
    <s v="2021-06-05"/>
    <x v="0"/>
    <n v="25295.759999999998"/>
    <x v="1"/>
    <x v="3"/>
    <x v="2"/>
    <n v="1"/>
    <n v="294676.32"/>
    <x v="3"/>
  </r>
  <r>
    <x v="275"/>
    <s v="Harish Gupta"/>
    <n v="25"/>
    <x v="1"/>
    <n v="184514"/>
    <n v="300000"/>
    <n v="48"/>
    <n v="11.41"/>
    <s v="Vehicle Loan"/>
    <n v="379"/>
    <x v="7"/>
    <s v="2022-05-18"/>
    <x v="0"/>
    <n v="7813.52"/>
    <x v="4"/>
    <x v="24"/>
    <x v="3"/>
    <n v="1"/>
    <n v="292967.83"/>
    <x v="0"/>
  </r>
  <r>
    <x v="276"/>
    <s v="Rajesh Mehta"/>
    <n v="28"/>
    <x v="4"/>
    <n v="222780"/>
    <n v="300000"/>
    <n v="48"/>
    <n v="19.559999999999999"/>
    <s v="Business Expansion"/>
    <n v="631"/>
    <x v="242"/>
    <s v="2022-09-22"/>
    <x v="0"/>
    <n v="9058.93"/>
    <x v="2"/>
    <x v="20"/>
    <x v="4"/>
    <n v="2"/>
    <n v="291846.96000000002"/>
    <x v="3"/>
  </r>
  <r>
    <x v="277"/>
    <s v="Tarun Shah"/>
    <n v="43"/>
    <x v="4"/>
    <n v="141688"/>
    <n v="500000"/>
    <n v="60"/>
    <n v="21.3"/>
    <s v="Business Expansion"/>
    <n v="570"/>
    <x v="243"/>
    <s v="2023-11-09"/>
    <x v="0"/>
    <n v="13611.2"/>
    <x v="1"/>
    <x v="3"/>
    <x v="4"/>
    <n v="1"/>
    <n v="291748.64"/>
    <x v="3"/>
  </r>
  <r>
    <x v="278"/>
    <s v="Vinod Jain"/>
    <n v="59"/>
    <x v="3"/>
    <n v="199405"/>
    <n v="1500000"/>
    <n v="84"/>
    <n v="21.24"/>
    <s v="Education"/>
    <n v="876"/>
    <x v="244"/>
    <s v="2022-01-13"/>
    <x v="2"/>
    <n v="34438.230000000003"/>
    <x v="0"/>
    <x v="2"/>
    <x v="2"/>
    <n v="8"/>
    <n v="291218.13"/>
    <x v="1"/>
  </r>
  <r>
    <x v="279"/>
    <s v="Madhuri Pillai"/>
    <n v="27"/>
    <x v="4"/>
    <n v="21355"/>
    <n v="1000000"/>
    <n v="24"/>
    <n v="10.45"/>
    <s v="Education"/>
    <n v="305"/>
    <x v="245"/>
    <s v="2021-06-10"/>
    <x v="0"/>
    <n v="46352.9"/>
    <x v="4"/>
    <x v="16"/>
    <x v="0"/>
    <n v="2"/>
    <n v="290800.63"/>
    <x v="0"/>
  </r>
  <r>
    <x v="280"/>
    <s v="Ganesh Gupta"/>
    <n v="55"/>
    <x v="4"/>
    <n v="218058"/>
    <n v="300000"/>
    <n v="36"/>
    <n v="19.41"/>
    <s v="Personal"/>
    <n v="332"/>
    <x v="246"/>
    <s v="2023-07-06"/>
    <x v="2"/>
    <n v="11059.09"/>
    <x v="1"/>
    <x v="1"/>
    <x v="2"/>
    <n v="3"/>
    <n v="290046.82"/>
    <x v="0"/>
  </r>
  <r>
    <x v="281"/>
    <s v="Sunil Saxena"/>
    <n v="63"/>
    <x v="1"/>
    <n v="63228"/>
    <n v="300000"/>
    <n v="180"/>
    <n v="14.37"/>
    <s v="Education"/>
    <n v="497"/>
    <x v="247"/>
    <s v="2022-07-23"/>
    <x v="0"/>
    <n v="4070.07"/>
    <x v="0"/>
    <x v="8"/>
    <x v="1"/>
    <n v="6"/>
    <n v="289010.81"/>
    <x v="0"/>
  </r>
  <r>
    <x v="282"/>
    <s v="Rajesh Tiwari"/>
    <n v="64"/>
    <x v="0"/>
    <n v="54593"/>
    <n v="750000"/>
    <n v="36"/>
    <n v="10.65"/>
    <s v="Home Purchase"/>
    <n v="700"/>
    <x v="248"/>
    <s v="2022-02-13"/>
    <x v="2"/>
    <n v="24429.91"/>
    <x v="2"/>
    <x v="13"/>
    <x v="2"/>
    <n v="4"/>
    <n v="288274.7"/>
    <x v="2"/>
  </r>
  <r>
    <x v="283"/>
    <s v="Tarun Kaur"/>
    <n v="60"/>
    <x v="1"/>
    <n v="157452"/>
    <n v="400000"/>
    <n v="60"/>
    <n v="8.9"/>
    <s v="Vehicle Loan"/>
    <n v="594"/>
    <x v="55"/>
    <s v="2023-05-27"/>
    <x v="1"/>
    <n v="8283.94"/>
    <x v="2"/>
    <x v="4"/>
    <x v="3"/>
    <n v="1"/>
    <n v="288166.81"/>
    <x v="3"/>
  </r>
  <r>
    <x v="284"/>
    <s v="Vinod Shah"/>
    <n v="23"/>
    <x v="3"/>
    <n v="93125"/>
    <n v="300000"/>
    <n v="24"/>
    <n v="12.14"/>
    <s v="Debt Consolidation"/>
    <n v="631"/>
    <x v="249"/>
    <s v="2022-03-01"/>
    <x v="2"/>
    <n v="14141.66"/>
    <x v="4"/>
    <x v="16"/>
    <x v="0"/>
    <n v="0"/>
    <n v="287272.51"/>
    <x v="3"/>
  </r>
  <r>
    <x v="285"/>
    <s v="Mohan Patel"/>
    <n v="59"/>
    <x v="0"/>
    <n v="143249"/>
    <n v="300000"/>
    <n v="24"/>
    <n v="18.989999999999998"/>
    <s v="Business Expansion"/>
    <n v="811"/>
    <x v="229"/>
    <s v="2022-11-30"/>
    <x v="0"/>
    <n v="15121.13"/>
    <x v="1"/>
    <x v="10"/>
    <x v="2"/>
    <n v="0"/>
    <n v="286390.98"/>
    <x v="1"/>
  </r>
  <r>
    <x v="286"/>
    <s v="Komal Chatterjee"/>
    <n v="34"/>
    <x v="0"/>
    <n v="150605"/>
    <n v="2000000"/>
    <n v="48"/>
    <n v="20.55"/>
    <s v="Debt Consolidation"/>
    <n v="627"/>
    <x v="18"/>
    <s v="2022-09-09"/>
    <x v="0"/>
    <n v="61448.34"/>
    <x v="0"/>
    <x v="8"/>
    <x v="0"/>
    <n v="2"/>
    <n v="285591.31"/>
    <x v="3"/>
  </r>
  <r>
    <x v="287"/>
    <s v="Divya Mishra"/>
    <n v="47"/>
    <x v="0"/>
    <n v="211652"/>
    <n v="750000"/>
    <n v="36"/>
    <n v="8.2899999999999991"/>
    <s v="Debt Consolidation"/>
    <n v="789"/>
    <x v="250"/>
    <s v="2023-04-17"/>
    <x v="0"/>
    <n v="23602.74"/>
    <x v="1"/>
    <x v="1"/>
    <x v="0"/>
    <n v="2"/>
    <n v="282665.75"/>
    <x v="1"/>
  </r>
  <r>
    <x v="288"/>
    <s v="Pooja Nayak"/>
    <n v="52"/>
    <x v="2"/>
    <n v="185091"/>
    <n v="2000000"/>
    <n v="36"/>
    <n v="9.14"/>
    <s v="Home Purchase"/>
    <n v="463"/>
    <x v="251"/>
    <s v="2023-06-25"/>
    <x v="0"/>
    <n v="63729.86"/>
    <x v="3"/>
    <x v="14"/>
    <x v="2"/>
    <n v="9"/>
    <n v="279293.78000000003"/>
    <x v="0"/>
  </r>
  <r>
    <x v="289"/>
    <s v="Madhuri Kulkarni"/>
    <n v="49"/>
    <x v="0"/>
    <n v="104845"/>
    <n v="400000"/>
    <n v="84"/>
    <n v="18.38"/>
    <s v="Education"/>
    <n v="713"/>
    <x v="252"/>
    <s v="2022-04-04"/>
    <x v="2"/>
    <n v="8496.4599999999991"/>
    <x v="3"/>
    <x v="17"/>
    <x v="4"/>
    <n v="0"/>
    <n v="277650.98"/>
    <x v="2"/>
  </r>
  <r>
    <x v="290"/>
    <s v="Ramesh Kulkarni"/>
    <n v="61"/>
    <x v="1"/>
    <n v="196785"/>
    <n v="750000"/>
    <n v="36"/>
    <n v="15.7"/>
    <s v="Medical"/>
    <n v="623"/>
    <x v="253"/>
    <s v="2022-06-17"/>
    <x v="0"/>
    <n v="26256.83"/>
    <x v="2"/>
    <x v="13"/>
    <x v="0"/>
    <n v="0"/>
    <n v="277377.06"/>
    <x v="3"/>
  </r>
  <r>
    <x v="291"/>
    <s v="Rohit Mishra"/>
    <n v="28"/>
    <x v="0"/>
    <n v="92948"/>
    <n v="400000"/>
    <n v="84"/>
    <n v="8.1999999999999993"/>
    <s v="Debt Consolidation"/>
    <n v="592"/>
    <x v="254"/>
    <s v="2021-10-25"/>
    <x v="0"/>
    <n v="6274.42"/>
    <x v="4"/>
    <x v="16"/>
    <x v="1"/>
    <n v="5"/>
    <n v="275766.48"/>
    <x v="3"/>
  </r>
  <r>
    <x v="292"/>
    <s v="Lakshmi Joshi"/>
    <n v="32"/>
    <x v="4"/>
    <n v="202454"/>
    <n v="400000"/>
    <n v="12"/>
    <n v="12.11"/>
    <s v="Education"/>
    <n v="453"/>
    <x v="255"/>
    <s v="2022-01-29"/>
    <x v="1"/>
    <n v="35560.1"/>
    <x v="2"/>
    <x v="19"/>
    <x v="2"/>
    <n v="0"/>
    <n v="271983.64"/>
    <x v="0"/>
  </r>
  <r>
    <x v="293"/>
    <s v="Rajesh Kaur"/>
    <n v="63"/>
    <x v="1"/>
    <n v="18140"/>
    <n v="300000"/>
    <n v="48"/>
    <n v="14.15"/>
    <s v="Vehicle Loan"/>
    <n v="585"/>
    <x v="256"/>
    <s v="2022-04-09"/>
    <x v="2"/>
    <n v="8220.5300000000007"/>
    <x v="1"/>
    <x v="11"/>
    <x v="1"/>
    <n v="0"/>
    <n v="270406.09000000003"/>
    <x v="3"/>
  </r>
  <r>
    <x v="294"/>
    <s v="Sarala Kumar"/>
    <n v="41"/>
    <x v="2"/>
    <n v="135841"/>
    <n v="300000"/>
    <n v="120"/>
    <n v="10.96"/>
    <s v="Personal"/>
    <n v="861"/>
    <x v="257"/>
    <s v="2022-12-08"/>
    <x v="0"/>
    <n v="4125.71"/>
    <x v="0"/>
    <x v="2"/>
    <x v="0"/>
    <n v="1"/>
    <n v="270294.89"/>
    <x v="1"/>
  </r>
  <r>
    <x v="295"/>
    <s v="Tarun Chaudhary"/>
    <n v="36"/>
    <x v="1"/>
    <n v="126693"/>
    <n v="400000"/>
    <n v="12"/>
    <n v="14.89"/>
    <s v="Home Purchase"/>
    <n v="611"/>
    <x v="258"/>
    <s v="2023-01-14"/>
    <x v="0"/>
    <n v="36082.57"/>
    <x v="3"/>
    <x v="12"/>
    <x v="3"/>
    <n v="1"/>
    <n v="270102.75"/>
    <x v="3"/>
  </r>
  <r>
    <x v="296"/>
    <s v="Jyoti Shah"/>
    <n v="54"/>
    <x v="3"/>
    <n v="133138"/>
    <n v="750000"/>
    <n v="48"/>
    <n v="10.19"/>
    <s v="Home Purchase"/>
    <n v="487"/>
    <x v="259"/>
    <s v="2021-09-11"/>
    <x v="0"/>
    <n v="19090.45"/>
    <x v="0"/>
    <x v="22"/>
    <x v="0"/>
    <n v="1"/>
    <n v="268920.65999999997"/>
    <x v="0"/>
  </r>
  <r>
    <x v="297"/>
    <s v="Sunita Banerjee"/>
    <n v="61"/>
    <x v="3"/>
    <n v="90187"/>
    <n v="400000"/>
    <n v="24"/>
    <n v="9.34"/>
    <s v="Vehicle Loan"/>
    <n v="584"/>
    <x v="260"/>
    <s v="2022-08-17"/>
    <x v="0"/>
    <n v="18336.36"/>
    <x v="4"/>
    <x v="9"/>
    <x v="1"/>
    <n v="9"/>
    <n v="267978.21000000002"/>
    <x v="3"/>
  </r>
  <r>
    <x v="298"/>
    <s v="Harish Jain"/>
    <n v="46"/>
    <x v="0"/>
    <n v="234977"/>
    <n v="2000000"/>
    <n v="12"/>
    <n v="9.31"/>
    <s v="Medical"/>
    <s v="Not Available"/>
    <x v="261"/>
    <s v="2021-03-09"/>
    <x v="0"/>
    <n v="175190.6"/>
    <x v="2"/>
    <x v="19"/>
    <x v="2"/>
    <n v="3"/>
    <n v="265613.06"/>
    <x v="4"/>
  </r>
  <r>
    <x v="299"/>
    <s v="Chetna Saxena"/>
    <n v="39"/>
    <x v="4"/>
    <n v="214283"/>
    <n v="500000"/>
    <n v="60"/>
    <n v="21.72"/>
    <s v="Personal"/>
    <n v="603"/>
    <x v="133"/>
    <s v="2021-02-23"/>
    <x v="0"/>
    <n v="13729.97"/>
    <x v="0"/>
    <x v="22"/>
    <x v="2"/>
    <n v="2"/>
    <n v="265217.51"/>
    <x v="3"/>
  </r>
  <r>
    <x v="300"/>
    <s v="Sanjay Yadav"/>
    <n v="49"/>
    <x v="3"/>
    <n v="225120"/>
    <n v="400000"/>
    <n v="60"/>
    <n v="9.65"/>
    <s v="Education"/>
    <n v="607"/>
    <x v="262"/>
    <s v="2021-04-28"/>
    <x v="0"/>
    <n v="8430.1"/>
    <x v="0"/>
    <x v="18"/>
    <x v="0"/>
    <n v="1"/>
    <n v="263432.38"/>
    <x v="3"/>
  </r>
  <r>
    <x v="301"/>
    <s v="Pooja Nair"/>
    <n v="32"/>
    <x v="3"/>
    <n v="164945"/>
    <n v="1000000"/>
    <n v="60"/>
    <n v="15.64"/>
    <s v="Vehicle Loan"/>
    <n v="872"/>
    <x v="263"/>
    <s v="2021-05-10"/>
    <x v="3"/>
    <n v="24127.19"/>
    <x v="3"/>
    <x v="17"/>
    <x v="0"/>
    <n v="2"/>
    <n v="261707.99"/>
    <x v="1"/>
  </r>
  <r>
    <x v="302"/>
    <s v="Meena Menon"/>
    <n v="43"/>
    <x v="4"/>
    <n v="39312"/>
    <n v="300000"/>
    <n v="24"/>
    <n v="12.71"/>
    <s v="Medical"/>
    <n v="570"/>
    <x v="264"/>
    <s v="2023-02-20"/>
    <x v="0"/>
    <n v="14221.72"/>
    <x v="3"/>
    <x v="14"/>
    <x v="0"/>
    <n v="2"/>
    <n v="261601.36"/>
    <x v="3"/>
  </r>
  <r>
    <x v="303"/>
    <s v="Divya Mishra"/>
    <n v="28"/>
    <x v="2"/>
    <n v="187039"/>
    <n v="400000"/>
    <n v="36"/>
    <n v="9.5299999999999994"/>
    <s v="Debt Consolidation"/>
    <n v="305"/>
    <x v="265"/>
    <s v="2022-08-11"/>
    <x v="0"/>
    <n v="12818.79"/>
    <x v="4"/>
    <x v="9"/>
    <x v="3"/>
    <n v="0"/>
    <n v="261557.07"/>
    <x v="0"/>
  </r>
  <r>
    <x v="304"/>
    <s v="Rani Saxena"/>
    <n v="54"/>
    <x v="0"/>
    <n v="196355"/>
    <n v="750000"/>
    <n v="36"/>
    <n v="18.09"/>
    <s v="Education"/>
    <n v="406"/>
    <x v="266"/>
    <s v="2023-11-14"/>
    <x v="0"/>
    <n v="27148.17"/>
    <x v="2"/>
    <x v="20"/>
    <x v="0"/>
    <n v="2"/>
    <n v="261332.94"/>
    <x v="0"/>
  </r>
  <r>
    <x v="305"/>
    <s v="Suresh Gupta"/>
    <n v="50"/>
    <x v="2"/>
    <n v="97321"/>
    <n v="300000"/>
    <n v="24"/>
    <n v="15.27"/>
    <s v="Personal"/>
    <n v="762"/>
    <x v="267"/>
    <s v="2021-07-13"/>
    <x v="2"/>
    <n v="14584.51"/>
    <x v="4"/>
    <x v="16"/>
    <x v="3"/>
    <n v="1"/>
    <n v="260621.82"/>
    <x v="1"/>
  </r>
  <r>
    <x v="306"/>
    <s v="Vinod Tiwari"/>
    <n v="58"/>
    <x v="2"/>
    <n v="200990"/>
    <n v="1000000"/>
    <n v="120"/>
    <n v="11.7"/>
    <s v="Debt Consolidation"/>
    <n v="321"/>
    <x v="268"/>
    <s v="2023-01-17"/>
    <x v="0"/>
    <n v="14174.21"/>
    <x v="4"/>
    <x v="9"/>
    <x v="3"/>
    <n v="2"/>
    <n v="260106.23999999999"/>
    <x v="0"/>
  </r>
  <r>
    <x v="307"/>
    <s v="Kiran Mehta"/>
    <n v="65"/>
    <x v="2"/>
    <n v="35644"/>
    <n v="1000000"/>
    <n v="24"/>
    <n v="21.32"/>
    <s v="Personal"/>
    <n v="520"/>
    <x v="28"/>
    <s v="2024-01-04"/>
    <x v="0"/>
    <n v="51542.96"/>
    <x v="0"/>
    <x v="0"/>
    <x v="0"/>
    <n v="2"/>
    <n v="257781.38"/>
    <x v="0"/>
  </r>
  <r>
    <x v="308"/>
    <s v="Ravi Kapoor"/>
    <n v="47"/>
    <x v="2"/>
    <n v="201879"/>
    <n v="400000"/>
    <n v="84"/>
    <n v="20.29"/>
    <s v="Agriculture"/>
    <n v="433"/>
    <x v="136"/>
    <s v="2021-08-08"/>
    <x v="0"/>
    <n v="8952.4599999999991"/>
    <x v="2"/>
    <x v="19"/>
    <x v="0"/>
    <n v="0"/>
    <n v="254970.15"/>
    <x v="0"/>
  </r>
  <r>
    <x v="309"/>
    <s v="Ravi Menon"/>
    <n v="31"/>
    <x v="4"/>
    <n v="205640"/>
    <n v="750000"/>
    <n v="240"/>
    <n v="13.64"/>
    <s v="Business Expansion"/>
    <s v="Not Available"/>
    <x v="269"/>
    <s v="2023-06-02"/>
    <x v="0"/>
    <n v="9130.9599999999991"/>
    <x v="4"/>
    <x v="21"/>
    <x v="0"/>
    <n v="0"/>
    <n v="248710.3"/>
    <x v="4"/>
  </r>
  <r>
    <x v="310"/>
    <s v="Varsha Iyer"/>
    <n v="33"/>
    <x v="1"/>
    <n v="114513"/>
    <n v="300000"/>
    <n v="48"/>
    <n v="14.96"/>
    <s v="Debt Consolidation"/>
    <n v="415"/>
    <x v="270"/>
    <s v="2023-12-08"/>
    <x v="2"/>
    <n v="8343.14"/>
    <x v="4"/>
    <x v="21"/>
    <x v="0"/>
    <n v="1"/>
    <n v="247438.22"/>
    <x v="0"/>
  </r>
  <r>
    <x v="311"/>
    <s v="Anita Saxena"/>
    <n v="64"/>
    <x v="3"/>
    <n v="207486"/>
    <n v="300000"/>
    <n v="60"/>
    <n v="16.3"/>
    <s v="Education"/>
    <n v="832"/>
    <x v="271"/>
    <s v="2023-11-14"/>
    <x v="0"/>
    <n v="7343.32"/>
    <x v="1"/>
    <x v="15"/>
    <x v="0"/>
    <n v="0"/>
    <n v="247128.1"/>
    <x v="1"/>
  </r>
  <r>
    <x v="312"/>
    <s v="Divya Saxena"/>
    <n v="30"/>
    <x v="0"/>
    <n v="160600"/>
    <n v="300000"/>
    <n v="84"/>
    <n v="19.68"/>
    <s v="Education"/>
    <n v="595"/>
    <x v="272"/>
    <s v="2021-02-09"/>
    <x v="0"/>
    <n v="6604.18"/>
    <x v="0"/>
    <x v="0"/>
    <x v="2"/>
    <n v="0"/>
    <n v="246506.14"/>
    <x v="3"/>
  </r>
  <r>
    <x v="313"/>
    <s v="Dinesh Yadav"/>
    <n v="49"/>
    <x v="4"/>
    <n v="203539"/>
    <n v="750000"/>
    <n v="240"/>
    <n v="11.27"/>
    <s v="Debt Consolidation"/>
    <n v="778"/>
    <x v="273"/>
    <s v="2022-07-21"/>
    <x v="0"/>
    <n v="7879.7"/>
    <x v="0"/>
    <x v="0"/>
    <x v="2"/>
    <n v="0"/>
    <n v="246487.17"/>
    <x v="1"/>
  </r>
  <r>
    <x v="314"/>
    <s v="Smita Shah"/>
    <n v="33"/>
    <x v="0"/>
    <n v="164332"/>
    <n v="400000"/>
    <n v="36"/>
    <n v="16.89"/>
    <s v="Home Purchase"/>
    <n v="617"/>
    <x v="274"/>
    <s v="2021-05-30"/>
    <x v="0"/>
    <n v="14239.2"/>
    <x v="0"/>
    <x v="0"/>
    <x v="0"/>
    <n v="1"/>
    <n v="246216.64"/>
    <x v="3"/>
  </r>
  <r>
    <x v="315"/>
    <s v="Varsha Joshi"/>
    <n v="22"/>
    <x v="4"/>
    <n v="56403"/>
    <n v="300000"/>
    <n v="180"/>
    <n v="14.42"/>
    <s v="Personal"/>
    <n v="594"/>
    <x v="275"/>
    <s v="2021-07-26"/>
    <x v="0"/>
    <n v="4080.23"/>
    <x v="4"/>
    <x v="23"/>
    <x v="2"/>
    <n v="10"/>
    <n v="244916.9"/>
    <x v="3"/>
  </r>
  <r>
    <x v="316"/>
    <s v="Ganesh Malhotra"/>
    <n v="39"/>
    <x v="0"/>
    <n v="83905"/>
    <n v="400000"/>
    <n v="60"/>
    <n v="12.88"/>
    <s v="Business Expansion"/>
    <n v="641"/>
    <x v="276"/>
    <s v="2023-06-12"/>
    <x v="2"/>
    <n v="9076.68"/>
    <x v="4"/>
    <x v="23"/>
    <x v="2"/>
    <n v="7"/>
    <n v="244788.77"/>
    <x v="3"/>
  </r>
  <r>
    <x v="317"/>
    <s v="Manoj Pillai"/>
    <n v="46"/>
    <x v="0"/>
    <n v="34275"/>
    <n v="400000"/>
    <n v="180"/>
    <n v="8.2899999999999991"/>
    <s v="Debt Consolidation"/>
    <s v="Not Available"/>
    <x v="277"/>
    <s v="2023-03-19"/>
    <x v="0"/>
    <n v="3889.88"/>
    <x v="0"/>
    <x v="18"/>
    <x v="2"/>
    <n v="7"/>
    <n v="242459.86"/>
    <x v="4"/>
  </r>
  <r>
    <x v="318"/>
    <s v="Harish Deshpande"/>
    <n v="31"/>
    <x v="3"/>
    <n v="178044"/>
    <n v="750000"/>
    <n v="24"/>
    <n v="18.52"/>
    <s v="Agriculture"/>
    <n v="777"/>
    <x v="47"/>
    <s v="2023-10-21"/>
    <x v="2"/>
    <n v="37631.79"/>
    <x v="0"/>
    <x v="22"/>
    <x v="0"/>
    <n v="2"/>
    <n v="241970.84"/>
    <x v="1"/>
  </r>
  <r>
    <x v="319"/>
    <s v="Nisha Mehta"/>
    <n v="57"/>
    <x v="0"/>
    <n v="82447"/>
    <n v="300000"/>
    <n v="180"/>
    <n v="11.93"/>
    <s v="Business Expansion"/>
    <n v="684"/>
    <x v="278"/>
    <s v="2022-11-21"/>
    <x v="0"/>
    <n v="3587"/>
    <x v="1"/>
    <x v="15"/>
    <x v="2"/>
    <n v="7"/>
    <n v="241890.6"/>
    <x v="2"/>
  </r>
  <r>
    <x v="320"/>
    <s v="Anita Shetty"/>
    <n v="61"/>
    <x v="0"/>
    <n v="128798"/>
    <n v="1000000"/>
    <n v="120"/>
    <n v="8.85"/>
    <s v="Medical"/>
    <n v="774"/>
    <x v="222"/>
    <s v="2023-12-16"/>
    <x v="0"/>
    <n v="12586.54"/>
    <x v="0"/>
    <x v="0"/>
    <x v="2"/>
    <n v="7"/>
    <n v="241031.64"/>
    <x v="1"/>
  </r>
  <r>
    <x v="321"/>
    <s v="Mohan Kaur"/>
    <n v="45"/>
    <x v="3"/>
    <n v="167652"/>
    <n v="750000"/>
    <n v="60"/>
    <n v="20.8"/>
    <s v="Vehicle Loan"/>
    <n v="322"/>
    <x v="279"/>
    <s v="2021-09-26"/>
    <x v="2"/>
    <n v="20205.73"/>
    <x v="3"/>
    <x v="17"/>
    <x v="2"/>
    <n v="10"/>
    <n v="240815.6"/>
    <x v="0"/>
  </r>
  <r>
    <x v="322"/>
    <s v="Vinod Joshi"/>
    <n v="46"/>
    <x v="4"/>
    <n v="125326"/>
    <n v="250000"/>
    <n v="240"/>
    <n v="17.399999999999999"/>
    <s v="Agriculture"/>
    <n v="374"/>
    <x v="280"/>
    <s v="2022-06-30"/>
    <x v="0"/>
    <n v="3743.24"/>
    <x v="3"/>
    <x v="7"/>
    <x v="1"/>
    <n v="1"/>
    <n v="239893.25"/>
    <x v="0"/>
  </r>
  <r>
    <x v="323"/>
    <s v="Komal Tiwari"/>
    <n v="40"/>
    <x v="0"/>
    <n v="21473"/>
    <n v="250000"/>
    <n v="84"/>
    <n v="12.36"/>
    <s v="Debt Consolidation"/>
    <n v="683"/>
    <x v="111"/>
    <s v="2021-12-09"/>
    <x v="0"/>
    <n v="4461.46"/>
    <x v="2"/>
    <x v="6"/>
    <x v="2"/>
    <n v="9"/>
    <n v="237954.06"/>
    <x v="2"/>
  </r>
  <r>
    <x v="324"/>
    <s v="Geeta Patel"/>
    <n v="43"/>
    <x v="0"/>
    <n v="144073"/>
    <n v="300000"/>
    <n v="120"/>
    <n v="13.81"/>
    <s v="Home Purchase"/>
    <n v="831"/>
    <x v="281"/>
    <s v="2023-06-20"/>
    <x v="0"/>
    <n v="4623.78"/>
    <x v="3"/>
    <x v="5"/>
    <x v="1"/>
    <n v="11"/>
    <n v="233417.57"/>
    <x v="1"/>
  </r>
  <r>
    <x v="325"/>
    <s v="Pooja Nair"/>
    <n v="34"/>
    <x v="3"/>
    <n v="49746"/>
    <n v="500000"/>
    <n v="60"/>
    <n v="8.3800000000000008"/>
    <s v="Personal"/>
    <n v="549"/>
    <x v="38"/>
    <s v="2021-08-10"/>
    <x v="0"/>
    <n v="10229.370000000001"/>
    <x v="1"/>
    <x v="15"/>
    <x v="0"/>
    <n v="1"/>
    <n v="233013.44"/>
    <x v="0"/>
  </r>
  <r>
    <x v="326"/>
    <s v="Mohan Mishra"/>
    <n v="45"/>
    <x v="2"/>
    <n v="147415"/>
    <n v="300000"/>
    <n v="24"/>
    <n v="17.38"/>
    <s v="Personal"/>
    <n v="681"/>
    <x v="282"/>
    <s v="2023-09-20"/>
    <x v="0"/>
    <n v="14887.51"/>
    <x v="2"/>
    <x v="20"/>
    <x v="0"/>
    <n v="1"/>
    <n v="233006.21"/>
    <x v="2"/>
  </r>
  <r>
    <x v="327"/>
    <s v="Ashok Pillai"/>
    <n v="62"/>
    <x v="4"/>
    <n v="121340"/>
    <n v="400000"/>
    <n v="48"/>
    <n v="14.07"/>
    <s v="Business Expansion"/>
    <n v="858"/>
    <x v="283"/>
    <s v="2023-12-03"/>
    <x v="0"/>
    <n v="10944.64"/>
    <x v="2"/>
    <x v="19"/>
    <x v="0"/>
    <n v="2"/>
    <n v="232547.01"/>
    <x v="1"/>
  </r>
  <r>
    <x v="328"/>
    <s v="Mohan Iyer"/>
    <n v="24"/>
    <x v="4"/>
    <n v="183231"/>
    <n v="300000"/>
    <n v="180"/>
    <n v="15.12"/>
    <s v="Business Expansion"/>
    <n v="350"/>
    <x v="225"/>
    <s v="2021-02-05"/>
    <x v="0"/>
    <n v="4223.45"/>
    <x v="4"/>
    <x v="9"/>
    <x v="2"/>
    <n v="9"/>
    <n v="231580.11"/>
    <x v="0"/>
  </r>
  <r>
    <x v="329"/>
    <s v="Anil Nair"/>
    <n v="59"/>
    <x v="3"/>
    <n v="170153"/>
    <n v="250000"/>
    <n v="60"/>
    <n v="8.48"/>
    <s v="Agriculture"/>
    <n v="737"/>
    <x v="242"/>
    <s v="2022-09-30"/>
    <x v="2"/>
    <n v="5126.72"/>
    <x v="0"/>
    <x v="22"/>
    <x v="2"/>
    <n v="12"/>
    <n v="231543.81"/>
    <x v="2"/>
  </r>
  <r>
    <x v="330"/>
    <s v="Anita Nair"/>
    <n v="36"/>
    <x v="2"/>
    <n v="246900"/>
    <n v="250000"/>
    <n v="12"/>
    <n v="13.52"/>
    <s v="Debt Consolidation"/>
    <n v="814"/>
    <x v="104"/>
    <s v="2023-02-17"/>
    <x v="0"/>
    <n v="22390.36"/>
    <x v="4"/>
    <x v="9"/>
    <x v="3"/>
    <n v="1"/>
    <n v="229848.68"/>
    <x v="1"/>
  </r>
  <r>
    <x v="331"/>
    <s v="Lakshmi Yadav"/>
    <n v="31"/>
    <x v="3"/>
    <n v="55292"/>
    <n v="250000"/>
    <n v="12"/>
    <n v="18.72"/>
    <s v="Business Expansion"/>
    <n v="802"/>
    <x v="284"/>
    <s v="2022-11-01"/>
    <x v="0"/>
    <n v="23005.75"/>
    <x v="1"/>
    <x v="15"/>
    <x v="0"/>
    <n v="1"/>
    <n v="229294.83"/>
    <x v="1"/>
  </r>
  <r>
    <x v="332"/>
    <s v="Rohit Iyer"/>
    <n v="65"/>
    <x v="0"/>
    <n v="113711"/>
    <n v="300000"/>
    <n v="36"/>
    <n v="20.93"/>
    <s v="Vehicle Loan"/>
    <n v="664"/>
    <x v="285"/>
    <s v="2023-12-15"/>
    <x v="0"/>
    <n v="11291.74"/>
    <x v="2"/>
    <x v="13"/>
    <x v="1"/>
    <n v="0"/>
    <n v="228862.04"/>
    <x v="2"/>
  </r>
  <r>
    <x v="333"/>
    <s v="Rohit Joshi"/>
    <n v="32"/>
    <x v="4"/>
    <n v="77544"/>
    <n v="300000"/>
    <n v="12"/>
    <n v="17.38"/>
    <s v="Business Expansion"/>
    <n v="890"/>
    <x v="286"/>
    <s v="2021-05-18"/>
    <x v="0"/>
    <n v="27415.56"/>
    <x v="0"/>
    <x v="2"/>
    <x v="0"/>
    <n v="2"/>
    <n v="225977.99"/>
    <x v="1"/>
  </r>
  <r>
    <x v="334"/>
    <s v="Ashok Patel"/>
    <n v="52"/>
    <x v="3"/>
    <n v="92445"/>
    <n v="300000"/>
    <n v="24"/>
    <n v="9.18"/>
    <s v="Education"/>
    <n v="656"/>
    <x v="287"/>
    <s v="2023-12-22"/>
    <x v="0"/>
    <n v="13730.21"/>
    <x v="4"/>
    <x v="23"/>
    <x v="2"/>
    <n v="7"/>
    <n v="225856.87"/>
    <x v="2"/>
  </r>
  <r>
    <x v="335"/>
    <s v="Abhishek Gupta"/>
    <n v="49"/>
    <x v="1"/>
    <n v="196639"/>
    <n v="750000"/>
    <n v="120"/>
    <n v="19.43"/>
    <s v="Personal"/>
    <n v="379"/>
    <x v="288"/>
    <s v="2022-10-14"/>
    <x v="0"/>
    <n v="14211.87"/>
    <x v="1"/>
    <x v="15"/>
    <x v="2"/>
    <n v="2"/>
    <n v="225582"/>
    <x v="0"/>
  </r>
  <r>
    <x v="336"/>
    <s v="Lakshmi Dubey"/>
    <n v="30"/>
    <x v="1"/>
    <n v="91242"/>
    <n v="250000"/>
    <n v="120"/>
    <n v="8.08"/>
    <s v="Debt Consolidation"/>
    <n v="544"/>
    <x v="289"/>
    <s v="2021-11-30"/>
    <x v="0"/>
    <n v="3043.77"/>
    <x v="0"/>
    <x v="18"/>
    <x v="2"/>
    <n v="9"/>
    <n v="225345.46"/>
    <x v="0"/>
  </r>
  <r>
    <x v="337"/>
    <s v="Vinod Mehta"/>
    <n v="59"/>
    <x v="2"/>
    <n v="181960"/>
    <n v="400000"/>
    <n v="24"/>
    <n v="15.07"/>
    <s v="Personal"/>
    <n v="891"/>
    <x v="290"/>
    <s v="2023-09-26"/>
    <x v="1"/>
    <n v="19407.97"/>
    <x v="2"/>
    <x v="4"/>
    <x v="0"/>
    <n v="1"/>
    <n v="225328.27"/>
    <x v="1"/>
  </r>
  <r>
    <x v="338"/>
    <s v="Priya Dubey"/>
    <n v="61"/>
    <x v="2"/>
    <n v="170602"/>
    <n v="750000"/>
    <n v="120"/>
    <n v="18.100000000000001"/>
    <s v="Agriculture"/>
    <n v="549"/>
    <x v="290"/>
    <s v="2023-10-10"/>
    <x v="2"/>
    <n v="13562.21"/>
    <x v="4"/>
    <x v="23"/>
    <x v="2"/>
    <n v="9"/>
    <n v="225142.47"/>
    <x v="0"/>
  </r>
  <r>
    <x v="339"/>
    <s v="Deepa Chatterjee"/>
    <n v="65"/>
    <x v="4"/>
    <n v="244319"/>
    <n v="400000"/>
    <n v="36"/>
    <n v="20.5"/>
    <s v="Vehicle Loan"/>
    <n v="793"/>
    <x v="291"/>
    <s v="2022-01-12"/>
    <x v="0"/>
    <n v="14967.53"/>
    <x v="1"/>
    <x v="3"/>
    <x v="0"/>
    <n v="0"/>
    <n v="224879.9"/>
    <x v="1"/>
  </r>
  <r>
    <x v="340"/>
    <s v="Deepa Jain"/>
    <n v="27"/>
    <x v="1"/>
    <n v="61241"/>
    <n v="300000"/>
    <n v="48"/>
    <n v="15.41"/>
    <s v="Business Expansion"/>
    <n v="318"/>
    <x v="292"/>
    <s v="2021-11-08"/>
    <x v="0"/>
    <n v="8411.7099999999991"/>
    <x v="1"/>
    <x v="1"/>
    <x v="0"/>
    <n v="0"/>
    <n v="224294.61"/>
    <x v="0"/>
  </r>
  <r>
    <x v="341"/>
    <s v="Nisha Gupta"/>
    <n v="58"/>
    <x v="0"/>
    <n v="163555"/>
    <n v="300000"/>
    <n v="240"/>
    <n v="12.31"/>
    <s v="Education"/>
    <n v="380"/>
    <x v="157"/>
    <s v="2023-06-25"/>
    <x v="0"/>
    <n v="3368.32"/>
    <x v="1"/>
    <x v="11"/>
    <x v="0"/>
    <n v="0"/>
    <n v="224212.8"/>
    <x v="0"/>
  </r>
  <r>
    <x v="342"/>
    <s v="Kavitha Das"/>
    <n v="26"/>
    <x v="2"/>
    <n v="181110"/>
    <n v="2000000"/>
    <n v="48"/>
    <n v="17.32"/>
    <s v="Personal"/>
    <n v="623"/>
    <x v="293"/>
    <s v="2021-02-14"/>
    <x v="0"/>
    <n v="58041.73"/>
    <x v="2"/>
    <x v="6"/>
    <x v="0"/>
    <n v="2"/>
    <n v="223923.06"/>
    <x v="3"/>
  </r>
  <r>
    <x v="343"/>
    <s v="Vinod Tiwari"/>
    <n v="32"/>
    <x v="1"/>
    <n v="208165"/>
    <n v="400000"/>
    <n v="36"/>
    <n v="15.56"/>
    <s v="Agriculture"/>
    <n v="354"/>
    <x v="294"/>
    <s v="2022-01-15"/>
    <x v="2"/>
    <n v="13976.08"/>
    <x v="0"/>
    <x v="0"/>
    <x v="0"/>
    <n v="0"/>
    <n v="223901.39"/>
    <x v="0"/>
  </r>
  <r>
    <x v="344"/>
    <s v="Pallavi Yadav"/>
    <n v="59"/>
    <x v="2"/>
    <n v="181401"/>
    <n v="750000"/>
    <n v="84"/>
    <n v="15.35"/>
    <s v="Agriculture"/>
    <n v="871"/>
    <x v="295"/>
    <s v="2023-01-09"/>
    <x v="0"/>
    <n v="14620.23"/>
    <x v="3"/>
    <x v="12"/>
    <x v="3"/>
    <n v="1"/>
    <n v="223671.72"/>
    <x v="1"/>
  </r>
  <r>
    <x v="345"/>
    <s v="Chetna Rao"/>
    <n v="52"/>
    <x v="0"/>
    <n v="197354"/>
    <n v="750000"/>
    <n v="48"/>
    <n v="13.25"/>
    <s v="Personal"/>
    <n v="865"/>
    <x v="26"/>
    <s v="2024-01-21"/>
    <x v="0"/>
    <n v="20213.810000000001"/>
    <x v="4"/>
    <x v="23"/>
    <x v="2"/>
    <n v="6"/>
    <n v="222419.56"/>
    <x v="1"/>
  </r>
  <r>
    <x v="346"/>
    <s v="Geeta Tiwari"/>
    <n v="31"/>
    <x v="0"/>
    <n v="154242"/>
    <n v="300000"/>
    <n v="36"/>
    <n v="9.9600000000000009"/>
    <s v="Vehicle Loan"/>
    <n v="691"/>
    <x v="169"/>
    <s v="2022-05-08"/>
    <x v="0"/>
    <n v="9674.52"/>
    <x v="1"/>
    <x v="3"/>
    <x v="4"/>
    <n v="1"/>
    <n v="221636.39"/>
    <x v="2"/>
  </r>
  <r>
    <x v="347"/>
    <s v="Smita Joshi"/>
    <n v="47"/>
    <x v="0"/>
    <n v="222056"/>
    <n v="250000"/>
    <n v="180"/>
    <n v="17.71"/>
    <s v="Home Purchase"/>
    <n v="372"/>
    <x v="166"/>
    <s v="2022-09-16"/>
    <x v="0"/>
    <n v="3974"/>
    <x v="2"/>
    <x v="6"/>
    <x v="0"/>
    <n v="2"/>
    <n v="221387.2"/>
    <x v="0"/>
  </r>
  <r>
    <x v="348"/>
    <s v="Harish Deshpande"/>
    <n v="58"/>
    <x v="3"/>
    <n v="226897"/>
    <n v="400000"/>
    <n v="24"/>
    <n v="17.52"/>
    <s v="Personal"/>
    <n v="644"/>
    <x v="296"/>
    <s v="2021-12-30"/>
    <x v="1"/>
    <n v="19876.990000000002"/>
    <x v="2"/>
    <x v="20"/>
    <x v="0"/>
    <n v="2"/>
    <n v="221107.09"/>
    <x v="3"/>
  </r>
  <r>
    <x v="349"/>
    <s v="Sarala Iyer"/>
    <n v="50"/>
    <x v="0"/>
    <n v="95749"/>
    <n v="300000"/>
    <n v="24"/>
    <n v="16.170000000000002"/>
    <s v="Debt Consolidation"/>
    <n v="635"/>
    <x v="112"/>
    <s v="2021-11-02"/>
    <x v="0"/>
    <n v="14713.31"/>
    <x v="2"/>
    <x v="19"/>
    <x v="0"/>
    <n v="0"/>
    <n v="220548.13"/>
    <x v="3"/>
  </r>
  <r>
    <x v="350"/>
    <s v="Jyoti Deshpande"/>
    <n v="56"/>
    <x v="0"/>
    <n v="74798"/>
    <n v="750000"/>
    <n v="36"/>
    <n v="8.1199999999999992"/>
    <s v="Medical"/>
    <n v="719"/>
    <x v="297"/>
    <s v="2023-09-07"/>
    <x v="0"/>
    <n v="23543.82"/>
    <x v="2"/>
    <x v="4"/>
    <x v="0"/>
    <n v="1"/>
    <n v="220264.05"/>
    <x v="2"/>
  </r>
  <r>
    <x v="351"/>
    <s v="Ganesh Kumar"/>
    <n v="65"/>
    <x v="4"/>
    <n v="224216"/>
    <n v="750000"/>
    <n v="60"/>
    <n v="16.39"/>
    <s v="Medical"/>
    <n v="847"/>
    <x v="298"/>
    <s v="2023-09-09"/>
    <x v="0"/>
    <n v="18394.32"/>
    <x v="3"/>
    <x v="14"/>
    <x v="4"/>
    <n v="1"/>
    <n v="220243.58"/>
    <x v="1"/>
  </r>
  <r>
    <x v="352"/>
    <s v="Ramesh Nair"/>
    <n v="29"/>
    <x v="0"/>
    <n v="118497"/>
    <n v="300000"/>
    <n v="24"/>
    <n v="18.25"/>
    <s v="Education"/>
    <n v="366"/>
    <x v="299"/>
    <s v="2023-04-14"/>
    <x v="0"/>
    <n v="15013.49"/>
    <x v="4"/>
    <x v="9"/>
    <x v="2"/>
    <n v="5"/>
    <n v="218927.15"/>
    <x v="0"/>
  </r>
  <r>
    <x v="353"/>
    <s v="Rani Kulkarni"/>
    <n v="28"/>
    <x v="2"/>
    <n v="41138"/>
    <n v="500000"/>
    <n v="180"/>
    <n v="7.72"/>
    <s v="Education"/>
    <n v="719"/>
    <x v="300"/>
    <s v="2022-12-17"/>
    <x v="0"/>
    <n v="4697.79"/>
    <x v="0"/>
    <x v="8"/>
    <x v="0"/>
    <n v="1"/>
    <n v="216723.26"/>
    <x v="2"/>
  </r>
  <r>
    <x v="354"/>
    <s v="Anita Patel"/>
    <n v="29"/>
    <x v="0"/>
    <n v="54956"/>
    <n v="1500000"/>
    <n v="180"/>
    <n v="21.48"/>
    <s v="Agriculture"/>
    <n v="320"/>
    <x v="301"/>
    <s v="2022-09-17"/>
    <x v="0"/>
    <n v="27998.73"/>
    <x v="2"/>
    <x v="20"/>
    <x v="3"/>
    <n v="0"/>
    <n v="214858.29"/>
    <x v="0"/>
  </r>
  <r>
    <x v="355"/>
    <s v="Vikram Verma"/>
    <n v="50"/>
    <x v="4"/>
    <n v="166981"/>
    <n v="250000"/>
    <n v="120"/>
    <n v="10.38"/>
    <s v="Medical"/>
    <n v="535"/>
    <x v="302"/>
    <s v="2022-05-27"/>
    <x v="0"/>
    <n v="3356.6"/>
    <x v="3"/>
    <x v="12"/>
    <x v="0"/>
    <n v="0"/>
    <n v="213748.72"/>
    <x v="0"/>
  </r>
  <r>
    <x v="356"/>
    <s v="Abhishek Malhotra"/>
    <n v="48"/>
    <x v="0"/>
    <n v="93613"/>
    <n v="300000"/>
    <n v="36"/>
    <n v="18.440000000000001"/>
    <s v="Agriculture"/>
    <n v="546"/>
    <x v="303"/>
    <s v="2023-08-11"/>
    <x v="0"/>
    <n v="10912.05"/>
    <x v="0"/>
    <x v="22"/>
    <x v="2"/>
    <n v="11"/>
    <n v="211612.4"/>
    <x v="0"/>
  </r>
  <r>
    <x v="357"/>
    <s v="Chetna Pillai"/>
    <n v="45"/>
    <x v="3"/>
    <n v="119462"/>
    <n v="1000000"/>
    <n v="24"/>
    <n v="21.3"/>
    <s v="Vehicle Loan"/>
    <n v="577"/>
    <x v="198"/>
    <s v="2021-07-10"/>
    <x v="0"/>
    <n v="51533.120000000003"/>
    <x v="1"/>
    <x v="15"/>
    <x v="1"/>
    <n v="11"/>
    <n v="211543.26"/>
    <x v="3"/>
  </r>
  <r>
    <x v="358"/>
    <s v="Sarala Banerjee"/>
    <n v="62"/>
    <x v="4"/>
    <n v="247115"/>
    <n v="250000"/>
    <n v="48"/>
    <n v="17.72"/>
    <s v="Home Purchase"/>
    <n v="533"/>
    <x v="304"/>
    <s v="2023-03-01"/>
    <x v="0"/>
    <n v="7307.22"/>
    <x v="4"/>
    <x v="21"/>
    <x v="3"/>
    <n v="0"/>
    <n v="210541.01"/>
    <x v="0"/>
  </r>
  <r>
    <x v="359"/>
    <s v="Meena Chatterjee"/>
    <n v="27"/>
    <x v="0"/>
    <n v="46051"/>
    <n v="500000"/>
    <n v="120"/>
    <n v="16.29"/>
    <s v="Personal"/>
    <n v="835"/>
    <x v="51"/>
    <s v="2023-06-10"/>
    <x v="0"/>
    <n v="8466.24"/>
    <x v="2"/>
    <x v="4"/>
    <x v="1"/>
    <n v="7"/>
    <n v="210454.59"/>
    <x v="1"/>
  </r>
  <r>
    <x v="360"/>
    <s v="Komal Malhotra"/>
    <n v="65"/>
    <x v="2"/>
    <n v="98304"/>
    <n v="250000"/>
    <n v="48"/>
    <n v="10.36"/>
    <s v="Agriculture"/>
    <n v="810"/>
    <x v="117"/>
    <s v="2021-09-29"/>
    <x v="0"/>
    <n v="6383.96"/>
    <x v="3"/>
    <x v="12"/>
    <x v="0"/>
    <n v="1"/>
    <n v="209781.05"/>
    <x v="1"/>
  </r>
  <r>
    <x v="361"/>
    <s v="Manoj Chaudhary"/>
    <n v="64"/>
    <x v="0"/>
    <n v="108636"/>
    <n v="400000"/>
    <n v="12"/>
    <n v="11.04"/>
    <s v="Debt Consolidation"/>
    <n v="668"/>
    <x v="54"/>
    <s v="2021-08-21"/>
    <x v="0"/>
    <n v="35360.129999999997"/>
    <x v="0"/>
    <x v="8"/>
    <x v="2"/>
    <n v="3"/>
    <n v="209055.3"/>
    <x v="2"/>
  </r>
  <r>
    <x v="362"/>
    <s v="Dinesh Deshpande"/>
    <n v="47"/>
    <x v="4"/>
    <n v="26792"/>
    <n v="400000"/>
    <n v="12"/>
    <n v="12.43"/>
    <s v="Education"/>
    <n v="724"/>
    <x v="305"/>
    <s v="2022-06-16"/>
    <x v="0"/>
    <n v="35620.03"/>
    <x v="3"/>
    <x v="7"/>
    <x v="0"/>
    <n v="1"/>
    <n v="207651.84"/>
    <x v="2"/>
  </r>
  <r>
    <x v="363"/>
    <s v="Rani Singh"/>
    <n v="35"/>
    <x v="0"/>
    <n v="167761"/>
    <n v="400000"/>
    <n v="12"/>
    <n v="12.57"/>
    <s v="Vehicle Loan"/>
    <n v="895"/>
    <x v="306"/>
    <s v="2022-03-19"/>
    <x v="2"/>
    <n v="35646.26"/>
    <x v="4"/>
    <x v="24"/>
    <x v="3"/>
    <n v="0"/>
    <n v="207510.2"/>
    <x v="1"/>
  </r>
  <r>
    <x v="364"/>
    <s v="Ramesh Dubey"/>
    <n v="65"/>
    <x v="0"/>
    <n v="149001"/>
    <n v="400000"/>
    <n v="36"/>
    <n v="17.05"/>
    <s v="Business Expansion"/>
    <n v="827"/>
    <x v="307"/>
    <s v="2022-10-08"/>
    <x v="0"/>
    <n v="14271.05"/>
    <x v="1"/>
    <x v="11"/>
    <x v="2"/>
    <n v="1"/>
    <n v="207340.82"/>
    <x v="1"/>
  </r>
  <r>
    <x v="365"/>
    <s v="Abhishek Kaur"/>
    <n v="63"/>
    <x v="3"/>
    <n v="238285"/>
    <n v="250000"/>
    <n v="240"/>
    <n v="13.01"/>
    <s v="Medical"/>
    <n v="799"/>
    <x v="308"/>
    <s v="2022-05-19"/>
    <x v="1"/>
    <n v="2930.72"/>
    <x v="1"/>
    <x v="1"/>
    <x v="0"/>
    <n v="2"/>
    <n v="205159.98"/>
    <x v="1"/>
  </r>
  <r>
    <x v="366"/>
    <s v="Meena Yadav"/>
    <n v="31"/>
    <x v="2"/>
    <n v="241571"/>
    <n v="250000"/>
    <n v="24"/>
    <n v="18.98"/>
    <s v="Debt Consolidation"/>
    <n v="569"/>
    <x v="87"/>
    <s v="2023-08-02"/>
    <x v="0"/>
    <n v="12599.73"/>
    <x v="1"/>
    <x v="1"/>
    <x v="2"/>
    <n v="7"/>
    <n v="204640.97"/>
    <x v="3"/>
  </r>
  <r>
    <x v="367"/>
    <s v="Tarun Banerjee"/>
    <n v="60"/>
    <x v="2"/>
    <n v="147816"/>
    <n v="1000000"/>
    <n v="60"/>
    <n v="10.66"/>
    <s v="Business Expansion"/>
    <n v="653"/>
    <x v="309"/>
    <s v="2022-06-12"/>
    <x v="0"/>
    <n v="21573.25"/>
    <x v="0"/>
    <x v="18"/>
    <x v="2"/>
    <n v="0"/>
    <n v="203947.07"/>
    <x v="2"/>
  </r>
  <r>
    <x v="368"/>
    <s v="Bhavna Menon"/>
    <n v="37"/>
    <x v="2"/>
    <n v="207567"/>
    <n v="2000000"/>
    <n v="84"/>
    <n v="19.21"/>
    <s v="Debt Consolidation"/>
    <n v="510"/>
    <x v="310"/>
    <s v="2021-01-26"/>
    <x v="0"/>
    <n v="43465.96"/>
    <x v="2"/>
    <x v="13"/>
    <x v="3"/>
    <n v="0"/>
    <n v="200509.26"/>
    <x v="0"/>
  </r>
  <r>
    <x v="369"/>
    <s v="Deepa Iyer"/>
    <n v="28"/>
    <x v="1"/>
    <n v="111354"/>
    <n v="200000"/>
    <n v="36"/>
    <n v="13.05"/>
    <s v="Education"/>
    <n v="446"/>
    <x v="311"/>
    <s v="2021-12-20"/>
    <x v="0"/>
    <n v="6743.61"/>
    <x v="3"/>
    <x v="7"/>
    <x v="3"/>
    <n v="2"/>
    <n v="200000"/>
    <x v="0"/>
  </r>
  <r>
    <x v="370"/>
    <s v="Nisha Shetty"/>
    <n v="48"/>
    <x v="1"/>
    <n v="55820"/>
    <n v="200000"/>
    <n v="12"/>
    <n v="7.5"/>
    <s v="Education"/>
    <n v="652"/>
    <x v="312"/>
    <s v="2023-11-01"/>
    <x v="2"/>
    <n v="17351.48"/>
    <x v="4"/>
    <x v="16"/>
    <x v="0"/>
    <n v="2"/>
    <n v="200000"/>
    <x v="2"/>
  </r>
  <r>
    <x v="371"/>
    <s v="Amit Menon"/>
    <n v="26"/>
    <x v="4"/>
    <n v="111338"/>
    <n v="200000"/>
    <n v="24"/>
    <n v="16.260000000000002"/>
    <s v="Debt Consolidation"/>
    <n v="691"/>
    <x v="21"/>
    <s v="2022-10-25"/>
    <x v="0"/>
    <n v="9817.49"/>
    <x v="2"/>
    <x v="6"/>
    <x v="3"/>
    <n v="1"/>
    <n v="200000"/>
    <x v="2"/>
  </r>
  <r>
    <x v="372"/>
    <s v="Anita Iyer"/>
    <n v="37"/>
    <x v="2"/>
    <n v="169369"/>
    <n v="300000"/>
    <n v="240"/>
    <n v="8.64"/>
    <s v="Business Expansion"/>
    <n v="647"/>
    <x v="153"/>
    <s v="2021-06-25"/>
    <x v="2"/>
    <n v="2630.11"/>
    <x v="0"/>
    <x v="22"/>
    <x v="2"/>
    <n v="12"/>
    <n v="198214.74"/>
    <x v="3"/>
  </r>
  <r>
    <x v="373"/>
    <s v="Pallavi Menon"/>
    <n v="22"/>
    <x v="0"/>
    <n v="230252"/>
    <n v="1000000"/>
    <n v="120"/>
    <n v="9.11"/>
    <s v="Business Expansion"/>
    <n v="882"/>
    <x v="182"/>
    <s v="2022-02-25"/>
    <x v="0"/>
    <n v="12727.19"/>
    <x v="1"/>
    <x v="10"/>
    <x v="3"/>
    <n v="0"/>
    <n v="198187.03"/>
    <x v="1"/>
  </r>
  <r>
    <x v="374"/>
    <s v="Jyoti Kaur"/>
    <n v="32"/>
    <x v="1"/>
    <n v="232521"/>
    <n v="500000"/>
    <n v="60"/>
    <n v="10.8"/>
    <s v="Agriculture"/>
    <n v="811"/>
    <x v="230"/>
    <s v="2021-05-17"/>
    <x v="0"/>
    <n v="10821.41"/>
    <x v="2"/>
    <x v="4"/>
    <x v="0"/>
    <n v="0"/>
    <n v="198082.66"/>
    <x v="1"/>
  </r>
  <r>
    <x v="375"/>
    <s v="Rekha Nayak"/>
    <n v="34"/>
    <x v="4"/>
    <n v="91731"/>
    <n v="250000"/>
    <n v="36"/>
    <n v="13.37"/>
    <s v="Debt Consolidation"/>
    <n v="892"/>
    <x v="313"/>
    <s v="2023-05-22"/>
    <x v="0"/>
    <n v="8468.11"/>
    <x v="4"/>
    <x v="23"/>
    <x v="0"/>
    <n v="0"/>
    <n v="196650.91"/>
    <x v="1"/>
  </r>
  <r>
    <x v="376"/>
    <s v="Bhavna Iyer"/>
    <n v="35"/>
    <x v="4"/>
    <n v="106833"/>
    <n v="500000"/>
    <n v="84"/>
    <n v="11.43"/>
    <s v="Business Expansion"/>
    <n v="887"/>
    <x v="300"/>
    <s v="2022-12-15"/>
    <x v="0"/>
    <n v="8674.68"/>
    <x v="0"/>
    <x v="0"/>
    <x v="0"/>
    <n v="0"/>
    <n v="195518.73"/>
    <x v="1"/>
  </r>
  <r>
    <x v="377"/>
    <s v="Rohit Tiwari"/>
    <n v="48"/>
    <x v="0"/>
    <n v="234024"/>
    <n v="750000"/>
    <n v="24"/>
    <n v="9.58"/>
    <s v="Business Expansion"/>
    <n v="786"/>
    <x v="314"/>
    <s v="2023-02-14"/>
    <x v="0"/>
    <n v="34463.49"/>
    <x v="1"/>
    <x v="11"/>
    <x v="0"/>
    <n v="0"/>
    <n v="191691.46"/>
    <x v="1"/>
  </r>
  <r>
    <x v="378"/>
    <s v="Suresh Patel"/>
    <n v="40"/>
    <x v="2"/>
    <n v="75599"/>
    <n v="300000"/>
    <n v="240"/>
    <n v="21.66"/>
    <s v="Vehicle Loan"/>
    <n v="623"/>
    <x v="315"/>
    <s v="2022-01-26"/>
    <x v="0"/>
    <n v="5489.99"/>
    <x v="2"/>
    <x v="20"/>
    <x v="1"/>
    <n v="8"/>
    <n v="191298.2"/>
    <x v="3"/>
  </r>
  <r>
    <x v="379"/>
    <s v="Sarala Mehta"/>
    <n v="61"/>
    <x v="1"/>
    <n v="99567"/>
    <n v="300000"/>
    <n v="84"/>
    <n v="9.1"/>
    <s v="Vehicle Loan"/>
    <n v="344"/>
    <x v="316"/>
    <s v="2021-08-26"/>
    <x v="2"/>
    <n v="4841.96"/>
    <x v="0"/>
    <x v="0"/>
    <x v="4"/>
    <n v="0"/>
    <n v="191055.9"/>
    <x v="0"/>
  </r>
  <r>
    <x v="380"/>
    <s v="Lakshmi Tiwari"/>
    <n v="28"/>
    <x v="0"/>
    <n v="198102"/>
    <n v="200000"/>
    <n v="240"/>
    <n v="8.4600000000000009"/>
    <s v="Debt Consolidation"/>
    <n v="860"/>
    <x v="317"/>
    <s v="2021-05-10"/>
    <x v="2"/>
    <n v="1730.59"/>
    <x v="4"/>
    <x v="16"/>
    <x v="3"/>
    <n v="2"/>
    <n v="189097.28"/>
    <x v="1"/>
  </r>
  <r>
    <x v="381"/>
    <s v="Ramesh Mehta"/>
    <n v="65"/>
    <x v="1"/>
    <n v="214382"/>
    <n v="250000"/>
    <n v="12"/>
    <n v="16.73"/>
    <s v="Business Expansion"/>
    <n v="836"/>
    <x v="251"/>
    <s v="2023-06-29"/>
    <x v="2"/>
    <n v="22769.17"/>
    <x v="3"/>
    <x v="7"/>
    <x v="0"/>
    <n v="1"/>
    <n v="188523.24"/>
    <x v="1"/>
  </r>
  <r>
    <x v="382"/>
    <s v="Mohan Menon"/>
    <n v="27"/>
    <x v="4"/>
    <n v="109334"/>
    <n v="400000"/>
    <n v="60"/>
    <n v="14.88"/>
    <s v="Agriculture"/>
    <n v="316"/>
    <x v="318"/>
    <s v="2021-08-07"/>
    <x v="0"/>
    <n v="9490.7900000000009"/>
    <x v="3"/>
    <x v="14"/>
    <x v="0"/>
    <n v="1"/>
    <n v="186457.22"/>
    <x v="0"/>
  </r>
  <r>
    <x v="383"/>
    <s v="Ramesh Rao"/>
    <n v="28"/>
    <x v="0"/>
    <m/>
    <n v="250000"/>
    <n v="84"/>
    <n v="19.53"/>
    <s v="Business Expansion"/>
    <n v="860"/>
    <x v="181"/>
    <s v="2021-04-12"/>
    <x v="0"/>
    <n v="5481.02"/>
    <x v="1"/>
    <x v="11"/>
    <x v="0"/>
    <n v="2"/>
    <n v="185872.07"/>
    <x v="1"/>
  </r>
  <r>
    <x v="384"/>
    <s v="Priya Malhotra"/>
    <n v="29"/>
    <x v="1"/>
    <n v="242375"/>
    <n v="1000000"/>
    <n v="48"/>
    <n v="15.86"/>
    <s v="Education"/>
    <n v="591"/>
    <x v="68"/>
    <s v="2023-10-23"/>
    <x v="0"/>
    <n v="28268.63"/>
    <x v="4"/>
    <x v="23"/>
    <x v="4"/>
    <n v="2"/>
    <n v="185863.46"/>
    <x v="3"/>
  </r>
  <r>
    <x v="385"/>
    <s v="Smita Chatterjee"/>
    <n v="32"/>
    <x v="0"/>
    <n v="79205"/>
    <n v="300000"/>
    <n v="36"/>
    <n v="16.28"/>
    <s v="Business Expansion"/>
    <n v="592"/>
    <x v="319"/>
    <s v="2022-08-10"/>
    <x v="0"/>
    <n v="10588.63"/>
    <x v="1"/>
    <x v="10"/>
    <x v="0"/>
    <n v="2"/>
    <n v="185642.8"/>
    <x v="3"/>
  </r>
  <r>
    <x v="386"/>
    <s v="Rani Malhotra"/>
    <n v="25"/>
    <x v="1"/>
    <n v="248061"/>
    <n v="200000"/>
    <n v="48"/>
    <n v="10.15"/>
    <s v="Agriculture"/>
    <n v="302"/>
    <x v="45"/>
    <s v="2021-04-18"/>
    <x v="2"/>
    <n v="5086.9399999999996"/>
    <x v="3"/>
    <x v="7"/>
    <x v="1"/>
    <n v="5"/>
    <n v="181687.02"/>
    <x v="0"/>
  </r>
  <r>
    <x v="387"/>
    <s v="Amit Kulkarni"/>
    <n v="63"/>
    <x v="3"/>
    <n v="33206"/>
    <n v="400000"/>
    <n v="24"/>
    <n v="19.53"/>
    <s v="Debt Consolidation"/>
    <n v="608"/>
    <x v="320"/>
    <s v="2021-07-03"/>
    <x v="0"/>
    <n v="20266.599999999999"/>
    <x v="4"/>
    <x v="23"/>
    <x v="0"/>
    <n v="1"/>
    <n v="181120.72"/>
    <x v="3"/>
  </r>
  <r>
    <x v="388"/>
    <s v="Ashok Das"/>
    <n v="43"/>
    <x v="1"/>
    <n v="245770"/>
    <n v="750000"/>
    <n v="60"/>
    <n v="15.56"/>
    <s v="Personal"/>
    <n v="387"/>
    <x v="321"/>
    <s v="2022-06-02"/>
    <x v="2"/>
    <n v="18063.669999999998"/>
    <x v="0"/>
    <x v="2"/>
    <x v="0"/>
    <n v="1"/>
    <n v="180994.4"/>
    <x v="0"/>
  </r>
  <r>
    <x v="389"/>
    <s v="Mohan Pillai"/>
    <n v="64"/>
    <x v="4"/>
    <n v="110267"/>
    <n v="400000"/>
    <n v="240"/>
    <n v="20.010000000000002"/>
    <s v="Debt Consolidation"/>
    <n v="683"/>
    <x v="161"/>
    <s v="2023-08-28"/>
    <x v="2"/>
    <n v="6798.44"/>
    <x v="4"/>
    <x v="9"/>
    <x v="2"/>
    <n v="6"/>
    <n v="179730.54"/>
    <x v="2"/>
  </r>
  <r>
    <x v="390"/>
    <s v="Anil Shah"/>
    <n v="55"/>
    <x v="3"/>
    <n v="221112"/>
    <n v="500000"/>
    <n v="36"/>
    <n v="13.53"/>
    <s v="Debt Consolidation"/>
    <n v="394"/>
    <x v="322"/>
    <s v="2022-11-24"/>
    <x v="0"/>
    <n v="16974.900000000001"/>
    <x v="4"/>
    <x v="9"/>
    <x v="0"/>
    <n v="0"/>
    <n v="179174.39"/>
    <x v="0"/>
  </r>
  <r>
    <x v="391"/>
    <s v="Rekha Kapoor"/>
    <n v="39"/>
    <x v="1"/>
    <n v="232145"/>
    <n v="200000"/>
    <n v="84"/>
    <n v="15.44"/>
    <s v="Education"/>
    <n v="879"/>
    <x v="323"/>
    <s v="2021-04-11"/>
    <x v="0"/>
    <n v="3908.89"/>
    <x v="2"/>
    <x v="6"/>
    <x v="1"/>
    <n v="10"/>
    <n v="178891.99"/>
    <x v="1"/>
  </r>
  <r>
    <x v="392"/>
    <s v="Sanjay Kaur"/>
    <n v="48"/>
    <x v="0"/>
    <n v="223209"/>
    <n v="200000"/>
    <n v="84"/>
    <n v="10.55"/>
    <s v="Agriculture"/>
    <n v="452"/>
    <x v="324"/>
    <s v="2021-09-06"/>
    <x v="0"/>
    <n v="3377.35"/>
    <x v="0"/>
    <x v="8"/>
    <x v="0"/>
    <n v="0"/>
    <n v="178722.7"/>
    <x v="0"/>
  </r>
  <r>
    <x v="393"/>
    <s v="Nisha Shetty"/>
    <n v="49"/>
    <x v="0"/>
    <n v="145272"/>
    <n v="1000000"/>
    <n v="24"/>
    <n v="19.690000000000001"/>
    <s v="Personal"/>
    <n v="594"/>
    <x v="325"/>
    <s v="2023-05-02"/>
    <x v="0"/>
    <n v="50744.49"/>
    <x v="4"/>
    <x v="21"/>
    <x v="2"/>
    <n v="4"/>
    <n v="177939.26"/>
    <x v="3"/>
  </r>
  <r>
    <x v="394"/>
    <s v="Jyoti Nair"/>
    <n v="62"/>
    <x v="1"/>
    <n v="106187"/>
    <n v="300000"/>
    <n v="12"/>
    <n v="15.59"/>
    <s v="Personal"/>
    <n v="420"/>
    <x v="326"/>
    <s v="2023-11-16"/>
    <x v="0"/>
    <n v="27161.09"/>
    <x v="1"/>
    <x v="1"/>
    <x v="0"/>
    <n v="2"/>
    <n v="177775.09"/>
    <x v="0"/>
  </r>
  <r>
    <x v="395"/>
    <s v="Anita Kaur"/>
    <n v="49"/>
    <x v="1"/>
    <n v="123586"/>
    <n v="400000"/>
    <n v="12"/>
    <n v="12.34"/>
    <s v="Medical"/>
    <n v="421"/>
    <x v="327"/>
    <s v="2023-04-13"/>
    <x v="2"/>
    <n v="35603.17"/>
    <x v="4"/>
    <x v="9"/>
    <x v="0"/>
    <n v="1"/>
    <n v="175700.03"/>
    <x v="0"/>
  </r>
  <r>
    <x v="396"/>
    <s v="Sanjay Chatterjee"/>
    <n v="42"/>
    <x v="3"/>
    <n v="159989"/>
    <n v="400000"/>
    <n v="12"/>
    <n v="12.85"/>
    <s v="Business Expansion"/>
    <n v="877"/>
    <x v="328"/>
    <s v="2023-02-15"/>
    <x v="0"/>
    <n v="35698.769999999997"/>
    <x v="4"/>
    <x v="24"/>
    <x v="2"/>
    <n v="3"/>
    <n v="175097.75"/>
    <x v="1"/>
  </r>
  <r>
    <x v="397"/>
    <s v="Meena Rao"/>
    <n v="39"/>
    <x v="1"/>
    <n v="151846"/>
    <n v="200000"/>
    <n v="24"/>
    <n v="11.44"/>
    <s v="Business Expansion"/>
    <n v="713"/>
    <x v="329"/>
    <s v="2022-05-22"/>
    <x v="0"/>
    <n v="9362.48"/>
    <x v="3"/>
    <x v="5"/>
    <x v="0"/>
    <n v="2"/>
    <n v="174721.3"/>
    <x v="2"/>
  </r>
  <r>
    <x v="398"/>
    <s v="Ashok Mehta"/>
    <n v="56"/>
    <x v="3"/>
    <n v="47984"/>
    <n v="400000"/>
    <n v="48"/>
    <n v="12.09"/>
    <s v="Medical"/>
    <n v="749"/>
    <x v="330"/>
    <s v="2023-01-30"/>
    <x v="0"/>
    <n v="10551.22"/>
    <x v="0"/>
    <x v="8"/>
    <x v="2"/>
    <n v="11"/>
    <n v="172093.65"/>
    <x v="2"/>
  </r>
  <r>
    <x v="399"/>
    <s v="Smita Singh"/>
    <n v="40"/>
    <x v="1"/>
    <n v="19696"/>
    <n v="300000"/>
    <n v="24"/>
    <n v="14.38"/>
    <s v="Debt Consolidation"/>
    <n v="774"/>
    <x v="331"/>
    <s v="2022-04-19"/>
    <x v="0"/>
    <n v="14457.78"/>
    <x v="1"/>
    <x v="15"/>
    <x v="4"/>
    <n v="0"/>
    <n v="169879.98"/>
    <x v="1"/>
  </r>
  <r>
    <x v="400"/>
    <s v="Rani Menon"/>
    <n v="56"/>
    <x v="4"/>
    <n v="90381"/>
    <n v="2000000"/>
    <n v="24"/>
    <n v="19.899999999999999"/>
    <s v="Debt Consolidation"/>
    <n v="874"/>
    <x v="332"/>
    <s v="2022-02-18"/>
    <x v="0"/>
    <n v="101693.93"/>
    <x v="4"/>
    <x v="9"/>
    <x v="0"/>
    <n v="2"/>
    <n v="169509.26"/>
    <x v="1"/>
  </r>
  <r>
    <x v="401"/>
    <s v="Lakshmi Shah"/>
    <n v="42"/>
    <x v="4"/>
    <n v="17772"/>
    <n v="1000000"/>
    <n v="12"/>
    <n v="19.559999999999999"/>
    <s v="Home Purchase"/>
    <n v="721"/>
    <x v="333"/>
    <s v="2023-07-17"/>
    <x v="0"/>
    <n v="92424.05"/>
    <x v="3"/>
    <x v="7"/>
    <x v="0"/>
    <n v="0"/>
    <n v="168183.55"/>
    <x v="2"/>
  </r>
  <r>
    <x v="402"/>
    <s v="Naveen Iyer"/>
    <n v="45"/>
    <x v="3"/>
    <n v="39944"/>
    <n v="200000"/>
    <n v="84"/>
    <n v="12.12"/>
    <s v="Vehicle Loan"/>
    <n v="487"/>
    <x v="334"/>
    <s v="2022-04-24"/>
    <x v="0"/>
    <n v="3543.39"/>
    <x v="1"/>
    <x v="3"/>
    <x v="0"/>
    <n v="2"/>
    <n v="168109.49"/>
    <x v="0"/>
  </r>
  <r>
    <x v="403"/>
    <s v="Ravi Yadav"/>
    <n v="22"/>
    <x v="2"/>
    <n v="183025"/>
    <n v="1000000"/>
    <n v="12"/>
    <n v="19.88"/>
    <s v="Medical"/>
    <n v="742"/>
    <x v="155"/>
    <s v="2023-12-15"/>
    <x v="2"/>
    <n v="92577.08"/>
    <x v="2"/>
    <x v="6"/>
    <x v="0"/>
    <n v="0"/>
    <n v="166806.28"/>
    <x v="2"/>
  </r>
  <r>
    <x v="404"/>
    <s v="Priya Mehta"/>
    <n v="37"/>
    <x v="0"/>
    <n v="139141"/>
    <n v="1000000"/>
    <n v="24"/>
    <n v="15.68"/>
    <s v="Personal"/>
    <n v="776"/>
    <x v="335"/>
    <s v="2021-09-19"/>
    <x v="0"/>
    <n v="48810.35"/>
    <x v="4"/>
    <x v="23"/>
    <x v="0"/>
    <n v="0"/>
    <n v="165343.01999999999"/>
    <x v="1"/>
  </r>
  <r>
    <x v="405"/>
    <s v="Sunita Reddy"/>
    <n v="54"/>
    <x v="1"/>
    <n v="19247"/>
    <n v="750000"/>
    <n v="120"/>
    <n v="21.94"/>
    <s v="Medical"/>
    <n v="851"/>
    <x v="336"/>
    <s v="2021-06-13"/>
    <x v="3"/>
    <n v="15471.64"/>
    <x v="2"/>
    <x v="6"/>
    <x v="1"/>
    <n v="9"/>
    <n v="165172.01"/>
    <x v="1"/>
  </r>
  <r>
    <x v="406"/>
    <s v="Sarala Sharma"/>
    <n v="65"/>
    <x v="3"/>
    <n v="193706"/>
    <n v="500000"/>
    <n v="60"/>
    <n v="18.64"/>
    <s v="Medical"/>
    <n v="414"/>
    <x v="337"/>
    <s v="2021-02-02"/>
    <x v="0"/>
    <n v="12871.43"/>
    <x v="4"/>
    <x v="16"/>
    <x v="2"/>
    <n v="2"/>
    <n v="164055.67999999999"/>
    <x v="0"/>
  </r>
  <r>
    <x v="407"/>
    <s v="Siddharth Chatterjee"/>
    <n v="49"/>
    <x v="4"/>
    <n v="240678"/>
    <n v="750000"/>
    <n v="120"/>
    <n v="13.97"/>
    <s v="Personal"/>
    <n v="402"/>
    <x v="338"/>
    <s v="2023-07-03"/>
    <x v="0"/>
    <n v="11631.46"/>
    <x v="3"/>
    <x v="14"/>
    <x v="4"/>
    <n v="2"/>
    <n v="163774.42000000001"/>
    <x v="0"/>
  </r>
  <r>
    <x v="408"/>
    <s v="Pallavi Kulkarni"/>
    <n v="30"/>
    <x v="1"/>
    <n v="203512"/>
    <n v="200000"/>
    <n v="240"/>
    <n v="10.3"/>
    <s v="Business Expansion"/>
    <n v="573"/>
    <x v="339"/>
    <s v="2022-11-14"/>
    <x v="0"/>
    <n v="1969.96"/>
    <x v="3"/>
    <x v="14"/>
    <x v="2"/>
    <n v="10"/>
    <n v="162767.76"/>
    <x v="3"/>
  </r>
  <r>
    <x v="409"/>
    <s v="Usha Malhotra"/>
    <n v="22"/>
    <x v="2"/>
    <n v="29498"/>
    <n v="300000"/>
    <n v="84"/>
    <n v="16.86"/>
    <s v="Education"/>
    <n v="767"/>
    <x v="340"/>
    <s v="2022-03-28"/>
    <x v="0"/>
    <n v="6106.49"/>
    <x v="4"/>
    <x v="21"/>
    <x v="0"/>
    <n v="2"/>
    <n v="162603.98000000001"/>
    <x v="1"/>
  </r>
  <r>
    <x v="410"/>
    <s v="Ajay Patel"/>
    <n v="27"/>
    <x v="2"/>
    <n v="50572"/>
    <n v="400000"/>
    <n v="36"/>
    <n v="8.23"/>
    <s v="Debt Consolidation"/>
    <n v="635"/>
    <x v="341"/>
    <s v="2023-02-27"/>
    <x v="2"/>
    <n v="12577.03"/>
    <x v="0"/>
    <x v="2"/>
    <x v="2"/>
    <n v="5"/>
    <n v="162294.13"/>
    <x v="3"/>
  </r>
  <r>
    <x v="411"/>
    <s v="Kiran Pillai"/>
    <n v="52"/>
    <x v="1"/>
    <n v="22809"/>
    <n v="250000"/>
    <n v="120"/>
    <n v="18.989999999999998"/>
    <s v="Debt Consolidation"/>
    <n v="406"/>
    <x v="342"/>
    <s v="2022-02-16"/>
    <x v="0"/>
    <n v="4665.18"/>
    <x v="1"/>
    <x v="10"/>
    <x v="0"/>
    <n v="0"/>
    <n v="161828.1"/>
    <x v="0"/>
  </r>
  <r>
    <x v="412"/>
    <s v="Abhishek Tiwari"/>
    <n v="33"/>
    <x v="3"/>
    <n v="40248"/>
    <n v="500000"/>
    <n v="36"/>
    <n v="10.99"/>
    <s v="Business Expansion"/>
    <n v="662"/>
    <x v="343"/>
    <s v="2023-04-29"/>
    <x v="0"/>
    <n v="16366.99"/>
    <x v="4"/>
    <x v="16"/>
    <x v="0"/>
    <n v="0"/>
    <n v="161203.31"/>
    <x v="2"/>
  </r>
  <r>
    <x v="413"/>
    <s v="Arjun Saxena"/>
    <n v="31"/>
    <x v="2"/>
    <n v="248847"/>
    <n v="500000"/>
    <n v="84"/>
    <n v="14.21"/>
    <s v="Debt Consolidation"/>
    <s v="Not Available"/>
    <x v="344"/>
    <s v="2021-02-17"/>
    <x v="0"/>
    <n v="9428.11"/>
    <x v="1"/>
    <x v="11"/>
    <x v="2"/>
    <n v="9"/>
    <n v="160588.04"/>
    <x v="4"/>
  </r>
  <r>
    <x v="414"/>
    <s v="Divya Singh"/>
    <n v="48"/>
    <x v="1"/>
    <n v="175793"/>
    <n v="300000"/>
    <n v="48"/>
    <n v="16.75"/>
    <s v="Agriculture"/>
    <n v="843"/>
    <x v="345"/>
    <s v="2023-10-09"/>
    <x v="2"/>
    <n v="8617.76"/>
    <x v="0"/>
    <x v="22"/>
    <x v="0"/>
    <n v="0"/>
    <n v="160392.29"/>
    <x v="1"/>
  </r>
  <r>
    <x v="415"/>
    <s v="Arjun Gupta"/>
    <n v="43"/>
    <x v="1"/>
    <n v="249495"/>
    <n v="400000"/>
    <n v="60"/>
    <n v="20.239999999999998"/>
    <s v="Vehicle Loan"/>
    <n v="681"/>
    <x v="346"/>
    <s v="2023-04-17"/>
    <x v="0"/>
    <n v="10651.04"/>
    <x v="4"/>
    <x v="9"/>
    <x v="0"/>
    <n v="0"/>
    <n v="160351.6"/>
    <x v="2"/>
  </r>
  <r>
    <x v="416"/>
    <s v="Anita Kulkarni"/>
    <n v="44"/>
    <x v="2"/>
    <n v="86019"/>
    <n v="200000"/>
    <n v="60"/>
    <n v="10.84"/>
    <s v="Personal"/>
    <n v="623"/>
    <x v="49"/>
    <s v="2022-02-06"/>
    <x v="0"/>
    <n v="4332.54"/>
    <x v="3"/>
    <x v="7"/>
    <x v="0"/>
    <n v="2"/>
    <n v="157107.85"/>
    <x v="3"/>
  </r>
  <r>
    <x v="417"/>
    <s v="Jyoti Saxena"/>
    <n v="24"/>
    <x v="0"/>
    <n v="87198"/>
    <n v="300000"/>
    <n v="36"/>
    <n v="16.46"/>
    <s v="Debt Consolidation"/>
    <n v="339"/>
    <x v="347"/>
    <s v="2021-05-07"/>
    <x v="0"/>
    <n v="10615.37"/>
    <x v="2"/>
    <x v="6"/>
    <x v="0"/>
    <n v="2"/>
    <n v="156692.5"/>
    <x v="0"/>
  </r>
  <r>
    <x v="418"/>
    <s v="Smita Malhotra"/>
    <n v="63"/>
    <x v="2"/>
    <n v="16993"/>
    <n v="250000"/>
    <n v="48"/>
    <n v="14.86"/>
    <s v="Business Expansion"/>
    <n v="570"/>
    <x v="348"/>
    <s v="2021-01-25"/>
    <x v="0"/>
    <n v="6939.96"/>
    <x v="4"/>
    <x v="16"/>
    <x v="2"/>
    <n v="10"/>
    <n v="156310.54"/>
    <x v="3"/>
  </r>
  <r>
    <x v="419"/>
    <s v="Pooja Reddy"/>
    <n v="29"/>
    <x v="2"/>
    <n v="81273"/>
    <n v="500000"/>
    <n v="24"/>
    <n v="20.41"/>
    <s v="Home Purchase"/>
    <n v="567"/>
    <x v="241"/>
    <s v="2023-10-28"/>
    <x v="0"/>
    <n v="25548.16"/>
    <x v="4"/>
    <x v="9"/>
    <x v="0"/>
    <n v="2"/>
    <n v="155099.84"/>
    <x v="3"/>
  </r>
  <r>
    <x v="420"/>
    <s v="Ashok Patel"/>
    <n v="30"/>
    <x v="2"/>
    <n v="47272"/>
    <n v="300000"/>
    <n v="12"/>
    <n v="13.94"/>
    <s v="Personal"/>
    <n v="689"/>
    <x v="349"/>
    <s v="2022-02-20"/>
    <x v="0"/>
    <n v="26927.67"/>
    <x v="3"/>
    <x v="14"/>
    <x v="2"/>
    <n v="7"/>
    <n v="154590.57999999999"/>
    <x v="2"/>
  </r>
  <r>
    <x v="421"/>
    <s v="Tarun Chatterjee"/>
    <n v="65"/>
    <x v="4"/>
    <n v="127459"/>
    <n v="750000"/>
    <n v="24"/>
    <n v="16.190000000000001"/>
    <s v="Business Expansion"/>
    <n v="649"/>
    <x v="46"/>
    <s v="2023-09-02"/>
    <x v="0"/>
    <n v="36790.46"/>
    <x v="4"/>
    <x v="9"/>
    <x v="2"/>
    <n v="5"/>
    <n v="153994.54999999999"/>
    <x v="3"/>
  </r>
  <r>
    <x v="422"/>
    <s v="Suresh Pillai"/>
    <n v="59"/>
    <x v="2"/>
    <n v="101730"/>
    <n v="250000"/>
    <n v="36"/>
    <n v="17.23"/>
    <s v="Personal"/>
    <n v="402"/>
    <x v="284"/>
    <s v="2022-10-31"/>
    <x v="0"/>
    <n v="8941.82"/>
    <x v="4"/>
    <x v="24"/>
    <x v="0"/>
    <n v="0"/>
    <n v="153428.34"/>
    <x v="0"/>
  </r>
  <r>
    <x v="423"/>
    <s v="Dinesh Nayak"/>
    <n v="59"/>
    <x v="1"/>
    <n v="207396"/>
    <n v="300000"/>
    <n v="24"/>
    <n v="9.08"/>
    <s v="Medical"/>
    <n v="446"/>
    <x v="350"/>
    <s v="2022-09-26"/>
    <x v="0"/>
    <n v="13716.44"/>
    <x v="4"/>
    <x v="9"/>
    <x v="3"/>
    <n v="2"/>
    <n v="151862.45000000001"/>
    <x v="0"/>
  </r>
  <r>
    <x v="424"/>
    <s v="Divya Sharma"/>
    <n v="34"/>
    <x v="2"/>
    <n v="109631"/>
    <n v="500000"/>
    <n v="48"/>
    <n v="7.58"/>
    <s v="Business Expansion"/>
    <n v="636"/>
    <x v="225"/>
    <s v="2021-02-18"/>
    <x v="0"/>
    <n v="12108.13"/>
    <x v="3"/>
    <x v="12"/>
    <x v="4"/>
    <n v="1"/>
    <n v="151285.85999999999"/>
    <x v="3"/>
  </r>
  <r>
    <x v="425"/>
    <s v="Vikram Verma"/>
    <n v="53"/>
    <x v="3"/>
    <n v="247618"/>
    <n v="250000"/>
    <n v="12"/>
    <n v="11.62"/>
    <s v="Vehicle Loan"/>
    <n v="703"/>
    <x v="351"/>
    <s v="2021-11-14"/>
    <x v="1"/>
    <n v="22167.78"/>
    <x v="4"/>
    <x v="24"/>
    <x v="0"/>
    <n v="0"/>
    <n v="150244.99"/>
    <x v="2"/>
  </r>
  <r>
    <x v="426"/>
    <s v="Usha Iyer"/>
    <n v="36"/>
    <x v="1"/>
    <n v="144806"/>
    <n v="150000"/>
    <n v="36"/>
    <n v="18.89"/>
    <s v="Medical"/>
    <n v="594"/>
    <x v="352"/>
    <s v="2021-07-21"/>
    <x v="2"/>
    <n v="5490.06"/>
    <x v="1"/>
    <x v="11"/>
    <x v="2"/>
    <n v="11"/>
    <n v="150000"/>
    <x v="3"/>
  </r>
  <r>
    <x v="427"/>
    <s v="Rani Kulkarni"/>
    <n v="61"/>
    <x v="1"/>
    <n v="124758"/>
    <n v="250000"/>
    <n v="36"/>
    <n v="9.02"/>
    <s v="Home Purchase"/>
    <n v="807"/>
    <x v="221"/>
    <s v="2022-05-04"/>
    <x v="1"/>
    <n v="7952.26"/>
    <x v="0"/>
    <x v="8"/>
    <x v="0"/>
    <n v="2"/>
    <n v="149801.51999999999"/>
    <x v="1"/>
  </r>
  <r>
    <x v="428"/>
    <s v="Pooja Yadav"/>
    <n v="56"/>
    <x v="1"/>
    <n v="53362"/>
    <n v="200000"/>
    <n v="24"/>
    <n v="11.16"/>
    <s v="Debt Consolidation"/>
    <n v="863"/>
    <x v="353"/>
    <s v="2022-06-24"/>
    <x v="0"/>
    <n v="9336.43"/>
    <x v="2"/>
    <x v="19"/>
    <x v="1"/>
    <n v="1"/>
    <n v="149583.28"/>
    <x v="1"/>
  </r>
  <r>
    <x v="429"/>
    <s v="Sarala Jain"/>
    <n v="44"/>
    <x v="0"/>
    <n v="234585"/>
    <n v="200000"/>
    <n v="24"/>
    <n v="11.63"/>
    <s v="Debt Consolidation"/>
    <n v="350"/>
    <x v="354"/>
    <s v="2022-04-22"/>
    <x v="2"/>
    <n v="9380.17"/>
    <x v="0"/>
    <x v="18"/>
    <x v="1"/>
    <n v="12"/>
    <n v="149347.07999999999"/>
    <x v="0"/>
  </r>
  <r>
    <x v="430"/>
    <s v="Naveen Dubey"/>
    <n v="43"/>
    <x v="0"/>
    <n v="87909"/>
    <n v="250000"/>
    <n v="12"/>
    <n v="15.05"/>
    <s v="Debt Consolidation"/>
    <n v="595"/>
    <x v="89"/>
    <s v="2022-12-13"/>
    <x v="1"/>
    <n v="22570.48"/>
    <x v="3"/>
    <x v="17"/>
    <x v="2"/>
    <n v="11"/>
    <n v="148432.84"/>
    <x v="3"/>
  </r>
  <r>
    <x v="431"/>
    <s v="Kavitha Singh"/>
    <n v="33"/>
    <x v="4"/>
    <n v="240593"/>
    <n v="400000"/>
    <n v="84"/>
    <n v="8.11"/>
    <s v="Personal"/>
    <n v="362"/>
    <x v="45"/>
    <s v="2021-04-24"/>
    <x v="0"/>
    <n v="6256.43"/>
    <x v="4"/>
    <x v="23"/>
    <x v="3"/>
    <n v="0"/>
    <n v="146614.57999999999"/>
    <x v="0"/>
  </r>
  <r>
    <x v="432"/>
    <s v="Meena Kulkarni"/>
    <n v="26"/>
    <x v="0"/>
    <n v="105914"/>
    <n v="250000"/>
    <n v="36"/>
    <n v="16.72"/>
    <s v="Vehicle Loan"/>
    <n v="643"/>
    <x v="190"/>
    <s v="2022-06-21"/>
    <x v="0"/>
    <n v="8878.3799999999992"/>
    <x v="2"/>
    <x v="19"/>
    <x v="3"/>
    <n v="1"/>
    <n v="146122.95000000001"/>
    <x v="3"/>
  </r>
  <r>
    <x v="433"/>
    <s v="Smita Pillai"/>
    <n v="28"/>
    <x v="1"/>
    <n v="186979"/>
    <n v="750000"/>
    <n v="180"/>
    <n v="12.96"/>
    <s v="Debt Consolidation"/>
    <n v="395"/>
    <x v="355"/>
    <s v="2023-09-29"/>
    <x v="0"/>
    <n v="9469.58"/>
    <x v="0"/>
    <x v="2"/>
    <x v="1"/>
    <n v="8"/>
    <n v="144893.84"/>
    <x v="0"/>
  </r>
  <r>
    <x v="434"/>
    <s v="Chetna Menon"/>
    <n v="34"/>
    <x v="0"/>
    <n v="178621"/>
    <n v="1500000"/>
    <n v="60"/>
    <n v="17.46"/>
    <s v="Education"/>
    <n v="482"/>
    <x v="356"/>
    <s v="2022-11-17"/>
    <x v="0"/>
    <n v="37650.879999999997"/>
    <x v="1"/>
    <x v="15"/>
    <x v="1"/>
    <n v="11"/>
    <n v="144568.32000000001"/>
    <x v="0"/>
  </r>
  <r>
    <x v="435"/>
    <s v="Divya Chaudhary"/>
    <n v="48"/>
    <x v="1"/>
    <n v="58680"/>
    <n v="500000"/>
    <n v="24"/>
    <n v="10.86"/>
    <s v="Vehicle Loan"/>
    <n v="353"/>
    <x v="161"/>
    <s v="2023-09-07"/>
    <x v="0"/>
    <n v="23271.43"/>
    <x v="1"/>
    <x v="3"/>
    <x v="0"/>
    <n v="1"/>
    <n v="143947.12"/>
    <x v="0"/>
  </r>
  <r>
    <x v="436"/>
    <s v="Vinod Pillai"/>
    <n v="37"/>
    <x v="4"/>
    <n v="115393"/>
    <n v="150000"/>
    <n v="120"/>
    <n v="8.1300000000000008"/>
    <s v="Agriculture"/>
    <n v="690"/>
    <x v="214"/>
    <s v="2021-10-05"/>
    <x v="0"/>
    <n v="1830.23"/>
    <x v="2"/>
    <x v="13"/>
    <x v="0"/>
    <n v="1"/>
    <n v="143411.17000000001"/>
    <x v="2"/>
  </r>
  <r>
    <x v="437"/>
    <s v="Priya Kapoor"/>
    <n v="24"/>
    <x v="1"/>
    <n v="87867"/>
    <n v="750000"/>
    <n v="120"/>
    <n v="11.86"/>
    <s v="Vehicle Loan"/>
    <n v="361"/>
    <x v="344"/>
    <s v="2021-03-10"/>
    <x v="0"/>
    <n v="10699.71"/>
    <x v="4"/>
    <x v="24"/>
    <x v="2"/>
    <n v="6"/>
    <n v="143326.44"/>
    <x v="0"/>
  </r>
  <r>
    <x v="438"/>
    <s v="Sunita Dubey"/>
    <n v="58"/>
    <x v="4"/>
    <n v="80004"/>
    <n v="150000"/>
    <n v="60"/>
    <n v="19.059999999999999"/>
    <s v="Education"/>
    <n v="550"/>
    <x v="357"/>
    <s v="2022-07-19"/>
    <x v="0"/>
    <n v="3896.04"/>
    <x v="0"/>
    <x v="2"/>
    <x v="0"/>
    <n v="0"/>
    <n v="142987.13"/>
    <x v="3"/>
  </r>
  <r>
    <x v="439"/>
    <s v="Kavitha Chatterjee"/>
    <n v="47"/>
    <x v="2"/>
    <n v="63246"/>
    <n v="150000"/>
    <n v="240"/>
    <n v="11.27"/>
    <s v="Agriculture"/>
    <n v="426"/>
    <x v="358"/>
    <s v="2022-01-21"/>
    <x v="2"/>
    <n v="1575.94"/>
    <x v="2"/>
    <x v="13"/>
    <x v="0"/>
    <n v="2"/>
    <n v="142908.26999999999"/>
    <x v="0"/>
  </r>
  <r>
    <x v="440"/>
    <s v="Smita Mishra"/>
    <n v="22"/>
    <x v="2"/>
    <n v="207984"/>
    <n v="150000"/>
    <n v="48"/>
    <n v="12.25"/>
    <s v="Personal"/>
    <n v="452"/>
    <x v="73"/>
    <s v="2021-04-11"/>
    <x v="0"/>
    <n v="3968.51"/>
    <x v="1"/>
    <x v="1"/>
    <x v="0"/>
    <n v="1"/>
    <n v="142856.68"/>
    <x v="0"/>
  </r>
  <r>
    <x v="441"/>
    <s v="Sarala Saxena"/>
    <n v="38"/>
    <x v="1"/>
    <n v="166427"/>
    <n v="250000"/>
    <n v="120"/>
    <n v="18.170000000000002"/>
    <s v="Vehicle Loan"/>
    <n v="535"/>
    <x v="359"/>
    <s v="2023-11-23"/>
    <x v="0"/>
    <n v="4532.03"/>
    <x v="2"/>
    <x v="13"/>
    <x v="0"/>
    <n v="0"/>
    <n v="139871.67000000001"/>
    <x v="0"/>
  </r>
  <r>
    <x v="442"/>
    <s v="Vikram Tiwari"/>
    <n v="37"/>
    <x v="2"/>
    <n v="184114"/>
    <n v="300000"/>
    <n v="24"/>
    <n v="18"/>
    <s v="Education"/>
    <n v="312"/>
    <x v="360"/>
    <s v="2021-02-18"/>
    <x v="0"/>
    <n v="14977.23"/>
    <x v="1"/>
    <x v="1"/>
    <x v="1"/>
    <n v="6"/>
    <n v="138245.92000000001"/>
    <x v="0"/>
  </r>
  <r>
    <x v="443"/>
    <s v="Mohan Tiwari"/>
    <n v="59"/>
    <x v="3"/>
    <n v="91232"/>
    <n v="150000"/>
    <n v="12"/>
    <n v="14.36"/>
    <s v="Medical"/>
    <n v="554"/>
    <x v="80"/>
    <s v="2022-07-02"/>
    <x v="0"/>
    <n v="13493.49"/>
    <x v="2"/>
    <x v="4"/>
    <x v="2"/>
    <n v="6"/>
    <n v="137855.85999999999"/>
    <x v="3"/>
  </r>
  <r>
    <x v="444"/>
    <s v="Abhishek Verma"/>
    <n v="46"/>
    <x v="3"/>
    <n v="145294"/>
    <n v="1500000"/>
    <n v="120"/>
    <n v="21.3"/>
    <s v="Vehicle Loan"/>
    <s v="Not Available"/>
    <x v="169"/>
    <s v="2022-05-08"/>
    <x v="0"/>
    <n v="30292.799999999999"/>
    <x v="0"/>
    <x v="18"/>
    <x v="3"/>
    <n v="0"/>
    <n v="136824"/>
    <x v="4"/>
  </r>
  <r>
    <x v="445"/>
    <s v="Abhishek Rao"/>
    <n v="26"/>
    <x v="3"/>
    <n v="218080"/>
    <n v="400000"/>
    <n v="120"/>
    <n v="8.1199999999999992"/>
    <s v="Vehicle Loan"/>
    <n v="333"/>
    <x v="361"/>
    <s v="2021-09-12"/>
    <x v="0"/>
    <n v="4878.5"/>
    <x v="1"/>
    <x v="15"/>
    <x v="0"/>
    <n v="0"/>
    <n v="136561"/>
    <x v="0"/>
  </r>
  <r>
    <x v="446"/>
    <s v="Geeta Jain"/>
    <n v="30"/>
    <x v="3"/>
    <n v="34988"/>
    <n v="200000"/>
    <n v="24"/>
    <n v="19.22"/>
    <s v="Business Expansion"/>
    <n v="411"/>
    <x v="362"/>
    <s v="2023-04-13"/>
    <x v="3"/>
    <n v="10103.11"/>
    <x v="1"/>
    <x v="11"/>
    <x v="3"/>
    <n v="0"/>
    <n v="136350.41"/>
    <x v="0"/>
  </r>
  <r>
    <x v="447"/>
    <s v="Ajay Reddy"/>
    <n v="61"/>
    <x v="3"/>
    <n v="214946"/>
    <n v="150000"/>
    <n v="48"/>
    <n v="11.34"/>
    <s v="Vehicle Loan"/>
    <n v="460"/>
    <x v="363"/>
    <s v="2021-11-20"/>
    <x v="0"/>
    <n v="3901.64"/>
    <x v="0"/>
    <x v="0"/>
    <x v="0"/>
    <n v="2"/>
    <n v="135954.1"/>
    <x v="0"/>
  </r>
  <r>
    <x v="448"/>
    <s v="Tarun Jain"/>
    <n v="33"/>
    <x v="0"/>
    <n v="186054"/>
    <n v="150000"/>
    <n v="60"/>
    <n v="10.31"/>
    <s v="Personal"/>
    <n v="687"/>
    <x v="179"/>
    <s v="2021-11-14"/>
    <x v="2"/>
    <n v="3209.98"/>
    <x v="4"/>
    <x v="21"/>
    <x v="0"/>
    <n v="1"/>
    <n v="135555.09"/>
    <x v="2"/>
  </r>
  <r>
    <x v="449"/>
    <s v="Kavitha Yadav"/>
    <n v="33"/>
    <x v="0"/>
    <n v="235963"/>
    <n v="300000"/>
    <n v="12"/>
    <n v="8.7100000000000009"/>
    <s v="Business Expansion"/>
    <n v="621"/>
    <x v="364"/>
    <s v="2022-07-10"/>
    <x v="0"/>
    <n v="26195.119999999999"/>
    <x v="1"/>
    <x v="10"/>
    <x v="0"/>
    <n v="2"/>
    <n v="134970.74"/>
    <x v="3"/>
  </r>
  <r>
    <x v="450"/>
    <s v="Rekha Mehta"/>
    <n v="28"/>
    <x v="0"/>
    <n v="71127"/>
    <n v="200000"/>
    <n v="180"/>
    <n v="13.42"/>
    <s v="Home Purchase"/>
    <n v="802"/>
    <x v="288"/>
    <s v="2022-10-31"/>
    <x v="2"/>
    <n v="2586.0100000000002"/>
    <x v="1"/>
    <x v="11"/>
    <x v="0"/>
    <n v="2"/>
    <n v="134832.54999999999"/>
    <x v="1"/>
  </r>
  <r>
    <x v="451"/>
    <s v="Vinod Pillai"/>
    <n v="52"/>
    <x v="1"/>
    <n v="61566"/>
    <n v="300000"/>
    <n v="84"/>
    <n v="11.73"/>
    <s v="Agriculture"/>
    <n v="889"/>
    <x v="365"/>
    <s v="2023-03-30"/>
    <x v="0"/>
    <n v="5252.6"/>
    <x v="0"/>
    <x v="22"/>
    <x v="2"/>
    <n v="6"/>
    <n v="134543.1"/>
    <x v="1"/>
  </r>
  <r>
    <x v="452"/>
    <s v="Ramesh Reddy"/>
    <n v="30"/>
    <x v="3"/>
    <n v="138400"/>
    <n v="1000000"/>
    <n v="12"/>
    <n v="9.0399999999999991"/>
    <s v="Home Purchase"/>
    <n v="388"/>
    <x v="333"/>
    <s v="2023-07-25"/>
    <x v="0"/>
    <n v="87470.03"/>
    <x v="2"/>
    <x v="4"/>
    <x v="0"/>
    <n v="0"/>
    <n v="134046.70000000001"/>
    <x v="0"/>
  </r>
  <r>
    <x v="453"/>
    <s v="Tarun Saxena"/>
    <n v="59"/>
    <x v="3"/>
    <n v="210205"/>
    <n v="150000"/>
    <n v="180"/>
    <n v="15.58"/>
    <s v="Agriculture"/>
    <n v="696"/>
    <x v="366"/>
    <s v="2021-04-02"/>
    <x v="2"/>
    <n v="2159.29"/>
    <x v="4"/>
    <x v="23"/>
    <x v="2"/>
    <n v="3"/>
    <n v="130566.39"/>
    <x v="2"/>
  </r>
  <r>
    <x v="454"/>
    <s v="Tarun Sharma"/>
    <n v="31"/>
    <x v="0"/>
    <n v="133744"/>
    <n v="500000"/>
    <n v="60"/>
    <n v="13.15"/>
    <s v="Agriculture"/>
    <n v="500"/>
    <x v="31"/>
    <s v="2022-10-02"/>
    <x v="0"/>
    <n v="11414.97"/>
    <x v="0"/>
    <x v="22"/>
    <x v="0"/>
    <n v="1"/>
    <n v="130154.97"/>
    <x v="0"/>
  </r>
  <r>
    <x v="455"/>
    <s v="Kiran Das"/>
    <n v="48"/>
    <x v="3"/>
    <n v="142636"/>
    <n v="250000"/>
    <n v="36"/>
    <n v="8.11"/>
    <s v="Education"/>
    <n v="545"/>
    <x v="249"/>
    <s v="2022-03-17"/>
    <x v="2"/>
    <n v="7846.78"/>
    <x v="1"/>
    <x v="15"/>
    <x v="0"/>
    <n v="1"/>
    <n v="129944.27"/>
    <x v="0"/>
  </r>
  <r>
    <x v="456"/>
    <s v="Priya Reddy"/>
    <n v="29"/>
    <x v="2"/>
    <n v="131474"/>
    <n v="300000"/>
    <n v="24"/>
    <n v="15.44"/>
    <s v="Agriculture"/>
    <n v="456"/>
    <x v="367"/>
    <s v="2021-08-19"/>
    <x v="2"/>
    <n v="14608.79"/>
    <x v="0"/>
    <x v="8"/>
    <x v="3"/>
    <n v="1"/>
    <n v="129077.16"/>
    <x v="0"/>
  </r>
  <r>
    <x v="457"/>
    <s v="Ajay Mehta"/>
    <n v="42"/>
    <x v="4"/>
    <n v="197915"/>
    <n v="150000"/>
    <n v="36"/>
    <n v="8.23"/>
    <s v="Debt Consolidation"/>
    <n v="756"/>
    <x v="368"/>
    <s v="2022-04-16"/>
    <x v="0"/>
    <n v="4716.3900000000003"/>
    <x v="1"/>
    <x v="15"/>
    <x v="0"/>
    <n v="2"/>
    <n v="128776.24"/>
    <x v="1"/>
  </r>
  <r>
    <x v="458"/>
    <s v="Sanjay Nayak"/>
    <n v="48"/>
    <x v="1"/>
    <n v="192968"/>
    <n v="750000"/>
    <n v="12"/>
    <n v="18.940000000000001"/>
    <s v="Medical"/>
    <n v="367"/>
    <x v="369"/>
    <s v="2023-03-15"/>
    <x v="0"/>
    <n v="69095.960000000006"/>
    <x v="4"/>
    <x v="21"/>
    <x v="0"/>
    <n v="2"/>
    <n v="128136.36"/>
    <x v="0"/>
  </r>
  <r>
    <x v="459"/>
    <s v="Rekha Kaur"/>
    <n v="49"/>
    <x v="0"/>
    <n v="90095"/>
    <n v="150000"/>
    <n v="36"/>
    <n v="12.37"/>
    <s v="Medical"/>
    <n v="685"/>
    <x v="370"/>
    <s v="2021-01-25"/>
    <x v="2"/>
    <n v="5008.7"/>
    <x v="3"/>
    <x v="5"/>
    <x v="0"/>
    <n v="0"/>
    <n v="127460.85"/>
    <x v="2"/>
  </r>
  <r>
    <x v="460"/>
    <s v="Deepa Mishra"/>
    <n v="53"/>
    <x v="3"/>
    <n v="40082"/>
    <n v="150000"/>
    <n v="120"/>
    <n v="10.7"/>
    <s v="Agriculture"/>
    <n v="469"/>
    <x v="337"/>
    <s v="2021-01-17"/>
    <x v="0"/>
    <n v="2040.86"/>
    <x v="0"/>
    <x v="0"/>
    <x v="3"/>
    <n v="1"/>
    <n v="126121.94"/>
    <x v="0"/>
  </r>
  <r>
    <x v="461"/>
    <s v="Ajay Tiwari"/>
    <n v="57"/>
    <x v="2"/>
    <n v="222608"/>
    <n v="150000"/>
    <n v="12"/>
    <n v="11.65"/>
    <s v="Vehicle Loan"/>
    <n v="676"/>
    <x v="142"/>
    <s v="2023-02-28"/>
    <x v="0"/>
    <n v="13302.77"/>
    <x v="2"/>
    <x v="4"/>
    <x v="2"/>
    <n v="8"/>
    <n v="126055.01"/>
    <x v="2"/>
  </r>
  <r>
    <x v="462"/>
    <s v="Chetna Mehta"/>
    <n v="39"/>
    <x v="1"/>
    <n v="173552"/>
    <n v="150000"/>
    <n v="84"/>
    <n v="10.45"/>
    <s v="Business Expansion"/>
    <n v="817"/>
    <x v="371"/>
    <s v="2023-06-16"/>
    <x v="0"/>
    <n v="2525.19"/>
    <x v="2"/>
    <x v="6"/>
    <x v="2"/>
    <n v="0"/>
    <n v="125000.62"/>
    <x v="1"/>
  </r>
  <r>
    <x v="463"/>
    <s v="Amit Iyer"/>
    <n v="58"/>
    <x v="5"/>
    <n v="81772"/>
    <n v="500000"/>
    <n v="36"/>
    <n v="18.23"/>
    <s v="Medical"/>
    <n v="800"/>
    <x v="372"/>
    <s v="2023-04-08"/>
    <x v="2"/>
    <n v="18133.939999999999"/>
    <x v="3"/>
    <x v="12"/>
    <x v="0"/>
    <n v="2"/>
    <n v="124627.44"/>
    <x v="1"/>
  </r>
  <r>
    <x v="464"/>
    <s v="Kiran Chaudhary"/>
    <n v="24"/>
    <x v="0"/>
    <n v="66342"/>
    <n v="150000"/>
    <n v="48"/>
    <n v="9.42"/>
    <s v="Agriculture"/>
    <n v="362"/>
    <x v="373"/>
    <s v="2021-03-12"/>
    <x v="1"/>
    <n v="3762.74"/>
    <x v="2"/>
    <x v="13"/>
    <x v="0"/>
    <n v="2"/>
    <n v="122908.27"/>
    <x v="0"/>
  </r>
  <r>
    <x v="465"/>
    <s v="Ashok Kumar"/>
    <n v="57"/>
    <x v="4"/>
    <n v="91116"/>
    <n v="200000"/>
    <n v="36"/>
    <n v="17.82"/>
    <s v="Education"/>
    <n v="670"/>
    <x v="112"/>
    <s v="2021-10-22"/>
    <x v="0"/>
    <n v="7212.43"/>
    <x v="1"/>
    <x v="3"/>
    <x v="4"/>
    <n v="0"/>
    <n v="122105.76"/>
    <x v="2"/>
  </r>
  <r>
    <x v="466"/>
    <s v="Ashok Chatterjee"/>
    <n v="43"/>
    <x v="0"/>
    <n v="201882"/>
    <n v="2000000"/>
    <n v="240"/>
    <n v="8.64"/>
    <s v="Agriculture"/>
    <n v="881"/>
    <x v="171"/>
    <s v="2021-08-05"/>
    <x v="2"/>
    <n v="17534.09"/>
    <x v="0"/>
    <x v="8"/>
    <x v="0"/>
    <n v="2"/>
    <n v="122098.96"/>
    <x v="1"/>
  </r>
  <r>
    <x v="467"/>
    <s v="Kiran Shah"/>
    <n v="36"/>
    <x v="4"/>
    <n v="233824"/>
    <n v="200000"/>
    <n v="48"/>
    <n v="9.16"/>
    <s v="Home Purchase"/>
    <n v="862"/>
    <x v="336"/>
    <s v="2021-05-29"/>
    <x v="0"/>
    <n v="4992.22"/>
    <x v="2"/>
    <x v="20"/>
    <x v="0"/>
    <n v="0"/>
    <n v="119126.04"/>
    <x v="1"/>
  </r>
  <r>
    <x v="468"/>
    <s v="Ganesh Mishra"/>
    <n v="45"/>
    <x v="3"/>
    <n v="103569"/>
    <n v="2000000"/>
    <n v="60"/>
    <n v="12.01"/>
    <s v="Agriculture"/>
    <n v="400"/>
    <x v="374"/>
    <s v="2023-07-24"/>
    <x v="1"/>
    <n v="44499"/>
    <x v="0"/>
    <x v="0"/>
    <x v="4"/>
    <n v="1"/>
    <n v="117692.3"/>
    <x v="0"/>
  </r>
  <r>
    <x v="469"/>
    <s v="Tarun Rao"/>
    <n v="29"/>
    <x v="0"/>
    <n v="222405"/>
    <n v="400000"/>
    <n v="24"/>
    <n v="10.16"/>
    <s v="Medical"/>
    <n v="471"/>
    <x v="375"/>
    <s v="2022-08-22"/>
    <x v="0"/>
    <n v="18487.52"/>
    <x v="4"/>
    <x v="16"/>
    <x v="0"/>
    <n v="1"/>
    <n v="117140.94"/>
    <x v="0"/>
  </r>
  <r>
    <x v="470"/>
    <s v="Ajay Chaudhary"/>
    <n v="56"/>
    <x v="3"/>
    <n v="60892"/>
    <n v="300000"/>
    <n v="36"/>
    <n v="21.04"/>
    <s v="Home Purchase"/>
    <n v="706"/>
    <x v="376"/>
    <s v="2021-03-21"/>
    <x v="0"/>
    <n v="11308.68"/>
    <x v="2"/>
    <x v="13"/>
    <x v="0"/>
    <n v="2"/>
    <n v="116799.38"/>
    <x v="2"/>
  </r>
  <r>
    <x v="471"/>
    <s v="Divya Gupta"/>
    <n v="50"/>
    <x v="3"/>
    <n v="122704"/>
    <n v="250000"/>
    <n v="48"/>
    <n v="21.56"/>
    <s v="Business Expansion"/>
    <n v="759"/>
    <x v="298"/>
    <s v="2023-09-17"/>
    <x v="0"/>
    <n v="7816.92"/>
    <x v="0"/>
    <x v="18"/>
    <x v="0"/>
    <n v="0"/>
    <n v="116330.67"/>
    <x v="1"/>
  </r>
  <r>
    <x v="472"/>
    <s v="Nisha Jain"/>
    <n v="28"/>
    <x v="4"/>
    <n v="148015"/>
    <n v="150000"/>
    <n v="36"/>
    <n v="17.02"/>
    <s v="Personal"/>
    <n v="410"/>
    <x v="377"/>
    <s v="2022-08-15"/>
    <x v="3"/>
    <n v="5349.4"/>
    <x v="4"/>
    <x v="24"/>
    <x v="0"/>
    <n v="1"/>
    <n v="116298.78"/>
    <x v="0"/>
  </r>
  <r>
    <x v="473"/>
    <s v="Rani Shetty"/>
    <n v="37"/>
    <x v="1"/>
    <n v="70058"/>
    <n v="750000"/>
    <n v="120"/>
    <n v="8.76"/>
    <s v="Vehicle Loan"/>
    <n v="433"/>
    <x v="378"/>
    <s v="2022-02-04"/>
    <x v="2"/>
    <n v="9403.5400000000009"/>
    <x v="1"/>
    <x v="1"/>
    <x v="0"/>
    <n v="0"/>
    <n v="115261.05"/>
    <x v="0"/>
  </r>
  <r>
    <x v="474"/>
    <s v="Madhuri Yadav"/>
    <n v="25"/>
    <x v="3"/>
    <n v="29337"/>
    <n v="200000"/>
    <n v="24"/>
    <n v="12.34"/>
    <s v="Vehicle Loan"/>
    <n v="597"/>
    <x v="379"/>
    <s v="2021-05-11"/>
    <x v="2"/>
    <n v="9446.48"/>
    <x v="1"/>
    <x v="10"/>
    <x v="3"/>
    <n v="2"/>
    <n v="114981.68"/>
    <x v="3"/>
  </r>
  <r>
    <x v="475"/>
    <s v="Anil Deshpande"/>
    <n v="26"/>
    <x v="0"/>
    <n v="144833"/>
    <n v="150000"/>
    <n v="12"/>
    <n v="8.16"/>
    <s v="Debt Consolidation"/>
    <n v="510"/>
    <x v="202"/>
    <s v="2022-11-17"/>
    <x v="0"/>
    <n v="13059.36"/>
    <x v="3"/>
    <x v="12"/>
    <x v="0"/>
    <n v="0"/>
    <n v="114739.73"/>
    <x v="0"/>
  </r>
  <r>
    <x v="476"/>
    <s v="Arjun Malhotra"/>
    <n v="51"/>
    <x v="5"/>
    <n v="30135"/>
    <n v="500000"/>
    <n v="180"/>
    <n v="17.260000000000002"/>
    <s v="Business Expansion"/>
    <n v="322"/>
    <x v="380"/>
    <s v="2021-06-03"/>
    <x v="0"/>
    <n v="7787.34"/>
    <x v="2"/>
    <x v="6"/>
    <x v="0"/>
    <n v="0"/>
    <n v="114526.67"/>
    <x v="0"/>
  </r>
  <r>
    <x v="477"/>
    <s v="Varsha Chatterjee"/>
    <n v="60"/>
    <x v="3"/>
    <n v="71366"/>
    <n v="250000"/>
    <n v="36"/>
    <n v="8.82"/>
    <s v="Personal"/>
    <n v="664"/>
    <x v="381"/>
    <s v="2022-07-16"/>
    <x v="1"/>
    <n v="7929.01"/>
    <x v="2"/>
    <x v="20"/>
    <x v="1"/>
    <n v="0"/>
    <n v="114413.93"/>
    <x v="2"/>
  </r>
  <r>
    <x v="478"/>
    <s v="Usha Chaudhary"/>
    <n v="65"/>
    <x v="1"/>
    <n v="104110"/>
    <n v="500000"/>
    <n v="36"/>
    <n v="11.76"/>
    <s v="Home Purchase"/>
    <n v="386"/>
    <x v="382"/>
    <s v="2022-08-27"/>
    <x v="2"/>
    <n v="16549.900000000001"/>
    <x v="2"/>
    <x v="4"/>
    <x v="0"/>
    <n v="1"/>
    <n v="112732.34"/>
    <x v="0"/>
  </r>
  <r>
    <x v="479"/>
    <s v="Meena Chaudhary"/>
    <n v="46"/>
    <x v="0"/>
    <n v="200183"/>
    <n v="150000"/>
    <n v="24"/>
    <n v="13.52"/>
    <s v="Medical"/>
    <n v="855"/>
    <x v="313"/>
    <s v="2023-05-26"/>
    <x v="0"/>
    <n v="7167.97"/>
    <x v="2"/>
    <x v="4"/>
    <x v="2"/>
    <n v="0"/>
    <n v="111292.96"/>
    <x v="1"/>
  </r>
  <r>
    <x v="480"/>
    <s v="Ajay Malhotra"/>
    <n v="33"/>
    <x v="3"/>
    <n v="152228"/>
    <n v="250000"/>
    <n v="24"/>
    <n v="21.32"/>
    <s v="Home Purchase"/>
    <n v="699"/>
    <x v="142"/>
    <s v="2023-02-15"/>
    <x v="1"/>
    <n v="12885.74"/>
    <x v="2"/>
    <x v="19"/>
    <x v="0"/>
    <n v="2"/>
    <n v="110834.01"/>
    <x v="2"/>
  </r>
  <r>
    <x v="481"/>
    <s v="Tarun Gupta"/>
    <n v="27"/>
    <x v="1"/>
    <n v="37467"/>
    <n v="300000"/>
    <n v="24"/>
    <n v="11.51"/>
    <s v="Medical"/>
    <n v="330"/>
    <x v="367"/>
    <s v="2021-07-29"/>
    <x v="0"/>
    <n v="14053.49"/>
    <x v="1"/>
    <x v="3"/>
    <x v="4"/>
    <n v="1"/>
    <n v="110277.88"/>
    <x v="0"/>
  </r>
  <r>
    <x v="482"/>
    <s v="Chetna Menon"/>
    <n v="28"/>
    <x v="0"/>
    <n v="216220"/>
    <n v="150000"/>
    <n v="60"/>
    <n v="20.51"/>
    <s v="Medical"/>
    <n v="353"/>
    <x v="383"/>
    <s v="2023-07-04"/>
    <x v="2"/>
    <n v="4016.77"/>
    <x v="2"/>
    <x v="20"/>
    <x v="3"/>
    <n v="2"/>
    <n v="110233.98"/>
    <x v="0"/>
  </r>
  <r>
    <x v="483"/>
    <s v="Sunil Shetty"/>
    <n v="57"/>
    <x v="4"/>
    <n v="174658"/>
    <n v="200000"/>
    <n v="60"/>
    <n v="17.420000000000002"/>
    <s v="Agriculture"/>
    <n v="365"/>
    <x v="384"/>
    <s v="2022-08-02"/>
    <x v="1"/>
    <n v="5015.79"/>
    <x v="4"/>
    <x v="23"/>
    <x v="3"/>
    <n v="2"/>
    <n v="109715.78"/>
    <x v="0"/>
  </r>
  <r>
    <x v="484"/>
    <s v="Manoj Shetty"/>
    <n v="33"/>
    <x v="2"/>
    <n v="244740"/>
    <n v="300000"/>
    <n v="48"/>
    <n v="7.8"/>
    <s v="Home Purchase"/>
    <n v="871"/>
    <x v="349"/>
    <s v="2022-02-22"/>
    <x v="0"/>
    <n v="7295.75"/>
    <x v="1"/>
    <x v="3"/>
    <x v="0"/>
    <n v="0"/>
    <n v="109580.92"/>
    <x v="1"/>
  </r>
  <r>
    <x v="485"/>
    <s v="Meena Nayak"/>
    <n v="48"/>
    <x v="4"/>
    <n v="51141"/>
    <n v="750000"/>
    <n v="120"/>
    <n v="13.63"/>
    <s v="Agriculture"/>
    <n v="850"/>
    <x v="385"/>
    <s v="2022-08-22"/>
    <x v="2"/>
    <n v="11478.71"/>
    <x v="0"/>
    <x v="18"/>
    <x v="1"/>
    <n v="2"/>
    <n v="109487.98"/>
    <x v="1"/>
  </r>
  <r>
    <x v="486"/>
    <s v="Bhavna Das"/>
    <n v="33"/>
    <x v="4"/>
    <n v="83904"/>
    <n v="150000"/>
    <n v="60"/>
    <n v="14.33"/>
    <s v="Medical"/>
    <n v="674"/>
    <x v="386"/>
    <s v="2023-06-03"/>
    <x v="0"/>
    <n v="3515.95"/>
    <x v="0"/>
    <x v="2"/>
    <x v="0"/>
    <n v="1"/>
    <n v="108863.39"/>
    <x v="2"/>
  </r>
  <r>
    <x v="487"/>
    <s v="Pooja Chaudhary"/>
    <n v="60"/>
    <x v="0"/>
    <n v="134212"/>
    <n v="300000"/>
    <n v="12"/>
    <n v="11.29"/>
    <s v="Debt Consolidation"/>
    <n v="818"/>
    <x v="167"/>
    <s v="2022-09-08"/>
    <x v="0"/>
    <n v="26555.1"/>
    <x v="3"/>
    <x v="7"/>
    <x v="2"/>
    <n v="1"/>
    <n v="108803.28"/>
    <x v="1"/>
  </r>
  <r>
    <x v="488"/>
    <s v="Divya Deshpande"/>
    <n v="50"/>
    <x v="4"/>
    <n v="29053"/>
    <n v="250000"/>
    <n v="12"/>
    <n v="14.53"/>
    <s v="Personal"/>
    <n v="693"/>
    <x v="81"/>
    <s v="2023-05-12"/>
    <x v="3"/>
    <n v="22509.17"/>
    <x v="1"/>
    <x v="15"/>
    <x v="0"/>
    <n v="2"/>
    <n v="108192.23"/>
    <x v="2"/>
  </r>
  <r>
    <x v="489"/>
    <s v="Komal Patel"/>
    <n v="52"/>
    <x v="4"/>
    <n v="27006"/>
    <n v="150000"/>
    <n v="36"/>
    <n v="7.71"/>
    <s v="Home Purchase"/>
    <n v="614"/>
    <x v="40"/>
    <s v="2021-06-09"/>
    <x v="2"/>
    <n v="4680.41"/>
    <x v="3"/>
    <x v="14"/>
    <x v="0"/>
    <n v="2"/>
    <n v="107876.31"/>
    <x v="3"/>
  </r>
  <r>
    <x v="490"/>
    <s v="Pooja Menon"/>
    <n v="65"/>
    <x v="2"/>
    <n v="177648"/>
    <n v="250000"/>
    <n v="12"/>
    <n v="14.96"/>
    <s v="Medical"/>
    <n v="352"/>
    <x v="220"/>
    <s v="2021-04-08"/>
    <x v="0"/>
    <n v="22559.86"/>
    <x v="3"/>
    <x v="14"/>
    <x v="3"/>
    <n v="1"/>
    <n v="107872.88"/>
    <x v="0"/>
  </r>
  <r>
    <x v="491"/>
    <s v="Tarun Jain"/>
    <n v="49"/>
    <x v="4"/>
    <n v="185935"/>
    <n v="200000"/>
    <n v="84"/>
    <n v="11.42"/>
    <s v="Vehicle Loan"/>
    <n v="561"/>
    <x v="387"/>
    <s v="2022-02-23"/>
    <x v="2"/>
    <n v="3468.81"/>
    <x v="1"/>
    <x v="10"/>
    <x v="0"/>
    <n v="1"/>
    <n v="106342.13"/>
    <x v="3"/>
  </r>
  <r>
    <x v="492"/>
    <s v="Harish Jain"/>
    <n v="62"/>
    <x v="1"/>
    <n v="38249"/>
    <n v="250000"/>
    <n v="240"/>
    <n v="11.49"/>
    <s v="Education"/>
    <n v="714"/>
    <x v="192"/>
    <s v="2023-05-03"/>
    <x v="2"/>
    <n v="2664.35"/>
    <x v="2"/>
    <x v="20"/>
    <x v="0"/>
    <n v="0"/>
    <n v="106125.1"/>
    <x v="2"/>
  </r>
  <r>
    <x v="493"/>
    <s v="Sarala Menon"/>
    <n v="63"/>
    <x v="2"/>
    <n v="104352"/>
    <n v="250000"/>
    <n v="12"/>
    <n v="19.34"/>
    <s v="Agriculture"/>
    <n v="639"/>
    <x v="388"/>
    <s v="2023-02-09"/>
    <x v="2"/>
    <n v="23079.73"/>
    <x v="1"/>
    <x v="15"/>
    <x v="2"/>
    <n v="9"/>
    <n v="104597.7"/>
    <x v="3"/>
  </r>
  <r>
    <x v="494"/>
    <s v="Ajay Kulkarni"/>
    <n v="44"/>
    <x v="3"/>
    <n v="54139"/>
    <n v="200000"/>
    <n v="12"/>
    <n v="12.42"/>
    <s v="Debt Consolidation"/>
    <n v="847"/>
    <x v="389"/>
    <s v="2022-02-10"/>
    <x v="0"/>
    <n v="17809.080000000002"/>
    <x v="0"/>
    <x v="18"/>
    <x v="2"/>
    <n v="9"/>
    <n v="103830.97"/>
    <x v="1"/>
  </r>
  <r>
    <x v="495"/>
    <s v="Geeta Chatterjee"/>
    <n v="26"/>
    <x v="2"/>
    <n v="237247"/>
    <n v="1000000"/>
    <n v="60"/>
    <n v="10.83"/>
    <s v="Vehicle Loan"/>
    <n v="699"/>
    <x v="0"/>
    <s v="2022-10-29"/>
    <x v="0"/>
    <n v="21657.74"/>
    <x v="2"/>
    <x v="19"/>
    <x v="2"/>
    <n v="4"/>
    <n v="103369.56"/>
    <x v="2"/>
  </r>
  <r>
    <x v="496"/>
    <s v="Suresh Reddy"/>
    <n v="57"/>
    <x v="3"/>
    <n v="92310"/>
    <n v="300000"/>
    <n v="120"/>
    <n v="8.89"/>
    <s v="Debt Consolidation"/>
    <n v="538"/>
    <x v="95"/>
    <s v="2023-03-15"/>
    <x v="0"/>
    <n v="3782.44"/>
    <x v="1"/>
    <x v="15"/>
    <x v="4"/>
    <n v="0"/>
    <n v="102556.63"/>
    <x v="0"/>
  </r>
  <r>
    <x v="497"/>
    <s v="Divya Dubey"/>
    <n v="24"/>
    <x v="1"/>
    <n v="174522"/>
    <n v="150000"/>
    <n v="240"/>
    <n v="13.43"/>
    <s v="Home Purchase"/>
    <n v="618"/>
    <x v="15"/>
    <s v="2022-12-18"/>
    <x v="0"/>
    <n v="1803.51"/>
    <x v="4"/>
    <x v="24"/>
    <x v="0"/>
    <n v="1"/>
    <n v="101305.23"/>
    <x v="3"/>
  </r>
  <r>
    <x v="498"/>
    <s v="Priya Deshpande"/>
    <n v="28"/>
    <x v="1"/>
    <n v="222455"/>
    <n v="100000"/>
    <n v="36"/>
    <n v="8.06"/>
    <s v="Agriculture"/>
    <n v="442"/>
    <x v="198"/>
    <s v="2021-06-15"/>
    <x v="0"/>
    <n v="3136.41"/>
    <x v="2"/>
    <x v="4"/>
    <x v="2"/>
    <n v="9"/>
    <n v="100000"/>
    <x v="0"/>
  </r>
  <r>
    <x v="499"/>
    <s v="Sunita Reddy"/>
    <n v="65"/>
    <x v="1"/>
    <n v="40032"/>
    <n v="100000"/>
    <n v="12"/>
    <n v="21.47"/>
    <s v="Home Purchase"/>
    <n v="304"/>
    <x v="104"/>
    <s v="2023-03-09"/>
    <x v="0"/>
    <n v="9333.9500000000007"/>
    <x v="4"/>
    <x v="16"/>
    <x v="0"/>
    <n v="1"/>
    <n v="100000"/>
    <x v="0"/>
  </r>
  <r>
    <x v="500"/>
    <s v="Naveen Deshpande"/>
    <n v="53"/>
    <x v="3"/>
    <n v="44325"/>
    <n v="250000"/>
    <n v="60"/>
    <n v="10.97"/>
    <s v="Personal"/>
    <n v="880"/>
    <x v="390"/>
    <s v="2021-06-18"/>
    <x v="0"/>
    <n v="5431.87"/>
    <x v="3"/>
    <x v="5"/>
    <x v="0"/>
    <n v="2"/>
    <n v="98450.83"/>
    <x v="1"/>
  </r>
  <r>
    <x v="501"/>
    <s v="Nisha Deshpande"/>
    <n v="55"/>
    <x v="3"/>
    <n v="246548"/>
    <n v="750000"/>
    <n v="48"/>
    <n v="21.35"/>
    <s v="Business Expansion"/>
    <n v="446"/>
    <x v="391"/>
    <s v="2022-06-22"/>
    <x v="0"/>
    <n v="23365.69"/>
    <x v="2"/>
    <x v="20"/>
    <x v="0"/>
    <n v="1"/>
    <n v="98097.25"/>
    <x v="0"/>
  </r>
  <r>
    <x v="502"/>
    <s v="Rajesh Tiwari"/>
    <n v="44"/>
    <x v="3"/>
    <n v="28081"/>
    <n v="200000"/>
    <n v="36"/>
    <n v="12.58"/>
    <s v="Business Expansion"/>
    <n v="814"/>
    <x v="163"/>
    <s v="2021-11-15"/>
    <x v="2"/>
    <n v="6698.4"/>
    <x v="1"/>
    <x v="3"/>
    <x v="2"/>
    <n v="1"/>
    <n v="97514.48"/>
    <x v="1"/>
  </r>
  <r>
    <x v="503"/>
    <s v="Bhavna Reddy"/>
    <n v="55"/>
    <x v="0"/>
    <n v="136524"/>
    <n v="1000000"/>
    <n v="180"/>
    <n v="8.81"/>
    <s v="Vehicle Loan"/>
    <n v="484"/>
    <x v="392"/>
    <s v="2023-05-10"/>
    <x v="0"/>
    <n v="10029.950000000001"/>
    <x v="1"/>
    <x v="15"/>
    <x v="2"/>
    <n v="2"/>
    <n v="97304.5"/>
    <x v="0"/>
  </r>
  <r>
    <x v="504"/>
    <s v="Manoj Rao"/>
    <n v="39"/>
    <x v="4"/>
    <n v="248256"/>
    <n v="400000"/>
    <n v="48"/>
    <n v="8.86"/>
    <s v="Personal"/>
    <n v="421"/>
    <x v="393"/>
    <s v="2022-05-13"/>
    <x v="0"/>
    <n v="9927.4500000000007"/>
    <x v="3"/>
    <x v="12"/>
    <x v="0"/>
    <n v="2"/>
    <n v="96220.03"/>
    <x v="0"/>
  </r>
  <r>
    <x v="505"/>
    <s v="Smita Joshi"/>
    <n v="54"/>
    <x v="4"/>
    <n v="45948"/>
    <n v="1500000"/>
    <n v="48"/>
    <n v="14.1"/>
    <s v="Home Purchase"/>
    <n v="460"/>
    <x v="217"/>
    <s v="2023-04-23"/>
    <x v="0"/>
    <n v="41065"/>
    <x v="1"/>
    <x v="11"/>
    <x v="0"/>
    <n v="0"/>
    <n v="95577"/>
    <x v="0"/>
  </r>
  <r>
    <x v="506"/>
    <s v="Suresh Deshpande"/>
    <n v="48"/>
    <x v="2"/>
    <n v="58211"/>
    <n v="200000"/>
    <n v="48"/>
    <n v="14.84"/>
    <s v="Agriculture"/>
    <n v="327"/>
    <x v="394"/>
    <s v="2023-04-28"/>
    <x v="0"/>
    <n v="5549.94"/>
    <x v="3"/>
    <x v="14"/>
    <x v="0"/>
    <n v="1"/>
    <n v="95106.13"/>
    <x v="0"/>
  </r>
  <r>
    <x v="507"/>
    <s v="Sunil Saxena"/>
    <n v="41"/>
    <x v="0"/>
    <n v="59625"/>
    <n v="250000"/>
    <n v="24"/>
    <n v="9.92"/>
    <s v="Medical"/>
    <n v="766"/>
    <x v="395"/>
    <s v="2023-06-09"/>
    <x v="0"/>
    <n v="11527"/>
    <x v="0"/>
    <x v="8"/>
    <x v="2"/>
    <n v="10"/>
    <n v="94385.5"/>
    <x v="1"/>
  </r>
  <r>
    <x v="508"/>
    <s v="Anita Pillai"/>
    <n v="40"/>
    <x v="0"/>
    <n v="120563"/>
    <n v="100000"/>
    <n v="60"/>
    <n v="15.18"/>
    <s v="Agriculture"/>
    <n v="831"/>
    <x v="219"/>
    <s v="2022-05-31"/>
    <x v="0"/>
    <n v="2388.4499999999998"/>
    <x v="2"/>
    <x v="19"/>
    <x v="0"/>
    <n v="2"/>
    <n v="93551.18"/>
    <x v="1"/>
  </r>
  <r>
    <x v="509"/>
    <s v="Rani Iyer"/>
    <n v="24"/>
    <x v="0"/>
    <n v="210482"/>
    <n v="150000"/>
    <n v="120"/>
    <n v="17.600000000000001"/>
    <s v="Education"/>
    <n v="686"/>
    <x v="396"/>
    <s v="2021-02-13"/>
    <x v="0"/>
    <n v="2664.27"/>
    <x v="0"/>
    <x v="22"/>
    <x v="2"/>
    <n v="3"/>
    <n v="92451.77"/>
    <x v="2"/>
  </r>
  <r>
    <x v="510"/>
    <s v="Usha Jain"/>
    <n v="64"/>
    <x v="2"/>
    <n v="121286"/>
    <n v="750000"/>
    <n v="48"/>
    <n v="15.01"/>
    <s v="Vehicle Loan"/>
    <n v="392"/>
    <x v="134"/>
    <s v="2022-12-28"/>
    <x v="2"/>
    <n v="20876.86"/>
    <x v="1"/>
    <x v="11"/>
    <x v="0"/>
    <n v="2"/>
    <n v="92378.91"/>
    <x v="0"/>
  </r>
  <r>
    <x v="511"/>
    <s v="Ganesh Saxena"/>
    <n v="32"/>
    <x v="0"/>
    <n v="232674"/>
    <n v="300000"/>
    <n v="36"/>
    <n v="19.02"/>
    <s v="Education"/>
    <n v="823"/>
    <x v="397"/>
    <s v="2023-08-09"/>
    <x v="0"/>
    <n v="10999.84"/>
    <x v="4"/>
    <x v="9"/>
    <x v="0"/>
    <n v="2"/>
    <n v="92103.02"/>
    <x v="1"/>
  </r>
  <r>
    <x v="512"/>
    <s v="Rani Singh"/>
    <n v="64"/>
    <x v="1"/>
    <n v="238269"/>
    <n v="300000"/>
    <n v="48"/>
    <n v="10.73"/>
    <s v="Agriculture"/>
    <n v="864"/>
    <x v="117"/>
    <s v="2021-09-26"/>
    <x v="2"/>
    <n v="7714.38"/>
    <x v="2"/>
    <x v="19"/>
    <x v="1"/>
    <n v="3"/>
    <n v="91711.74"/>
    <x v="1"/>
  </r>
  <r>
    <x v="513"/>
    <s v="Nisha Kapoor"/>
    <n v="47"/>
    <x v="3"/>
    <n v="170108"/>
    <n v="200000"/>
    <n v="60"/>
    <n v="9.0399999999999991"/>
    <s v="Education"/>
    <n v="868"/>
    <x v="398"/>
    <s v="2021-11-16"/>
    <x v="0"/>
    <n v="4155.55"/>
    <x v="0"/>
    <x v="0"/>
    <x v="4"/>
    <n v="0"/>
    <n v="91540.14"/>
    <x v="1"/>
  </r>
  <r>
    <x v="514"/>
    <s v="Kavitha Chatterjee"/>
    <n v="42"/>
    <x v="3"/>
    <n v="86171"/>
    <n v="300000"/>
    <n v="24"/>
    <n v="14.71"/>
    <s v="Personal"/>
    <n v="680"/>
    <x v="399"/>
    <s v="2022-09-20"/>
    <x v="1"/>
    <n v="14504.69"/>
    <x v="2"/>
    <x v="6"/>
    <x v="3"/>
    <n v="0"/>
    <n v="91132.46"/>
    <x v="2"/>
  </r>
  <r>
    <x v="515"/>
    <s v="Varsha Chatterjee"/>
    <n v="29"/>
    <x v="1"/>
    <n v="111349"/>
    <n v="750000"/>
    <n v="48"/>
    <n v="10.68"/>
    <s v="Education"/>
    <n v="789"/>
    <x v="218"/>
    <s v="2023-02-21"/>
    <x v="0"/>
    <n v="19267.8"/>
    <x v="0"/>
    <x v="2"/>
    <x v="2"/>
    <n v="11"/>
    <n v="91041.24"/>
    <x v="1"/>
  </r>
  <r>
    <x v="516"/>
    <s v="Manoj Malhotra"/>
    <n v="51"/>
    <x v="2"/>
    <n v="131363"/>
    <n v="300000"/>
    <n v="180"/>
    <n v="12.77"/>
    <s v="Medical"/>
    <n v="708"/>
    <x v="145"/>
    <s v="2022-04-15"/>
    <x v="0"/>
    <n v="3750.44"/>
    <x v="0"/>
    <x v="18"/>
    <x v="0"/>
    <n v="0"/>
    <n v="90725.45"/>
    <x v="2"/>
  </r>
  <r>
    <x v="517"/>
    <s v="Ajay Kapoor"/>
    <n v="24"/>
    <x v="1"/>
    <n v="240182"/>
    <n v="200000"/>
    <n v="120"/>
    <n v="13.43"/>
    <s v="Education"/>
    <n v="751"/>
    <x v="218"/>
    <s v="2023-02-10"/>
    <x v="0"/>
    <n v="3037.15"/>
    <x v="4"/>
    <x v="24"/>
    <x v="0"/>
    <n v="2"/>
    <n v="90662.6"/>
    <x v="1"/>
  </r>
  <r>
    <x v="518"/>
    <s v="Ashok Banerjee"/>
    <n v="51"/>
    <x v="0"/>
    <n v="177170"/>
    <n v="100000"/>
    <n v="240"/>
    <n v="11.64"/>
    <s v="Education"/>
    <n v="457"/>
    <x v="288"/>
    <s v="2022-11-01"/>
    <x v="0"/>
    <n v="1076.0899999999999"/>
    <x v="0"/>
    <x v="0"/>
    <x v="1"/>
    <n v="1"/>
    <n v="90315.19"/>
    <x v="0"/>
  </r>
  <r>
    <x v="519"/>
    <s v="Dinesh Shetty"/>
    <n v="55"/>
    <x v="4"/>
    <n v="86441"/>
    <n v="100000"/>
    <n v="60"/>
    <n v="20.75"/>
    <s v="Agriculture"/>
    <n v="602"/>
    <x v="400"/>
    <s v="2021-11-12"/>
    <x v="0"/>
    <n v="2691.29"/>
    <x v="4"/>
    <x v="21"/>
    <x v="0"/>
    <n v="1"/>
    <n v="90311.360000000001"/>
    <x v="3"/>
  </r>
  <r>
    <x v="520"/>
    <s v="Rohit Mishra"/>
    <n v="31"/>
    <x v="0"/>
    <n v="214782"/>
    <n v="150000"/>
    <n v="24"/>
    <n v="16.440000000000001"/>
    <s v="Business Expansion"/>
    <n v="703"/>
    <x v="211"/>
    <s v="2021-02-01"/>
    <x v="2"/>
    <n v="7376.04"/>
    <x v="0"/>
    <x v="8"/>
    <x v="3"/>
    <n v="0"/>
    <n v="90254.080000000002"/>
    <x v="2"/>
  </r>
  <r>
    <x v="521"/>
    <s v="Ashok Malhotra"/>
    <n v="50"/>
    <x v="3"/>
    <n v="91419"/>
    <n v="150000"/>
    <n v="24"/>
    <n v="7.82"/>
    <s v="Personal"/>
    <n v="832"/>
    <x v="401"/>
    <s v="2022-11-18"/>
    <x v="0"/>
    <n v="6771.79"/>
    <x v="4"/>
    <x v="16"/>
    <x v="2"/>
    <n v="9"/>
    <n v="89053.89"/>
    <x v="1"/>
  </r>
  <r>
    <x v="522"/>
    <s v="Usha Banerjee"/>
    <n v="22"/>
    <x v="4"/>
    <n v="232113"/>
    <n v="300000"/>
    <n v="12"/>
    <n v="7.62"/>
    <s v="Medical"/>
    <s v="Not Available"/>
    <x v="401"/>
    <s v="2022-11-20"/>
    <x v="2"/>
    <n v="26043.85"/>
    <x v="0"/>
    <x v="22"/>
    <x v="0"/>
    <n v="0"/>
    <n v="89044.82"/>
    <x v="4"/>
  </r>
  <r>
    <x v="523"/>
    <s v="Amit Nair"/>
    <n v="25"/>
    <x v="0"/>
    <n v="172722"/>
    <n v="150000"/>
    <n v="12"/>
    <n v="15.13"/>
    <s v="Home Purchase"/>
    <n v="639"/>
    <x v="402"/>
    <s v="2022-01-27"/>
    <x v="1"/>
    <n v="13547.95"/>
    <x v="1"/>
    <x v="3"/>
    <x v="0"/>
    <n v="0"/>
    <n v="89034.23"/>
    <x v="3"/>
  </r>
  <r>
    <x v="524"/>
    <s v="Jyoti Kumar"/>
    <n v="34"/>
    <x v="3"/>
    <n v="181295"/>
    <n v="100000"/>
    <n v="48"/>
    <n v="9.32"/>
    <s v="Education"/>
    <n v="862"/>
    <x v="403"/>
    <s v="2023-06-18"/>
    <x v="0"/>
    <n v="2503.73"/>
    <x v="0"/>
    <x v="0"/>
    <x v="0"/>
    <n v="2"/>
    <n v="88733.21"/>
    <x v="1"/>
  </r>
  <r>
    <x v="525"/>
    <s v="Usha Shah"/>
    <n v="63"/>
    <x v="2"/>
    <n v="43424"/>
    <n v="100000"/>
    <n v="240"/>
    <n v="18.649999999999999"/>
    <s v="Personal"/>
    <n v="408"/>
    <x v="380"/>
    <s v="2021-06-04"/>
    <x v="0"/>
    <n v="1593.51"/>
    <x v="2"/>
    <x v="6"/>
    <x v="0"/>
    <n v="0"/>
    <n v="88526.73"/>
    <x v="0"/>
  </r>
  <r>
    <x v="526"/>
    <s v="Suresh Kumar"/>
    <n v="42"/>
    <x v="2"/>
    <n v="174335"/>
    <n v="200000"/>
    <n v="36"/>
    <n v="10.91"/>
    <s v="Agriculture"/>
    <n v="521"/>
    <x v="404"/>
    <s v="2021-12-04"/>
    <x v="2"/>
    <n v="6539.22"/>
    <x v="2"/>
    <x v="4"/>
    <x v="2"/>
    <n v="0"/>
    <n v="88179.34"/>
    <x v="0"/>
  </r>
  <r>
    <x v="527"/>
    <s v="Bhavna Nayak"/>
    <n v="50"/>
    <x v="4"/>
    <n v="68862"/>
    <n v="250000"/>
    <n v="36"/>
    <n v="17.7"/>
    <s v="Debt Consolidation"/>
    <n v="472"/>
    <x v="405"/>
    <s v="2023-01-09"/>
    <x v="0"/>
    <n v="9000.52"/>
    <x v="2"/>
    <x v="13"/>
    <x v="0"/>
    <n v="0"/>
    <n v="87990.64"/>
    <x v="0"/>
  </r>
  <r>
    <x v="528"/>
    <s v="Meena Chatterjee"/>
    <n v="30"/>
    <x v="2"/>
    <n v="17934"/>
    <n v="250000"/>
    <n v="12"/>
    <n v="14.9"/>
    <s v="Home Purchase"/>
    <n v="415"/>
    <x v="406"/>
    <s v="2021-01-31"/>
    <x v="0"/>
    <n v="22552.78"/>
    <x v="1"/>
    <x v="11"/>
    <x v="2"/>
    <n v="9"/>
    <n v="87619.98"/>
    <x v="0"/>
  </r>
  <r>
    <x v="529"/>
    <s v="Naveen Chatterjee"/>
    <n v="43"/>
    <x v="2"/>
    <n v="113281"/>
    <n v="150000"/>
    <n v="60"/>
    <n v="13.71"/>
    <s v="Agriculture"/>
    <n v="342"/>
    <x v="407"/>
    <s v="2022-12-24"/>
    <x v="0"/>
    <n v="3467.73"/>
    <x v="2"/>
    <x v="19"/>
    <x v="3"/>
    <n v="1"/>
    <n v="87580.86"/>
    <x v="0"/>
  </r>
  <r>
    <x v="530"/>
    <s v="Manoj Singh"/>
    <n v="35"/>
    <x v="0"/>
    <n v="184118"/>
    <n v="250000"/>
    <n v="24"/>
    <n v="8.27"/>
    <s v="Medical"/>
    <n v="762"/>
    <x v="328"/>
    <s v="2023-02-15"/>
    <x v="0"/>
    <n v="11337.63"/>
    <x v="3"/>
    <x v="7"/>
    <x v="2"/>
    <n v="0"/>
    <n v="86738.13"/>
    <x v="1"/>
  </r>
  <r>
    <x v="531"/>
    <s v="Pooja Singh"/>
    <n v="22"/>
    <x v="1"/>
    <n v="217144"/>
    <n v="100000"/>
    <n v="60"/>
    <n v="9.84"/>
    <s v="Agriculture"/>
    <n v="864"/>
    <x v="408"/>
    <s v="2021-06-29"/>
    <x v="0"/>
    <n v="2116.84"/>
    <x v="2"/>
    <x v="20"/>
    <x v="2"/>
    <n v="0"/>
    <n v="86663.91"/>
    <x v="1"/>
  </r>
  <r>
    <x v="532"/>
    <s v="Meena Sharma"/>
    <n v="30"/>
    <x v="4"/>
    <n v="88771"/>
    <n v="250000"/>
    <n v="180"/>
    <n v="13.47"/>
    <s v="Education"/>
    <n v="404"/>
    <x v="409"/>
    <s v="2022-02-18"/>
    <x v="0"/>
    <n v="3240.81"/>
    <x v="0"/>
    <x v="0"/>
    <x v="2"/>
    <n v="8"/>
    <n v="86663.18"/>
    <x v="0"/>
  </r>
  <r>
    <x v="533"/>
    <s v="Kiran Nair"/>
    <n v="61"/>
    <x v="4"/>
    <n v="28124"/>
    <n v="200000"/>
    <n v="24"/>
    <n v="15.12"/>
    <s v="Business Expansion"/>
    <n v="763"/>
    <x v="377"/>
    <s v="2022-08-24"/>
    <x v="0"/>
    <n v="9708.74"/>
    <x v="0"/>
    <x v="22"/>
    <x v="2"/>
    <n v="2"/>
    <n v="86407.74"/>
    <x v="1"/>
  </r>
  <r>
    <x v="534"/>
    <s v="Tarun Rao"/>
    <n v="23"/>
    <x v="1"/>
    <n v="79196"/>
    <n v="150000"/>
    <n v="36"/>
    <n v="18.18"/>
    <s v="Vehicle Loan"/>
    <n v="732"/>
    <x v="410"/>
    <s v="2022-05-11"/>
    <x v="0"/>
    <n v="5436.41"/>
    <x v="3"/>
    <x v="5"/>
    <x v="3"/>
    <n v="0"/>
    <n v="86394"/>
    <x v="2"/>
  </r>
  <r>
    <x v="535"/>
    <s v="Sarala Malhotra"/>
    <n v="48"/>
    <x v="4"/>
    <n v="153934"/>
    <n v="100000"/>
    <n v="120"/>
    <n v="11.02"/>
    <s v="Personal"/>
    <n v="638"/>
    <x v="378"/>
    <s v="2022-01-30"/>
    <x v="0"/>
    <n v="1378.63"/>
    <x v="3"/>
    <x v="14"/>
    <x v="0"/>
    <n v="1"/>
    <n v="86351.56"/>
    <x v="3"/>
  </r>
  <r>
    <x v="536"/>
    <s v="Sarala Mishra"/>
    <n v="30"/>
    <x v="1"/>
    <n v="176068"/>
    <n v="500000"/>
    <n v="24"/>
    <n v="14.79"/>
    <s v="Education"/>
    <n v="894"/>
    <x v="227"/>
    <s v="2022-12-22"/>
    <x v="0"/>
    <n v="24193.47"/>
    <x v="0"/>
    <x v="0"/>
    <x v="2"/>
    <n v="10"/>
    <n v="86291.66"/>
    <x v="1"/>
  </r>
  <r>
    <x v="537"/>
    <s v="Deepa Das"/>
    <n v="38"/>
    <x v="1"/>
    <n v="158892"/>
    <n v="100000"/>
    <n v="36"/>
    <n v="8.14"/>
    <s v="Agriculture"/>
    <n v="510"/>
    <x v="65"/>
    <s v="2023-12-04"/>
    <x v="0"/>
    <n v="3140.1"/>
    <x v="0"/>
    <x v="0"/>
    <x v="0"/>
    <n v="2"/>
    <n v="85869.55"/>
    <x v="0"/>
  </r>
  <r>
    <x v="538"/>
    <s v="Amit Saxena"/>
    <n v="45"/>
    <x v="3"/>
    <n v="167113"/>
    <n v="400000"/>
    <n v="24"/>
    <n v="9.56"/>
    <s v="Business Expansion"/>
    <n v="776"/>
    <x v="411"/>
    <s v="2021-07-11"/>
    <x v="0"/>
    <n v="18376.84"/>
    <x v="1"/>
    <x v="1"/>
    <x v="0"/>
    <n v="2"/>
    <n v="85756.04"/>
    <x v="1"/>
  </r>
  <r>
    <x v="539"/>
    <s v="Rohit Kulkarni"/>
    <n v="48"/>
    <x v="1"/>
    <n v="224249"/>
    <n v="200000"/>
    <n v="60"/>
    <n v="9.93"/>
    <s v="Business Expansion"/>
    <n v="877"/>
    <x v="412"/>
    <s v="2022-01-03"/>
    <x v="0"/>
    <n v="4242.5200000000004"/>
    <x v="4"/>
    <x v="21"/>
    <x v="2"/>
    <n v="10"/>
    <n v="85451.96"/>
    <x v="1"/>
  </r>
  <r>
    <x v="540"/>
    <s v="Suresh Nayak"/>
    <n v="30"/>
    <x v="1"/>
    <n v="215027"/>
    <n v="100000"/>
    <n v="120"/>
    <n v="18.71"/>
    <s v="Business Expansion"/>
    <n v="734"/>
    <x v="413"/>
    <s v="2022-12-30"/>
    <x v="0"/>
    <n v="1847.81"/>
    <x v="1"/>
    <x v="10"/>
    <x v="0"/>
    <n v="2"/>
    <n v="85032.74"/>
    <x v="2"/>
  </r>
  <r>
    <x v="541"/>
    <s v="Madhuri Das"/>
    <n v="59"/>
    <x v="1"/>
    <n v="246599"/>
    <n v="1500000"/>
    <n v="24"/>
    <n v="13.22"/>
    <s v="Personal"/>
    <n v="444"/>
    <x v="414"/>
    <s v="2023-08-09"/>
    <x v="0"/>
    <n v="71467.839999999997"/>
    <x v="3"/>
    <x v="5"/>
    <x v="0"/>
    <n v="0"/>
    <n v="84936.77"/>
    <x v="0"/>
  </r>
  <r>
    <x v="542"/>
    <s v="Ajay Singh"/>
    <n v="23"/>
    <x v="1"/>
    <n v="26917"/>
    <n v="1000000"/>
    <n v="60"/>
    <n v="16.940000000000001"/>
    <s v="Debt Consolidation"/>
    <n v="331"/>
    <x v="242"/>
    <s v="2022-09-29"/>
    <x v="1"/>
    <n v="24820.33"/>
    <x v="2"/>
    <x v="20"/>
    <x v="2"/>
    <n v="4"/>
    <n v="84129.82"/>
    <x v="0"/>
  </r>
  <r>
    <x v="543"/>
    <s v="Suresh Kulkarni"/>
    <n v="27"/>
    <x v="4"/>
    <n v="184378"/>
    <n v="100000"/>
    <n v="12"/>
    <n v="11.09"/>
    <s v="Agriculture"/>
    <n v="749"/>
    <x v="415"/>
    <s v="2023-01-30"/>
    <x v="0"/>
    <n v="8842.36"/>
    <x v="1"/>
    <x v="15"/>
    <x v="3"/>
    <n v="2"/>
    <n v="84083.75"/>
    <x v="2"/>
  </r>
  <r>
    <x v="544"/>
    <s v="Rajesh Gupta"/>
    <n v="42"/>
    <x v="2"/>
    <n v="117525"/>
    <n v="100000"/>
    <n v="24"/>
    <n v="9.3699999999999992"/>
    <s v="Debt Consolidation"/>
    <n v="789"/>
    <x v="416"/>
    <s v="2022-03-10"/>
    <x v="0"/>
    <n v="4585.47"/>
    <x v="3"/>
    <x v="14"/>
    <x v="2"/>
    <n v="3"/>
    <n v="83492.31"/>
    <x v="1"/>
  </r>
  <r>
    <x v="545"/>
    <s v="Deepa Nair"/>
    <n v="60"/>
    <x v="2"/>
    <n v="238401"/>
    <n v="200000"/>
    <n v="36"/>
    <n v="17.88"/>
    <s v="Medical"/>
    <n v="706"/>
    <x v="417"/>
    <s v="2021-07-01"/>
    <x v="2"/>
    <n v="7218.45"/>
    <x v="0"/>
    <x v="2"/>
    <x v="0"/>
    <n v="0"/>
    <n v="83061.11"/>
    <x v="2"/>
  </r>
  <r>
    <x v="546"/>
    <s v="Dinesh Verma"/>
    <n v="40"/>
    <x v="3"/>
    <n v="182671"/>
    <n v="100000"/>
    <n v="60"/>
    <n v="20.95"/>
    <s v="Business Expansion"/>
    <n v="352"/>
    <x v="85"/>
    <s v="2021-01-26"/>
    <x v="0"/>
    <n v="2702.52"/>
    <x v="0"/>
    <x v="0"/>
    <x v="0"/>
    <n v="2"/>
    <n v="82974.12"/>
    <x v="0"/>
  </r>
  <r>
    <x v="547"/>
    <s v="Anil Mishra"/>
    <n v="22"/>
    <x v="2"/>
    <n v="197551"/>
    <n v="250000"/>
    <n v="84"/>
    <n v="18.420000000000002"/>
    <s v="Education"/>
    <n v="327"/>
    <x v="418"/>
    <s v="2022-02-07"/>
    <x v="0"/>
    <n v="5316.18"/>
    <x v="3"/>
    <x v="7"/>
    <x v="2"/>
    <n v="0"/>
    <n v="82540.33"/>
    <x v="0"/>
  </r>
  <r>
    <x v="548"/>
    <s v="Anita Jain"/>
    <n v="63"/>
    <x v="1"/>
    <n v="69380"/>
    <n v="250000"/>
    <n v="240"/>
    <n v="15.5"/>
    <s v="Business Expansion"/>
    <n v="392"/>
    <x v="419"/>
    <s v="2023-08-27"/>
    <x v="0"/>
    <n v="3384.7"/>
    <x v="1"/>
    <x v="3"/>
    <x v="3"/>
    <n v="1"/>
    <n v="82457.350000000006"/>
    <x v="0"/>
  </r>
  <r>
    <x v="549"/>
    <s v="Ramesh Shah"/>
    <n v="32"/>
    <x v="0"/>
    <n v="226933"/>
    <n v="150000"/>
    <n v="36"/>
    <n v="8.1199999999999992"/>
    <s v="Vehicle Loan"/>
    <n v="745"/>
    <x v="420"/>
    <s v="2022-11-12"/>
    <x v="0"/>
    <n v="4708.76"/>
    <x v="0"/>
    <x v="0"/>
    <x v="2"/>
    <n v="9"/>
    <n v="82193.86"/>
    <x v="2"/>
  </r>
  <r>
    <x v="550"/>
    <s v="Chetna Patel"/>
    <n v="44"/>
    <x v="3"/>
    <n v="105387"/>
    <n v="150000"/>
    <n v="24"/>
    <n v="18.690000000000001"/>
    <s v="Medical"/>
    <s v="Not Available"/>
    <x v="421"/>
    <s v="2022-01-23"/>
    <x v="2"/>
    <n v="7538.72"/>
    <x v="3"/>
    <x v="12"/>
    <x v="2"/>
    <n v="8"/>
    <n v="82151.520000000004"/>
    <x v="4"/>
  </r>
  <r>
    <x v="551"/>
    <s v="Harish Saxena"/>
    <n v="24"/>
    <x v="1"/>
    <n v="125555"/>
    <n v="100000"/>
    <n v="36"/>
    <n v="13.27"/>
    <s v="Vehicle Loan"/>
    <n v="776"/>
    <x v="422"/>
    <s v="2023-05-07"/>
    <x v="1"/>
    <n v="3382.41"/>
    <x v="3"/>
    <x v="12"/>
    <x v="0"/>
    <n v="2"/>
    <n v="81734.990000000005"/>
    <x v="1"/>
  </r>
  <r>
    <x v="552"/>
    <s v="Kiran Patel"/>
    <n v="57"/>
    <x v="2"/>
    <n v="161537"/>
    <n v="1000000"/>
    <n v="12"/>
    <n v="20.49"/>
    <s v="Agriculture"/>
    <n v="451"/>
    <x v="37"/>
    <s v="2022-08-10"/>
    <x v="0"/>
    <n v="92869.18"/>
    <x v="3"/>
    <x v="12"/>
    <x v="1"/>
    <n v="1"/>
    <n v="80595.12"/>
    <x v="0"/>
  </r>
  <r>
    <x v="553"/>
    <s v="Arjun Nair"/>
    <n v="48"/>
    <x v="3"/>
    <n v="29692"/>
    <n v="400000"/>
    <n v="12"/>
    <n v="12.06"/>
    <s v="Business Expansion"/>
    <n v="498"/>
    <x v="288"/>
    <s v="2022-11-05"/>
    <x v="0"/>
    <n v="35550.74"/>
    <x v="1"/>
    <x v="1"/>
    <x v="0"/>
    <n v="1"/>
    <n v="80043.34"/>
    <x v="0"/>
  </r>
  <r>
    <x v="554"/>
    <s v="Tarun Patel"/>
    <n v="25"/>
    <x v="1"/>
    <n v="78850"/>
    <n v="100000"/>
    <n v="48"/>
    <n v="8.49"/>
    <s v="Personal"/>
    <n v="900"/>
    <x v="423"/>
    <s v="2021-01-17"/>
    <x v="0"/>
    <n v="2464.36"/>
    <x v="0"/>
    <x v="0"/>
    <x v="2"/>
    <n v="5"/>
    <n v="80038.679999999993"/>
    <x v="1"/>
  </r>
  <r>
    <x v="555"/>
    <s v="Arjun Kumar"/>
    <n v="37"/>
    <x v="1"/>
    <n v="109935"/>
    <n v="300000"/>
    <n v="12"/>
    <n v="16.27"/>
    <s v="Agriculture"/>
    <n v="679"/>
    <x v="33"/>
    <s v="2021-10-28"/>
    <x v="1"/>
    <n v="27257.599999999999"/>
    <x v="4"/>
    <x v="16"/>
    <x v="3"/>
    <n v="0"/>
    <n v="79213.440000000002"/>
    <x v="2"/>
  </r>
  <r>
    <x v="556"/>
    <s v="Ganesh Pillai"/>
    <n v="53"/>
    <x v="4"/>
    <n v="200145"/>
    <n v="100000"/>
    <n v="180"/>
    <n v="11.68"/>
    <s v="Home Purchase"/>
    <n v="753"/>
    <x v="424"/>
    <s v="2022-01-05"/>
    <x v="2"/>
    <n v="1179.6600000000001"/>
    <x v="0"/>
    <x v="18"/>
    <x v="4"/>
    <n v="0"/>
    <n v="78766.12"/>
    <x v="1"/>
  </r>
  <r>
    <x v="557"/>
    <s v="Usha Sharma"/>
    <n v="56"/>
    <x v="2"/>
    <n v="97818"/>
    <n v="100000"/>
    <n v="60"/>
    <n v="19.64"/>
    <s v="Agriculture"/>
    <n v="766"/>
    <x v="199"/>
    <s v="2021-04-03"/>
    <x v="0"/>
    <n v="2629.4"/>
    <x v="0"/>
    <x v="18"/>
    <x v="2"/>
    <n v="4"/>
    <n v="78701.86"/>
    <x v="1"/>
  </r>
  <r>
    <x v="558"/>
    <s v="Harish Mehta"/>
    <n v="40"/>
    <x v="4"/>
    <n v="31685"/>
    <n v="150000"/>
    <n v="36"/>
    <n v="16.59"/>
    <s v="Medical"/>
    <n v="749"/>
    <x v="425"/>
    <s v="2023-12-31"/>
    <x v="0"/>
    <n v="5317.35"/>
    <x v="3"/>
    <x v="14"/>
    <x v="1"/>
    <n v="1"/>
    <n v="78215.77"/>
    <x v="2"/>
  </r>
  <r>
    <x v="559"/>
    <s v="Chetna Menon"/>
    <n v="49"/>
    <x v="4"/>
    <n v="87943"/>
    <n v="750000"/>
    <n v="84"/>
    <n v="8.94"/>
    <s v="Business Expansion"/>
    <n v="469"/>
    <x v="426"/>
    <s v="2023-06-28"/>
    <x v="2"/>
    <n v="12043.98"/>
    <x v="3"/>
    <x v="12"/>
    <x v="2"/>
    <n v="4"/>
    <n v="77945.919999999998"/>
    <x v="0"/>
  </r>
  <r>
    <x v="560"/>
    <s v="Deepa Banerjee"/>
    <n v="50"/>
    <x v="4"/>
    <n v="107163"/>
    <n v="150000"/>
    <n v="12"/>
    <n v="14.25"/>
    <s v="Medical"/>
    <n v="736"/>
    <x v="427"/>
    <s v="2023-02-20"/>
    <x v="2"/>
    <n v="13485.72"/>
    <x v="2"/>
    <x v="4"/>
    <x v="0"/>
    <n v="1"/>
    <n v="77177.11"/>
    <x v="2"/>
  </r>
  <r>
    <x v="561"/>
    <s v="Naveen Singh"/>
    <n v="56"/>
    <x v="4"/>
    <n v="224450"/>
    <n v="150000"/>
    <n v="12"/>
    <n v="14.58"/>
    <s v="Home Purchase"/>
    <n v="678"/>
    <x v="428"/>
    <s v="2023-07-20"/>
    <x v="0"/>
    <n v="13509.04"/>
    <x v="0"/>
    <x v="22"/>
    <x v="0"/>
    <n v="2"/>
    <n v="77051.179999999993"/>
    <x v="2"/>
  </r>
  <r>
    <x v="562"/>
    <s v="Ashok Malhotra"/>
    <n v="44"/>
    <x v="3"/>
    <n v="188340"/>
    <n v="150000"/>
    <n v="48"/>
    <n v="10.9"/>
    <s v="Business Expansion"/>
    <n v="386"/>
    <x v="429"/>
    <s v="2021-12-17"/>
    <x v="0"/>
    <n v="3869.55"/>
    <x v="3"/>
    <x v="12"/>
    <x v="0"/>
    <n v="0"/>
    <n v="76865.5"/>
    <x v="0"/>
  </r>
  <r>
    <x v="563"/>
    <s v="Harish Mehta"/>
    <n v="61"/>
    <x v="1"/>
    <n v="36314"/>
    <n v="500000"/>
    <n v="180"/>
    <n v="14.21"/>
    <s v="Business Expansion"/>
    <n v="368"/>
    <x v="254"/>
    <s v="2021-11-04"/>
    <x v="0"/>
    <n v="6729.4"/>
    <x v="2"/>
    <x v="4"/>
    <x v="3"/>
    <n v="0"/>
    <n v="76047.8"/>
    <x v="0"/>
  </r>
  <r>
    <x v="564"/>
    <s v="Madhuri Mishra"/>
    <n v="61"/>
    <x v="4"/>
    <n v="198691"/>
    <n v="100000"/>
    <n v="120"/>
    <n v="19.54"/>
    <s v="Vehicle Loan"/>
    <n v="823"/>
    <x v="430"/>
    <s v="2021-08-24"/>
    <x v="2"/>
    <n v="1902.16"/>
    <x v="1"/>
    <x v="1"/>
    <x v="0"/>
    <n v="1"/>
    <n v="76032.78"/>
    <x v="1"/>
  </r>
  <r>
    <x v="565"/>
    <s v="Kiran Shetty"/>
    <n v="23"/>
    <x v="2"/>
    <n v="226144"/>
    <n v="200000"/>
    <n v="36"/>
    <n v="8.1199999999999992"/>
    <s v="Debt Consolidation"/>
    <n v="854"/>
    <x v="431"/>
    <s v="2022-03-18"/>
    <x v="2"/>
    <n v="6278.35"/>
    <x v="0"/>
    <x v="2"/>
    <x v="0"/>
    <n v="0"/>
    <n v="75688.67"/>
    <x v="1"/>
  </r>
  <r>
    <x v="566"/>
    <s v="Smita Mishra"/>
    <n v="54"/>
    <x v="4"/>
    <n v="125229"/>
    <n v="150000"/>
    <n v="60"/>
    <n v="8.24"/>
    <s v="Debt Consolidation"/>
    <n v="801"/>
    <x v="432"/>
    <s v="2023-03-17"/>
    <x v="0"/>
    <n v="3058.72"/>
    <x v="1"/>
    <x v="1"/>
    <x v="0"/>
    <n v="1"/>
    <n v="75673.100000000006"/>
    <x v="1"/>
  </r>
  <r>
    <x v="567"/>
    <s v="Amit Joshi"/>
    <n v="56"/>
    <x v="1"/>
    <n v="33157"/>
    <n v="250000"/>
    <n v="84"/>
    <n v="20.96"/>
    <s v="Personal"/>
    <n v="506"/>
    <x v="433"/>
    <s v="2022-05-02"/>
    <x v="2"/>
    <n v="5696.96"/>
    <x v="4"/>
    <x v="9"/>
    <x v="2"/>
    <n v="6"/>
    <n v="75673.02"/>
    <x v="0"/>
  </r>
  <r>
    <x v="568"/>
    <s v="Rekha Rao"/>
    <n v="33"/>
    <x v="4"/>
    <n v="197246"/>
    <n v="100000"/>
    <n v="12"/>
    <n v="15.54"/>
    <s v="Medical"/>
    <n v="425"/>
    <x v="434"/>
    <s v="2021-12-02"/>
    <x v="0"/>
    <n v="9051.33"/>
    <x v="3"/>
    <x v="17"/>
    <x v="0"/>
    <n v="2"/>
    <n v="75561.41"/>
    <x v="0"/>
  </r>
  <r>
    <x v="569"/>
    <s v="Smita Mishra"/>
    <n v="60"/>
    <x v="4"/>
    <n v="57033"/>
    <n v="75000"/>
    <n v="240"/>
    <n v="9.75"/>
    <s v="Business Expansion"/>
    <n v="569"/>
    <x v="435"/>
    <s v="2023-11-18"/>
    <x v="0"/>
    <n v="711.39"/>
    <x v="1"/>
    <x v="11"/>
    <x v="0"/>
    <n v="1"/>
    <n v="75000"/>
    <x v="3"/>
  </r>
  <r>
    <x v="570"/>
    <s v="Divya Chaudhary"/>
    <n v="40"/>
    <x v="0"/>
    <n v="15414"/>
    <n v="75000"/>
    <n v="12"/>
    <n v="14.24"/>
    <s v="Vehicle Loan"/>
    <n v="512"/>
    <x v="436"/>
    <s v="2022-11-29"/>
    <x v="1"/>
    <n v="6742.51"/>
    <x v="1"/>
    <x v="10"/>
    <x v="2"/>
    <n v="6"/>
    <n v="75000"/>
    <x v="0"/>
  </r>
  <r>
    <x v="571"/>
    <s v="Geeta Das"/>
    <n v="62"/>
    <x v="4"/>
    <n v="107923"/>
    <n v="75000"/>
    <n v="12"/>
    <n v="18.47"/>
    <s v="Vehicle Loan"/>
    <n v="759"/>
    <x v="397"/>
    <s v="2023-07-31"/>
    <x v="2"/>
    <n v="6892.79"/>
    <x v="4"/>
    <x v="24"/>
    <x v="0"/>
    <n v="2"/>
    <n v="75000"/>
    <x v="1"/>
  </r>
  <r>
    <x v="572"/>
    <s v="Manoj Kumar"/>
    <n v="25"/>
    <x v="4"/>
    <n v="80662"/>
    <n v="75000"/>
    <n v="12"/>
    <n v="19.78"/>
    <s v="Vehicle Loan"/>
    <n v="752"/>
    <x v="437"/>
    <s v="2022-01-05"/>
    <x v="0"/>
    <n v="6939.69"/>
    <x v="4"/>
    <x v="24"/>
    <x v="2"/>
    <n v="10"/>
    <n v="75000"/>
    <x v="1"/>
  </r>
  <r>
    <x v="573"/>
    <s v="Ajay Nair"/>
    <n v="58"/>
    <x v="2"/>
    <n v="38111"/>
    <n v="75000"/>
    <n v="24"/>
    <n v="10.15"/>
    <s v="Vehicle Loan"/>
    <n v="490"/>
    <x v="412"/>
    <s v="2022-01-10"/>
    <x v="0"/>
    <n v="3466.06"/>
    <x v="4"/>
    <x v="24"/>
    <x v="4"/>
    <n v="2"/>
    <n v="75000"/>
    <x v="0"/>
  </r>
  <r>
    <x v="574"/>
    <s v="Tarun Patel"/>
    <n v="52"/>
    <x v="0"/>
    <n v="18760"/>
    <n v="75000"/>
    <n v="24"/>
    <n v="18.010000000000002"/>
    <s v="Agriculture"/>
    <n v="893"/>
    <x v="438"/>
    <s v="2023-09-15"/>
    <x v="3"/>
    <n v="3744.67"/>
    <x v="1"/>
    <x v="11"/>
    <x v="4"/>
    <n v="1"/>
    <n v="75000"/>
    <x v="1"/>
  </r>
  <r>
    <x v="575"/>
    <s v="Rekha Pillai"/>
    <n v="48"/>
    <x v="4"/>
    <n v="204277"/>
    <n v="1500000"/>
    <n v="240"/>
    <n v="11.35"/>
    <s v="Business Expansion"/>
    <n v="604"/>
    <x v="439"/>
    <s v="2023-10-10"/>
    <x v="0"/>
    <n v="15841.69"/>
    <x v="0"/>
    <x v="8"/>
    <x v="2"/>
    <n v="0"/>
    <n v="74247.899999999994"/>
    <x v="3"/>
  </r>
  <r>
    <x v="576"/>
    <s v="Vikram Mehta"/>
    <n v="23"/>
    <x v="2"/>
    <n v="202922"/>
    <n v="250000"/>
    <n v="12"/>
    <n v="8.77"/>
    <s v="Home Purchase"/>
    <n v="482"/>
    <x v="440"/>
    <s v="2022-04-23"/>
    <x v="0"/>
    <n v="21836.21"/>
    <x v="4"/>
    <x v="24"/>
    <x v="0"/>
    <n v="0"/>
    <n v="73126.7"/>
    <x v="0"/>
  </r>
  <r>
    <x v="577"/>
    <s v="Varsha Yadav"/>
    <n v="52"/>
    <x v="0"/>
    <n v="227729"/>
    <n v="100000"/>
    <n v="24"/>
    <n v="17.88"/>
    <s v="Agriculture"/>
    <n v="337"/>
    <x v="441"/>
    <s v="2021-04-09"/>
    <x v="2"/>
    <n v="4986.6099999999997"/>
    <x v="4"/>
    <x v="9"/>
    <x v="0"/>
    <n v="0"/>
    <n v="73072.31"/>
    <x v="0"/>
  </r>
  <r>
    <x v="578"/>
    <s v="Ganesh Banerjee"/>
    <n v="49"/>
    <x v="4"/>
    <n v="237245"/>
    <n v="250000"/>
    <n v="60"/>
    <n v="15.12"/>
    <s v="Medical"/>
    <n v="432"/>
    <x v="271"/>
    <s v="2023-11-04"/>
    <x v="0"/>
    <n v="5963.24"/>
    <x v="1"/>
    <x v="15"/>
    <x v="3"/>
    <n v="1"/>
    <n v="72891.77"/>
    <x v="0"/>
  </r>
  <r>
    <x v="579"/>
    <s v="Pallavi Shah"/>
    <n v="54"/>
    <x v="0"/>
    <n v="228479"/>
    <n v="400000"/>
    <n v="12"/>
    <n v="16.52"/>
    <s v="Vehicle Loan"/>
    <n v="619"/>
    <x v="442"/>
    <s v="2022-01-26"/>
    <x v="0"/>
    <n v="36390.85"/>
    <x v="4"/>
    <x v="21"/>
    <x v="2"/>
    <n v="5"/>
    <n v="72482.350000000006"/>
    <x v="3"/>
  </r>
  <r>
    <x v="580"/>
    <s v="Kiran Gupta"/>
    <n v="36"/>
    <x v="4"/>
    <n v="184085"/>
    <n v="500000"/>
    <n v="240"/>
    <n v="19.25"/>
    <s v="Home Purchase"/>
    <n v="690"/>
    <x v="78"/>
    <s v="2021-07-29"/>
    <x v="0"/>
    <n v="8200.76"/>
    <x v="4"/>
    <x v="21"/>
    <x v="1"/>
    <n v="12"/>
    <n v="71920.33"/>
    <x v="2"/>
  </r>
  <r>
    <x v="581"/>
    <s v="Varsha Banerjee"/>
    <n v="36"/>
    <x v="3"/>
    <n v="128763"/>
    <n v="75000"/>
    <n v="24"/>
    <n v="13.93"/>
    <s v="Business Expansion"/>
    <n v="329"/>
    <x v="443"/>
    <s v="2022-09-07"/>
    <x v="0"/>
    <n v="3598.49"/>
    <x v="3"/>
    <x v="12"/>
    <x v="2"/>
    <n v="12"/>
    <n v="71761.36"/>
    <x v="0"/>
  </r>
  <r>
    <x v="582"/>
    <s v="Kiran Kapoor"/>
    <n v="40"/>
    <x v="0"/>
    <n v="152059"/>
    <n v="75000"/>
    <n v="24"/>
    <n v="21.97"/>
    <s v="Medical"/>
    <n v="547"/>
    <x v="444"/>
    <s v="2021-09-03"/>
    <x v="1"/>
    <n v="3889.75"/>
    <x v="2"/>
    <x v="4"/>
    <x v="0"/>
    <n v="1"/>
    <n v="71499.23"/>
    <x v="0"/>
  </r>
  <r>
    <x v="583"/>
    <s v="Lakshmi Tiwari"/>
    <n v="29"/>
    <x v="0"/>
    <n v="234512"/>
    <n v="75000"/>
    <n v="48"/>
    <n v="14.49"/>
    <s v="Personal"/>
    <n v="305"/>
    <x v="399"/>
    <s v="2022-09-20"/>
    <x v="1"/>
    <n v="2067.9699999999998"/>
    <x v="2"/>
    <x v="13"/>
    <x v="0"/>
    <n v="1"/>
    <n v="71277.649999999994"/>
    <x v="0"/>
  </r>
  <r>
    <x v="584"/>
    <s v="Lakshmi Jain"/>
    <n v="49"/>
    <x v="2"/>
    <n v="242496"/>
    <n v="75000"/>
    <n v="48"/>
    <n v="18.34"/>
    <s v="Home Purchase"/>
    <n v="691"/>
    <x v="445"/>
    <s v="2022-11-05"/>
    <x v="0"/>
    <n v="2216.4699999999998"/>
    <x v="3"/>
    <x v="12"/>
    <x v="1"/>
    <n v="8"/>
    <n v="71010.350000000006"/>
    <x v="2"/>
  </r>
  <r>
    <x v="585"/>
    <s v="Bhavna Gupta"/>
    <n v="41"/>
    <x v="2"/>
    <n v="90565"/>
    <n v="75000"/>
    <n v="60"/>
    <n v="7.73"/>
    <s v="Home Purchase"/>
    <n v="522"/>
    <x v="446"/>
    <s v="2023-10-10"/>
    <x v="1"/>
    <n v="1511.06"/>
    <x v="4"/>
    <x v="24"/>
    <x v="0"/>
    <n v="0"/>
    <n v="70920.14"/>
    <x v="0"/>
  </r>
  <r>
    <x v="586"/>
    <s v="Kavitha Iyer"/>
    <n v="56"/>
    <x v="0"/>
    <n v="89803"/>
    <n v="100000"/>
    <n v="36"/>
    <n v="11.21"/>
    <s v="Vehicle Loan"/>
    <n v="457"/>
    <x v="180"/>
    <s v="2021-05-23"/>
    <x v="0"/>
    <n v="3283.83"/>
    <x v="4"/>
    <x v="16"/>
    <x v="0"/>
    <n v="2"/>
    <n v="70445.53"/>
    <x v="0"/>
  </r>
  <r>
    <x v="587"/>
    <s v="Siddharth Deshpande"/>
    <n v="55"/>
    <x v="0"/>
    <n v="190047"/>
    <n v="1000000"/>
    <n v="240"/>
    <n v="17.399999999999999"/>
    <s v="Personal"/>
    <n v="531"/>
    <x v="447"/>
    <s v="2022-11-23"/>
    <x v="2"/>
    <n v="14972.95"/>
    <x v="3"/>
    <x v="14"/>
    <x v="1"/>
    <n v="7"/>
    <n v="70179.8"/>
    <x v="0"/>
  </r>
  <r>
    <x v="588"/>
    <s v="Smita Menon"/>
    <n v="39"/>
    <x v="3"/>
    <n v="65782"/>
    <n v="75000"/>
    <n v="36"/>
    <n v="17.440000000000001"/>
    <s v="Agriculture"/>
    <n v="809"/>
    <x v="148"/>
    <s v="2021-05-14"/>
    <x v="0"/>
    <n v="2690.41"/>
    <x v="0"/>
    <x v="0"/>
    <x v="3"/>
    <n v="2"/>
    <n v="70157.259999999995"/>
    <x v="1"/>
  </r>
  <r>
    <x v="589"/>
    <s v="Sarala Nair"/>
    <n v="54"/>
    <x v="0"/>
    <n v="119217"/>
    <n v="500000"/>
    <n v="48"/>
    <n v="9.5500000000000007"/>
    <s v="Personal"/>
    <n v="317"/>
    <x v="448"/>
    <s v="2021-11-28"/>
    <x v="2"/>
    <n v="12573.51"/>
    <x v="0"/>
    <x v="22"/>
    <x v="0"/>
    <n v="2"/>
    <n v="69985.960000000006"/>
    <x v="0"/>
  </r>
  <r>
    <x v="590"/>
    <s v="Ravi Menon"/>
    <n v="22"/>
    <x v="4"/>
    <n v="118185"/>
    <n v="150000"/>
    <n v="60"/>
    <n v="20.97"/>
    <s v="Home Purchase"/>
    <n v="774"/>
    <x v="449"/>
    <s v="2021-02-04"/>
    <x v="1"/>
    <n v="4055.47"/>
    <x v="1"/>
    <x v="10"/>
    <x v="0"/>
    <n v="0"/>
    <n v="69701.69"/>
    <x v="1"/>
  </r>
  <r>
    <x v="591"/>
    <s v="Sanjay Reddy"/>
    <n v="55"/>
    <x v="3"/>
    <n v="64303"/>
    <n v="75000"/>
    <n v="60"/>
    <n v="20.440000000000001"/>
    <s v="Education"/>
    <n v="621"/>
    <x v="174"/>
    <s v="2022-09-28"/>
    <x v="2"/>
    <n v="2005.45"/>
    <x v="3"/>
    <x v="7"/>
    <x v="0"/>
    <n v="0"/>
    <n v="69585.289999999994"/>
    <x v="3"/>
  </r>
  <r>
    <x v="592"/>
    <s v="Siddharth Gupta"/>
    <n v="56"/>
    <x v="4"/>
    <n v="131132"/>
    <n v="250000"/>
    <n v="84"/>
    <n v="15.48"/>
    <s v="Medical"/>
    <n v="680"/>
    <x v="321"/>
    <s v="2022-05-29"/>
    <x v="0"/>
    <n v="4891.76"/>
    <x v="2"/>
    <x v="4"/>
    <x v="1"/>
    <n v="11"/>
    <n v="69494.06"/>
    <x v="2"/>
  </r>
  <r>
    <x v="593"/>
    <s v="Meena Joshi"/>
    <n v="56"/>
    <x v="1"/>
    <n v="224325"/>
    <n v="100000"/>
    <n v="24"/>
    <n v="17.09"/>
    <s v="Home Purchase"/>
    <n v="434"/>
    <x v="450"/>
    <s v="2022-10-29"/>
    <x v="0"/>
    <n v="4948.55"/>
    <x v="3"/>
    <x v="12"/>
    <x v="2"/>
    <n v="12"/>
    <n v="68824.14"/>
    <x v="0"/>
  </r>
  <r>
    <x v="594"/>
    <s v="Tarun Joshi"/>
    <n v="30"/>
    <x v="4"/>
    <n v="234812"/>
    <n v="100000"/>
    <n v="12"/>
    <n v="8.01"/>
    <s v="Medical"/>
    <n v="633"/>
    <x v="428"/>
    <s v="2023-07-08"/>
    <x v="1"/>
    <n v="8699.31"/>
    <x v="2"/>
    <x v="4"/>
    <x v="2"/>
    <n v="8"/>
    <n v="68682.48"/>
    <x v="3"/>
  </r>
  <r>
    <x v="595"/>
    <s v="Tarun Singh"/>
    <n v="58"/>
    <x v="0"/>
    <n v="29656"/>
    <n v="100000"/>
    <n v="60"/>
    <n v="20.88"/>
    <s v="Debt Consolidation"/>
    <n v="877"/>
    <x v="207"/>
    <s v="2023-07-31"/>
    <x v="0"/>
    <n v="2698.59"/>
    <x v="3"/>
    <x v="12"/>
    <x v="1"/>
    <n v="1"/>
    <n v="68426.5"/>
    <x v="1"/>
  </r>
  <r>
    <x v="596"/>
    <s v="Abhishek Kapoor"/>
    <n v="23"/>
    <x v="0"/>
    <n v="67166"/>
    <n v="75000"/>
    <n v="120"/>
    <n v="11.62"/>
    <s v="Personal"/>
    <n v="598"/>
    <x v="328"/>
    <s v="2023-02-13"/>
    <x v="0"/>
    <n v="1059.6199999999999"/>
    <x v="1"/>
    <x v="1"/>
    <x v="0"/>
    <n v="1"/>
    <n v="68324.39"/>
    <x v="3"/>
  </r>
  <r>
    <x v="597"/>
    <s v="Amit Kumar"/>
    <n v="41"/>
    <x v="3"/>
    <n v="212800"/>
    <n v="75000"/>
    <n v="24"/>
    <n v="20.84"/>
    <s v="Personal"/>
    <n v="504"/>
    <x v="292"/>
    <s v="2021-11-25"/>
    <x v="0"/>
    <n v="3848.03"/>
    <x v="0"/>
    <x v="22"/>
    <x v="0"/>
    <n v="0"/>
    <n v="68073.55"/>
    <x v="0"/>
  </r>
  <r>
    <x v="598"/>
    <s v="Siddharth Shah"/>
    <n v="40"/>
    <x v="3"/>
    <n v="138412"/>
    <n v="100000"/>
    <n v="60"/>
    <n v="18.02"/>
    <s v="Education"/>
    <n v="643"/>
    <x v="451"/>
    <s v="2022-10-07"/>
    <x v="1"/>
    <n v="2540.4299999999998"/>
    <x v="3"/>
    <x v="17"/>
    <x v="0"/>
    <n v="1"/>
    <n v="67990.58"/>
    <x v="3"/>
  </r>
  <r>
    <x v="599"/>
    <s v="Pallavi Kumar"/>
    <n v="53"/>
    <x v="2"/>
    <n v="148898"/>
    <n v="250000"/>
    <n v="12"/>
    <n v="14.74"/>
    <s v="Education"/>
    <n v="676"/>
    <x v="143"/>
    <s v="2021-09-04"/>
    <x v="0"/>
    <n v="22533.919999999998"/>
    <x v="0"/>
    <x v="22"/>
    <x v="0"/>
    <n v="0"/>
    <n v="67475.25"/>
    <x v="2"/>
  </r>
  <r>
    <x v="600"/>
    <s v="Anita Rao"/>
    <n v="34"/>
    <x v="4"/>
    <n v="83413"/>
    <n v="200000"/>
    <n v="240"/>
    <n v="15.32"/>
    <s v="Personal"/>
    <n v="350"/>
    <x v="452"/>
    <s v="2023-06-25"/>
    <x v="2"/>
    <n v="2680.99"/>
    <x v="4"/>
    <x v="24"/>
    <x v="3"/>
    <n v="1"/>
    <n v="67291"/>
    <x v="0"/>
  </r>
  <r>
    <x v="601"/>
    <s v="Varsha Tiwari"/>
    <n v="27"/>
    <x v="1"/>
    <n v="184566"/>
    <n v="150000"/>
    <n v="180"/>
    <n v="7.8"/>
    <s v="Education"/>
    <n v="564"/>
    <x v="453"/>
    <s v="2023-05-10"/>
    <x v="0"/>
    <n v="1416.21"/>
    <x v="0"/>
    <x v="22"/>
    <x v="3"/>
    <n v="2"/>
    <n v="67151.710000000006"/>
    <x v="3"/>
  </r>
  <r>
    <x v="602"/>
    <s v="Sunil Mehta"/>
    <n v="35"/>
    <x v="1"/>
    <n v="45091"/>
    <n v="150000"/>
    <n v="12"/>
    <n v="12.25"/>
    <s v="Personal"/>
    <n v="385"/>
    <x v="98"/>
    <s v="2022-02-18"/>
    <x v="0"/>
    <n v="13344.87"/>
    <x v="0"/>
    <x v="22"/>
    <x v="0"/>
    <n v="1"/>
    <n v="65927.320000000007"/>
    <x v="0"/>
  </r>
  <r>
    <x v="603"/>
    <s v="Ganesh Chatterjee"/>
    <n v="22"/>
    <x v="2"/>
    <n v="224181"/>
    <n v="200000"/>
    <n v="48"/>
    <n v="19.05"/>
    <s v="Medical"/>
    <n v="493"/>
    <x v="190"/>
    <s v="2022-06-04"/>
    <x v="0"/>
    <n v="5985.3"/>
    <x v="2"/>
    <x v="20"/>
    <x v="0"/>
    <n v="1"/>
    <n v="65330.75"/>
    <x v="0"/>
  </r>
  <r>
    <x v="604"/>
    <s v="Komal Kapoor"/>
    <n v="47"/>
    <x v="2"/>
    <n v="52452"/>
    <n v="200000"/>
    <n v="36"/>
    <n v="11.08"/>
    <s v="Business Expansion"/>
    <n v="898"/>
    <x v="454"/>
    <s v="2022-04-02"/>
    <x v="2"/>
    <n v="6555.32"/>
    <x v="2"/>
    <x v="20"/>
    <x v="0"/>
    <n v="1"/>
    <n v="64304.88"/>
    <x v="1"/>
  </r>
  <r>
    <x v="605"/>
    <s v="Rani Reddy"/>
    <n v="41"/>
    <x v="2"/>
    <n v="186608"/>
    <n v="100000"/>
    <n v="36"/>
    <n v="13.91"/>
    <s v="Agriculture"/>
    <n v="598"/>
    <x v="406"/>
    <s v="2021-02-02"/>
    <x v="0"/>
    <n v="3413.39"/>
    <x v="0"/>
    <x v="0"/>
    <x v="1"/>
    <n v="3"/>
    <n v="63135.39"/>
    <x v="3"/>
  </r>
  <r>
    <x v="606"/>
    <s v="Meena Shetty"/>
    <n v="31"/>
    <x v="3"/>
    <n v="79237"/>
    <n v="75000"/>
    <n v="12"/>
    <n v="15.75"/>
    <s v="Debt Consolidation"/>
    <n v="453"/>
    <x v="164"/>
    <s v="2024-01-11"/>
    <x v="0"/>
    <n v="6795.94"/>
    <x v="0"/>
    <x v="2"/>
    <x v="3"/>
    <n v="2"/>
    <n v="62767.31"/>
    <x v="0"/>
  </r>
  <r>
    <x v="607"/>
    <s v="Pallavi Dubey"/>
    <n v="35"/>
    <x v="4"/>
    <n v="122638"/>
    <n v="75000"/>
    <n v="12"/>
    <n v="17.420000000000002"/>
    <s v="Home Purchase"/>
    <n v="818"/>
    <x v="303"/>
    <s v="2023-08-18"/>
    <x v="0"/>
    <n v="6855.31"/>
    <x v="2"/>
    <x v="19"/>
    <x v="3"/>
    <n v="2"/>
    <n v="62660.44"/>
    <x v="1"/>
  </r>
  <r>
    <x v="608"/>
    <s v="Rohit Verma"/>
    <n v="36"/>
    <x v="1"/>
    <n v="96813"/>
    <n v="100000"/>
    <n v="24"/>
    <n v="13.06"/>
    <s v="Business Expansion"/>
    <n v="471"/>
    <x v="455"/>
    <s v="2023-08-18"/>
    <x v="0"/>
    <n v="4757"/>
    <x v="3"/>
    <x v="5"/>
    <x v="3"/>
    <n v="1"/>
    <n v="61468.3"/>
    <x v="0"/>
  </r>
  <r>
    <x v="609"/>
    <s v="Lakshmi Shah"/>
    <n v="41"/>
    <x v="3"/>
    <n v="210155"/>
    <n v="75000"/>
    <n v="48"/>
    <n v="9.3699999999999992"/>
    <s v="Education"/>
    <n v="532"/>
    <x v="456"/>
    <s v="2021-06-26"/>
    <x v="0"/>
    <n v="1879.58"/>
    <x v="4"/>
    <x v="9"/>
    <x v="0"/>
    <n v="0"/>
    <n v="61467.02"/>
    <x v="0"/>
  </r>
  <r>
    <x v="610"/>
    <s v="Anita Saxena"/>
    <n v="32"/>
    <x v="4"/>
    <n v="165756"/>
    <n v="200000"/>
    <n v="48"/>
    <n v="14.79"/>
    <s v="Agriculture"/>
    <n v="582"/>
    <x v="457"/>
    <s v="2021-06-10"/>
    <x v="0"/>
    <n v="5544.88"/>
    <x v="0"/>
    <x v="8"/>
    <x v="0"/>
    <n v="0"/>
    <n v="60269.02"/>
    <x v="3"/>
  </r>
  <r>
    <x v="611"/>
    <s v="Naveen Gupta"/>
    <n v="32"/>
    <x v="3"/>
    <n v="18916"/>
    <n v="250000"/>
    <n v="48"/>
    <n v="8.84"/>
    <s v="Vehicle Loan"/>
    <n v="415"/>
    <x v="458"/>
    <s v="2023-06-28"/>
    <x v="0"/>
    <n v="6202.28"/>
    <x v="2"/>
    <x v="4"/>
    <x v="0"/>
    <n v="1"/>
    <n v="60210.23"/>
    <x v="0"/>
  </r>
  <r>
    <x v="612"/>
    <s v="Rekha Yadav"/>
    <n v="46"/>
    <x v="0"/>
    <n v="142833"/>
    <n v="75000"/>
    <n v="84"/>
    <n v="10.53"/>
    <s v="Medical"/>
    <n v="619"/>
    <x v="459"/>
    <s v="2021-10-04"/>
    <x v="0"/>
    <n v="1265.72"/>
    <x v="2"/>
    <x v="13"/>
    <x v="3"/>
    <n v="2"/>
    <n v="60191.08"/>
    <x v="3"/>
  </r>
  <r>
    <x v="613"/>
    <s v="Rekha Deshpande"/>
    <n v="34"/>
    <x v="0"/>
    <n v="90121"/>
    <n v="200000"/>
    <n v="240"/>
    <n v="12.13"/>
    <s v="Agriculture"/>
    <n v="420"/>
    <x v="335"/>
    <s v="2021-08-26"/>
    <x v="2"/>
    <n v="2220.33"/>
    <x v="4"/>
    <x v="9"/>
    <x v="0"/>
    <n v="0"/>
    <n v="60119.21"/>
    <x v="0"/>
  </r>
  <r>
    <x v="614"/>
    <s v="Kavitha Nair"/>
    <n v="63"/>
    <x v="2"/>
    <n v="119245"/>
    <n v="1500000"/>
    <n v="24"/>
    <n v="15.02"/>
    <s v="Personal"/>
    <n v="733"/>
    <x v="242"/>
    <s v="2022-09-30"/>
    <x v="0"/>
    <n v="72744.23"/>
    <x v="0"/>
    <x v="2"/>
    <x v="0"/>
    <n v="1"/>
    <n v="59664.25"/>
    <x v="2"/>
  </r>
  <r>
    <x v="615"/>
    <s v="Dinesh Joshi"/>
    <n v="30"/>
    <x v="2"/>
    <n v="159127"/>
    <n v="100000"/>
    <n v="60"/>
    <n v="15.15"/>
    <s v="Debt Consolidation"/>
    <n v="516"/>
    <x v="394"/>
    <s v="2023-04-22"/>
    <x v="0"/>
    <n v="2386.87"/>
    <x v="1"/>
    <x v="3"/>
    <x v="0"/>
    <n v="2"/>
    <n v="59184.52"/>
    <x v="0"/>
  </r>
  <r>
    <x v="616"/>
    <s v="Vinod Kapoor"/>
    <n v="61"/>
    <x v="3"/>
    <n v="118108"/>
    <n v="200000"/>
    <n v="180"/>
    <n v="14.65"/>
    <s v="Vehicle Loan"/>
    <n v="682"/>
    <x v="262"/>
    <s v="2021-05-07"/>
    <x v="0"/>
    <n v="2751.39"/>
    <x v="1"/>
    <x v="1"/>
    <x v="2"/>
    <n v="0"/>
    <n v="58853.69"/>
    <x v="2"/>
  </r>
  <r>
    <x v="617"/>
    <s v="Ashok Patel"/>
    <n v="57"/>
    <x v="3"/>
    <n v="52329"/>
    <n v="200000"/>
    <n v="180"/>
    <n v="10.32"/>
    <s v="Medical"/>
    <n v="344"/>
    <x v="437"/>
    <s v="2022-01-02"/>
    <x v="0"/>
    <n v="2188.5300000000002"/>
    <x v="3"/>
    <x v="17"/>
    <x v="3"/>
    <n v="0"/>
    <n v="58183.26"/>
    <x v="0"/>
  </r>
  <r>
    <x v="618"/>
    <s v="Anil Joshi"/>
    <n v="31"/>
    <x v="0"/>
    <n v="187807"/>
    <n v="75000"/>
    <n v="24"/>
    <n v="17.899999999999999"/>
    <s v="Business Expansion"/>
    <n v="407"/>
    <x v="130"/>
    <s v="2022-09-22"/>
    <x v="0"/>
    <n v="3740.68"/>
    <x v="0"/>
    <x v="0"/>
    <x v="3"/>
    <n v="1"/>
    <n v="58166.94"/>
    <x v="0"/>
  </r>
  <r>
    <x v="619"/>
    <s v="Bhavna Nayak"/>
    <n v="64"/>
    <x v="1"/>
    <n v="232653"/>
    <n v="500000"/>
    <n v="180"/>
    <n v="8.8000000000000007"/>
    <s v="Business Expansion"/>
    <n v="448"/>
    <x v="460"/>
    <s v="2022-05-31"/>
    <x v="0"/>
    <n v="5012.0200000000004"/>
    <x v="1"/>
    <x v="11"/>
    <x v="0"/>
    <n v="2"/>
    <n v="57939.839999999997"/>
    <x v="0"/>
  </r>
  <r>
    <x v="620"/>
    <s v="Ramesh Deshpande"/>
    <n v="41"/>
    <x v="3"/>
    <n v="171179"/>
    <n v="75000"/>
    <n v="84"/>
    <n v="18.11"/>
    <s v="Debt Consolidation"/>
    <n v="554"/>
    <x v="214"/>
    <s v="2021-10-12"/>
    <x v="3"/>
    <n v="1581.18"/>
    <x v="0"/>
    <x v="8"/>
    <x v="0"/>
    <n v="2"/>
    <n v="57923.26"/>
    <x v="3"/>
  </r>
  <r>
    <x v="621"/>
    <s v="Deepa Patel"/>
    <n v="36"/>
    <x v="2"/>
    <n v="34514"/>
    <n v="150000"/>
    <n v="48"/>
    <n v="9.8800000000000008"/>
    <s v="Business Expansion"/>
    <n v="364"/>
    <x v="461"/>
    <s v="2021-03-12"/>
    <x v="0"/>
    <n v="3795.75"/>
    <x v="3"/>
    <x v="5"/>
    <x v="1"/>
    <n v="7"/>
    <n v="57763.27"/>
    <x v="0"/>
  </r>
  <r>
    <x v="622"/>
    <s v="Rekha Menon"/>
    <n v="29"/>
    <x v="4"/>
    <n v="90851"/>
    <n v="100000"/>
    <n v="36"/>
    <n v="18.62"/>
    <s v="Debt Consolidation"/>
    <n v="863"/>
    <x v="462"/>
    <s v="2023-05-29"/>
    <x v="0"/>
    <n v="3646.42"/>
    <x v="2"/>
    <x v="6"/>
    <x v="2"/>
    <n v="12"/>
    <n v="57336.89"/>
    <x v="1"/>
  </r>
  <r>
    <x v="623"/>
    <s v="Vikram Kapoor"/>
    <n v="47"/>
    <x v="4"/>
    <n v="31292"/>
    <n v="500000"/>
    <n v="120"/>
    <n v="16.809999999999999"/>
    <s v="Debt Consolidation"/>
    <n v="458"/>
    <x v="463"/>
    <s v="2021-11-28"/>
    <x v="0"/>
    <n v="8629.7800000000007"/>
    <x v="1"/>
    <x v="1"/>
    <x v="0"/>
    <n v="0"/>
    <n v="57292.29"/>
    <x v="0"/>
  </r>
  <r>
    <x v="624"/>
    <s v="Ganesh Pillai"/>
    <n v="42"/>
    <x v="0"/>
    <n v="91803"/>
    <n v="75000"/>
    <n v="12"/>
    <n v="10.5"/>
    <s v="Agriculture"/>
    <n v="770"/>
    <x v="132"/>
    <s v="2022-01-15"/>
    <x v="0"/>
    <n v="6611.15"/>
    <x v="0"/>
    <x v="18"/>
    <x v="0"/>
    <n v="1"/>
    <n v="57149.9"/>
    <x v="1"/>
  </r>
  <r>
    <x v="625"/>
    <s v="Madhuri Kumar"/>
    <n v="38"/>
    <x v="1"/>
    <n v="86106"/>
    <n v="200000"/>
    <n v="240"/>
    <n v="10.8"/>
    <s v="Medical"/>
    <n v="545"/>
    <x v="49"/>
    <s v="2022-02-26"/>
    <x v="0"/>
    <n v="2037.22"/>
    <x v="1"/>
    <x v="3"/>
    <x v="0"/>
    <n v="1"/>
    <n v="56987.16"/>
    <x v="0"/>
  </r>
  <r>
    <x v="626"/>
    <s v="Ganesh Das"/>
    <n v="32"/>
    <x v="2"/>
    <n v="129407"/>
    <n v="75000"/>
    <n v="180"/>
    <n v="8.09"/>
    <s v="Medical"/>
    <n v="874"/>
    <x v="464"/>
    <s v="2021-11-06"/>
    <x v="2"/>
    <n v="720.64"/>
    <x v="2"/>
    <x v="4"/>
    <x v="2"/>
    <n v="7"/>
    <n v="56839.87"/>
    <x v="1"/>
  </r>
  <r>
    <x v="627"/>
    <s v="Arjun Deshpande"/>
    <n v="37"/>
    <x v="2"/>
    <n v="225036"/>
    <n v="150000"/>
    <n v="48"/>
    <n v="17.13"/>
    <s v="Agriculture"/>
    <n v="790"/>
    <x v="465"/>
    <s v="2021-06-02"/>
    <x v="0"/>
    <n v="4338.3500000000004"/>
    <x v="0"/>
    <x v="8"/>
    <x v="3"/>
    <n v="0"/>
    <n v="56291.64"/>
    <x v="1"/>
  </r>
  <r>
    <x v="628"/>
    <s v="Smita Shah"/>
    <n v="29"/>
    <x v="1"/>
    <n v="182403"/>
    <n v="150000"/>
    <n v="48"/>
    <n v="16.170000000000002"/>
    <s v="Medical"/>
    <n v="487"/>
    <x v="466"/>
    <s v="2023-10-14"/>
    <x v="0"/>
    <n v="4264.1099999999997"/>
    <x v="2"/>
    <x v="6"/>
    <x v="0"/>
    <n v="0"/>
    <n v="54057.53"/>
    <x v="0"/>
  </r>
  <r>
    <x v="629"/>
    <s v="Geeta Shah"/>
    <n v="31"/>
    <x v="4"/>
    <n v="63970"/>
    <n v="150000"/>
    <n v="12"/>
    <n v="12.22"/>
    <s v="Education"/>
    <n v="578"/>
    <x v="467"/>
    <s v="2021-05-12"/>
    <x v="0"/>
    <n v="13342.76"/>
    <x v="1"/>
    <x v="1"/>
    <x v="0"/>
    <n v="2"/>
    <n v="53932.13"/>
    <x v="3"/>
  </r>
  <r>
    <x v="630"/>
    <s v="Mohan Sharma"/>
    <n v="22"/>
    <x v="4"/>
    <n v="151980"/>
    <n v="75000"/>
    <n v="240"/>
    <n v="7.6"/>
    <s v="Personal"/>
    <n v="623"/>
    <x v="403"/>
    <s v="2023-06-15"/>
    <x v="0"/>
    <n v="608.79"/>
    <x v="2"/>
    <x v="6"/>
    <x v="0"/>
    <n v="0"/>
    <n v="53631.47"/>
    <x v="3"/>
  </r>
  <r>
    <x v="631"/>
    <s v="Sarala Nair"/>
    <n v="28"/>
    <x v="2"/>
    <n v="198305"/>
    <n v="75000"/>
    <n v="120"/>
    <n v="9.35"/>
    <s v="Home Purchase"/>
    <n v="465"/>
    <x v="468"/>
    <s v="2023-07-16"/>
    <x v="0"/>
    <n v="964.33"/>
    <x v="1"/>
    <x v="1"/>
    <x v="0"/>
    <n v="0"/>
    <n v="53302.57"/>
    <x v="0"/>
  </r>
  <r>
    <x v="632"/>
    <s v="Dinesh Shah"/>
    <n v="65"/>
    <x v="2"/>
    <n v="43449"/>
    <n v="75000"/>
    <n v="36"/>
    <n v="10.57"/>
    <s v="Education"/>
    <n v="725"/>
    <x v="469"/>
    <s v="2022-07-25"/>
    <x v="0"/>
    <n v="2440.16"/>
    <x v="3"/>
    <x v="14"/>
    <x v="0"/>
    <n v="0"/>
    <n v="53038.559999999998"/>
    <x v="2"/>
  </r>
  <r>
    <x v="633"/>
    <s v="Arjun Das"/>
    <n v="24"/>
    <x v="2"/>
    <n v="200237"/>
    <n v="400000"/>
    <n v="240"/>
    <n v="11.77"/>
    <s v="Agriculture"/>
    <n v="494"/>
    <x v="0"/>
    <s v="2022-11-20"/>
    <x v="2"/>
    <n v="4340.37"/>
    <x v="1"/>
    <x v="3"/>
    <x v="2"/>
    <n v="8"/>
    <n v="52336.36"/>
    <x v="0"/>
  </r>
  <r>
    <x v="634"/>
    <s v="Ajay Joshi"/>
    <n v="56"/>
    <x v="0"/>
    <n v="218541"/>
    <n v="300000"/>
    <n v="36"/>
    <n v="16.28"/>
    <s v="Business Expansion"/>
    <n v="649"/>
    <x v="470"/>
    <s v="2023-06-01"/>
    <x v="0"/>
    <n v="10588.63"/>
    <x v="4"/>
    <x v="21"/>
    <x v="0"/>
    <n v="0"/>
    <n v="52226.06"/>
    <x v="3"/>
  </r>
  <r>
    <x v="635"/>
    <s v="Sunita Rao"/>
    <n v="55"/>
    <x v="0"/>
    <n v="94724"/>
    <n v="100000"/>
    <n v="36"/>
    <n v="12.18"/>
    <s v="Personal"/>
    <n v="654"/>
    <x v="471"/>
    <s v="2022-03-02"/>
    <x v="2"/>
    <n v="3330.03"/>
    <x v="1"/>
    <x v="11"/>
    <x v="0"/>
    <n v="0"/>
    <n v="52047.57"/>
    <x v="2"/>
  </r>
  <r>
    <x v="636"/>
    <s v="Sarala Malhotra"/>
    <n v="28"/>
    <x v="3"/>
    <n v="38493"/>
    <n v="250000"/>
    <n v="240"/>
    <n v="8.85"/>
    <s v="Medical"/>
    <n v="694"/>
    <x v="472"/>
    <s v="2021-07-19"/>
    <x v="0"/>
    <n v="2225.25"/>
    <x v="3"/>
    <x v="12"/>
    <x v="2"/>
    <n v="6"/>
    <n v="51730.23"/>
    <x v="2"/>
  </r>
  <r>
    <x v="637"/>
    <s v="Anita Das"/>
    <n v="62"/>
    <x v="2"/>
    <n v="196992"/>
    <n v="75000"/>
    <n v="84"/>
    <n v="14.93"/>
    <s v="Home Purchase"/>
    <n v="565"/>
    <x v="420"/>
    <s v="2022-11-03"/>
    <x v="0"/>
    <n v="1444.31"/>
    <x v="0"/>
    <x v="18"/>
    <x v="3"/>
    <n v="0"/>
    <n v="51602.18"/>
    <x v="3"/>
  </r>
  <r>
    <x v="638"/>
    <s v="Usha Dubey"/>
    <n v="49"/>
    <x v="3"/>
    <n v="42164"/>
    <n v="100000"/>
    <n v="60"/>
    <n v="18.489999999999998"/>
    <s v="Vehicle Loan"/>
    <n v="473"/>
    <x v="473"/>
    <s v="2021-10-28"/>
    <x v="0"/>
    <n v="2566.0700000000002"/>
    <x v="4"/>
    <x v="16"/>
    <x v="0"/>
    <n v="2"/>
    <n v="51501.279999999999"/>
    <x v="0"/>
  </r>
  <r>
    <x v="639"/>
    <s v="Pooja Joshi"/>
    <n v="58"/>
    <x v="1"/>
    <n v="123523"/>
    <n v="150000"/>
    <n v="48"/>
    <n v="11.46"/>
    <s v="Personal"/>
    <n v="481"/>
    <x v="474"/>
    <s v="2022-07-01"/>
    <x v="0"/>
    <n v="3910.42"/>
    <x v="4"/>
    <x v="23"/>
    <x v="2"/>
    <n v="11"/>
    <n v="51457.42"/>
    <x v="0"/>
  </r>
  <r>
    <x v="640"/>
    <s v="Vikram Chatterjee"/>
    <n v="26"/>
    <x v="0"/>
    <n v="151179"/>
    <n v="75000"/>
    <n v="24"/>
    <n v="18.010000000000002"/>
    <s v="Debt Consolidation"/>
    <n v="494"/>
    <x v="475"/>
    <s v="2022-01-22"/>
    <x v="0"/>
    <n v="3744.67"/>
    <x v="0"/>
    <x v="18"/>
    <x v="1"/>
    <n v="10"/>
    <n v="51408.58"/>
    <x v="0"/>
  </r>
  <r>
    <x v="641"/>
    <s v="Ajay Das"/>
    <n v="28"/>
    <x v="3"/>
    <n v="118522"/>
    <n v="150000"/>
    <n v="24"/>
    <n v="15.54"/>
    <s v="Agriculture"/>
    <n v="505"/>
    <x v="114"/>
    <s v="2023-09-14"/>
    <x v="0"/>
    <n v="7311.54"/>
    <x v="0"/>
    <x v="18"/>
    <x v="3"/>
    <n v="0"/>
    <n v="51294.21"/>
    <x v="0"/>
  </r>
  <r>
    <x v="642"/>
    <s v="Smita Shetty"/>
    <n v="32"/>
    <x v="1"/>
    <n v="108132"/>
    <n v="150000"/>
    <n v="60"/>
    <n v="17.68"/>
    <s v="Vehicle Loan"/>
    <n v="475"/>
    <x v="476"/>
    <s v="2023-02-28"/>
    <x v="0"/>
    <n v="3782.95"/>
    <x v="1"/>
    <x v="3"/>
    <x v="2"/>
    <n v="2"/>
    <n v="51265.01"/>
    <x v="0"/>
  </r>
  <r>
    <x v="643"/>
    <s v="Priya Patel"/>
    <n v="40"/>
    <x v="3"/>
    <n v="69286"/>
    <n v="100000"/>
    <n v="24"/>
    <n v="8.4700000000000006"/>
    <s v="Agriculture"/>
    <n v="421"/>
    <x v="477"/>
    <s v="2021-02-16"/>
    <x v="0"/>
    <n v="4544.2"/>
    <x v="2"/>
    <x v="6"/>
    <x v="0"/>
    <n v="2"/>
    <n v="50922.64"/>
    <x v="0"/>
  </r>
  <r>
    <x v="644"/>
    <s v="Siddharth Chatterjee"/>
    <n v="51"/>
    <x v="1"/>
    <n v="212096"/>
    <n v="75000"/>
    <n v="12"/>
    <n v="14.15"/>
    <s v="Vehicle Loan"/>
    <n v="375"/>
    <x v="478"/>
    <s v="2021-10-13"/>
    <x v="0"/>
    <n v="6739.33"/>
    <x v="1"/>
    <x v="3"/>
    <x v="0"/>
    <n v="2"/>
    <n v="50738.41"/>
    <x v="0"/>
  </r>
  <r>
    <x v="645"/>
    <s v="Sanjay Rao"/>
    <n v="43"/>
    <x v="1"/>
    <n v="170052"/>
    <n v="750000"/>
    <n v="24"/>
    <n v="21.91"/>
    <s v="Home Purchase"/>
    <n v="375"/>
    <x v="479"/>
    <s v="2023-08-06"/>
    <x v="0"/>
    <n v="38875.29"/>
    <x v="4"/>
    <x v="16"/>
    <x v="2"/>
    <n v="6"/>
    <n v="50244.78"/>
    <x v="0"/>
  </r>
  <r>
    <x v="646"/>
    <s v="Geeta Kaur"/>
    <n v="42"/>
    <x v="1"/>
    <n v="80434"/>
    <n v="75000"/>
    <n v="12"/>
    <n v="18.170000000000002"/>
    <s v="Agriculture"/>
    <n v="830"/>
    <x v="193"/>
    <s v="2022-07-13"/>
    <x v="2"/>
    <n v="6882.07"/>
    <x v="2"/>
    <x v="20"/>
    <x v="0"/>
    <n v="0"/>
    <n v="50224.55"/>
    <x v="1"/>
  </r>
  <r>
    <x v="647"/>
    <s v="Pooja Nayak"/>
    <n v="65"/>
    <x v="4"/>
    <n v="173052"/>
    <n v="50000"/>
    <n v="24"/>
    <n v="10.23"/>
    <s v="Personal"/>
    <n v="790"/>
    <x v="480"/>
    <s v="2022-03-19"/>
    <x v="1"/>
    <n v="2312.56"/>
    <x v="0"/>
    <x v="22"/>
    <x v="2"/>
    <n v="4"/>
    <n v="50000"/>
    <x v="1"/>
  </r>
  <r>
    <x v="648"/>
    <s v="Anita Kaur"/>
    <n v="49"/>
    <x v="2"/>
    <n v="115484"/>
    <n v="50000"/>
    <n v="12"/>
    <n v="15.24"/>
    <s v="Medical"/>
    <n v="314"/>
    <x v="348"/>
    <s v="2021-02-01"/>
    <x v="0"/>
    <n v="4518.58"/>
    <x v="4"/>
    <x v="24"/>
    <x v="0"/>
    <n v="0"/>
    <n v="50000"/>
    <x v="0"/>
  </r>
  <r>
    <x v="649"/>
    <s v="Pallavi Singh"/>
    <n v="36"/>
    <x v="0"/>
    <n v="210265"/>
    <n v="50000"/>
    <n v="24"/>
    <n v="17.420000000000002"/>
    <s v="Education"/>
    <n v="523"/>
    <x v="481"/>
    <s v="2022-04-01"/>
    <x v="0"/>
    <n v="2482.2199999999998"/>
    <x v="4"/>
    <x v="21"/>
    <x v="0"/>
    <n v="2"/>
    <n v="50000"/>
    <x v="0"/>
  </r>
  <r>
    <x v="650"/>
    <s v="Siddharth Tiwari"/>
    <n v="53"/>
    <x v="4"/>
    <n v="130879"/>
    <n v="300000"/>
    <n v="60"/>
    <n v="10.63"/>
    <s v="Vehicle Loan"/>
    <n v="653"/>
    <x v="103"/>
    <s v="2023-10-13"/>
    <x v="0"/>
    <n v="6467.51"/>
    <x v="2"/>
    <x v="19"/>
    <x v="2"/>
    <n v="4"/>
    <n v="49707.360000000001"/>
    <x v="2"/>
  </r>
  <r>
    <x v="651"/>
    <s v="Manoj Patel"/>
    <n v="22"/>
    <x v="1"/>
    <n v="230096"/>
    <n v="150000"/>
    <n v="24"/>
    <n v="10.7"/>
    <s v="Vehicle Loan"/>
    <n v="471"/>
    <x v="204"/>
    <s v="2021-09-07"/>
    <x v="2"/>
    <n v="6970.3"/>
    <x v="0"/>
    <x v="8"/>
    <x v="0"/>
    <n v="1"/>
    <n v="49627.68"/>
    <x v="0"/>
  </r>
  <r>
    <x v="652"/>
    <s v="Deepa Shah"/>
    <n v="38"/>
    <x v="2"/>
    <n v="67587"/>
    <n v="150000"/>
    <n v="84"/>
    <n v="21.79"/>
    <s v="Vehicle Loan"/>
    <n v="647"/>
    <x v="482"/>
    <s v="2021-03-05"/>
    <x v="0"/>
    <n v="3494.46"/>
    <x v="2"/>
    <x v="19"/>
    <x v="0"/>
    <n v="2"/>
    <n v="49359.55"/>
    <x v="3"/>
  </r>
  <r>
    <x v="653"/>
    <s v="Smita Deshpande"/>
    <n v="36"/>
    <x v="4"/>
    <n v="32363"/>
    <n v="300000"/>
    <n v="60"/>
    <n v="16.23"/>
    <s v="Personal"/>
    <n v="405"/>
    <x v="483"/>
    <s v="2021-06-24"/>
    <x v="0"/>
    <n v="7332.13"/>
    <x v="1"/>
    <x v="11"/>
    <x v="3"/>
    <n v="2"/>
    <n v="49241.15"/>
    <x v="0"/>
  </r>
  <r>
    <x v="654"/>
    <s v="Nisha Chatterjee"/>
    <n v="53"/>
    <x v="4"/>
    <n v="208948"/>
    <n v="400000"/>
    <n v="48"/>
    <n v="7.89"/>
    <s v="Home Purchase"/>
    <n v="457"/>
    <x v="99"/>
    <s v="2023-09-01"/>
    <x v="2"/>
    <n v="9744.5300000000007"/>
    <x v="4"/>
    <x v="23"/>
    <x v="2"/>
    <n v="10"/>
    <n v="49196.92"/>
    <x v="0"/>
  </r>
  <r>
    <x v="655"/>
    <s v="Rohit Kapoor"/>
    <n v="64"/>
    <x v="2"/>
    <n v="50592"/>
    <n v="75000"/>
    <n v="36"/>
    <n v="16.809999999999999"/>
    <s v="Debt Consolidation"/>
    <n v="766"/>
    <x v="484"/>
    <s v="2023-08-08"/>
    <x v="0"/>
    <n v="2666.87"/>
    <x v="1"/>
    <x v="10"/>
    <x v="2"/>
    <n v="9"/>
    <n v="48597.99"/>
    <x v="1"/>
  </r>
  <r>
    <x v="656"/>
    <s v="Rekha Shetty"/>
    <n v="56"/>
    <x v="0"/>
    <n v="56154"/>
    <n v="500000"/>
    <n v="120"/>
    <n v="19.97"/>
    <s v="Personal"/>
    <n v="597"/>
    <x v="485"/>
    <s v="2022-04-07"/>
    <x v="2"/>
    <n v="9652.84"/>
    <x v="0"/>
    <x v="22"/>
    <x v="0"/>
    <n v="1"/>
    <n v="48247.09"/>
    <x v="3"/>
  </r>
  <r>
    <x v="657"/>
    <s v="Chetna Shah"/>
    <n v="39"/>
    <x v="4"/>
    <n v="191013"/>
    <n v="50000"/>
    <n v="120"/>
    <n v="20.69"/>
    <s v="Business Expansion"/>
    <n v="579"/>
    <x v="486"/>
    <s v="2023-05-23"/>
    <x v="2"/>
    <n v="989.26"/>
    <x v="3"/>
    <x v="14"/>
    <x v="0"/>
    <n v="0"/>
    <n v="48219.33"/>
    <x v="3"/>
  </r>
  <r>
    <x v="658"/>
    <s v="Ganesh Menon"/>
    <n v="38"/>
    <x v="3"/>
    <n v="101514"/>
    <n v="1000000"/>
    <n v="24"/>
    <n v="14.14"/>
    <s v="Agriculture"/>
    <s v="Not Available"/>
    <x v="487"/>
    <s v="2023-07-13"/>
    <x v="0"/>
    <n v="48079.05"/>
    <x v="4"/>
    <x v="23"/>
    <x v="1"/>
    <n v="4"/>
    <n v="48034.81"/>
    <x v="4"/>
  </r>
  <r>
    <x v="659"/>
    <s v="Ravi Yadav"/>
    <n v="41"/>
    <x v="0"/>
    <n v="115845"/>
    <n v="400000"/>
    <n v="24"/>
    <n v="10.94"/>
    <s v="Medical"/>
    <n v="888"/>
    <x v="158"/>
    <s v="2023-04-02"/>
    <x v="0"/>
    <n v="18631.990000000002"/>
    <x v="4"/>
    <x v="23"/>
    <x v="0"/>
    <n v="0"/>
    <n v="47855.39"/>
    <x v="1"/>
  </r>
  <r>
    <x v="660"/>
    <s v="Sunil Yadav"/>
    <n v="53"/>
    <x v="1"/>
    <n v="145382"/>
    <n v="50000"/>
    <n v="24"/>
    <n v="21.21"/>
    <s v="Agriculture"/>
    <n v="546"/>
    <x v="488"/>
    <s v="2021-04-26"/>
    <x v="2"/>
    <n v="2574.44"/>
    <x v="0"/>
    <x v="18"/>
    <x v="1"/>
    <n v="5"/>
    <n v="47683"/>
    <x v="0"/>
  </r>
  <r>
    <x v="661"/>
    <s v="Kiran Joshi"/>
    <n v="42"/>
    <x v="2"/>
    <n v="47483"/>
    <n v="50000"/>
    <n v="84"/>
    <n v="15.51"/>
    <s v="Medical"/>
    <n v="445"/>
    <x v="489"/>
    <s v="2023-07-02"/>
    <x v="2"/>
    <n v="979.2"/>
    <x v="4"/>
    <x v="16"/>
    <x v="0"/>
    <n v="2"/>
    <n v="47356.160000000003"/>
    <x v="0"/>
  </r>
  <r>
    <x v="662"/>
    <s v="Pallavi Dubey"/>
    <n v="26"/>
    <x v="3"/>
    <n v="99439"/>
    <n v="750000"/>
    <n v="36"/>
    <n v="8.4499999999999993"/>
    <s v="Business Expansion"/>
    <n v="899"/>
    <x v="301"/>
    <s v="2022-09-13"/>
    <x v="0"/>
    <n v="23658.28"/>
    <x v="1"/>
    <x v="11"/>
    <x v="2"/>
    <n v="6"/>
    <n v="47349.08"/>
    <x v="1"/>
  </r>
  <r>
    <x v="663"/>
    <s v="Pallavi Nayak"/>
    <n v="46"/>
    <x v="0"/>
    <n v="83938"/>
    <n v="75000"/>
    <n v="120"/>
    <n v="16.57"/>
    <s v="Business Expansion"/>
    <n v="591"/>
    <x v="490"/>
    <s v="2021-05-29"/>
    <x v="0"/>
    <n v="1283.1199999999999"/>
    <x v="1"/>
    <x v="11"/>
    <x v="0"/>
    <n v="1"/>
    <n v="47284.61"/>
    <x v="3"/>
  </r>
  <r>
    <x v="664"/>
    <s v="Shweta Tiwari"/>
    <n v="37"/>
    <x v="4"/>
    <n v="35811"/>
    <n v="50000"/>
    <n v="36"/>
    <n v="12.93"/>
    <s v="Business Expansion"/>
    <n v="506"/>
    <x v="491"/>
    <s v="2022-05-29"/>
    <x v="0"/>
    <n v="1683.01"/>
    <x v="0"/>
    <x v="2"/>
    <x v="0"/>
    <n v="0"/>
    <n v="46970.58"/>
    <x v="0"/>
  </r>
  <r>
    <x v="665"/>
    <s v="Rohit Nair"/>
    <n v="29"/>
    <x v="3"/>
    <n v="78713"/>
    <n v="750000"/>
    <n v="36"/>
    <n v="20.100000000000001"/>
    <s v="Business Expansion"/>
    <n v="314"/>
    <x v="492"/>
    <s v="2023-08-26"/>
    <x v="2"/>
    <n v="27910.92"/>
    <x v="4"/>
    <x v="21"/>
    <x v="2"/>
    <n v="4"/>
    <n v="46644.82"/>
    <x v="0"/>
  </r>
  <r>
    <x v="666"/>
    <s v="Varsha Jain"/>
    <n v="64"/>
    <x v="4"/>
    <n v="37942"/>
    <n v="50000"/>
    <n v="36"/>
    <n v="20.45"/>
    <s v="Medical"/>
    <n v="402"/>
    <x v="493"/>
    <s v="2021-01-30"/>
    <x v="0"/>
    <n v="1869.66"/>
    <x v="3"/>
    <x v="7"/>
    <x v="0"/>
    <n v="0"/>
    <n v="46634.61"/>
    <x v="0"/>
  </r>
  <r>
    <x v="667"/>
    <s v="Ramesh Kulkarni"/>
    <n v="62"/>
    <x v="4"/>
    <n v="230628"/>
    <n v="100000"/>
    <n v="48"/>
    <n v="18.79"/>
    <s v="Personal"/>
    <n v="518"/>
    <x v="237"/>
    <s v="2024-01-10"/>
    <x v="1"/>
    <n v="2978.94"/>
    <x v="4"/>
    <x v="24"/>
    <x v="2"/>
    <n v="4"/>
    <n v="46379.08"/>
    <x v="0"/>
  </r>
  <r>
    <x v="668"/>
    <s v="Harish Chaudhary"/>
    <n v="45"/>
    <x v="2"/>
    <n v="26732"/>
    <n v="100000"/>
    <n v="36"/>
    <n v="16.18"/>
    <s v="Business Expansion"/>
    <n v="732"/>
    <x v="494"/>
    <s v="2023-05-14"/>
    <x v="0"/>
    <n v="3524.6"/>
    <x v="1"/>
    <x v="11"/>
    <x v="0"/>
    <n v="0"/>
    <n v="46073.62"/>
    <x v="2"/>
  </r>
  <r>
    <x v="669"/>
    <s v="Pooja Chaudhary"/>
    <n v="42"/>
    <x v="1"/>
    <n v="188362"/>
    <n v="50000"/>
    <n v="84"/>
    <n v="12"/>
    <s v="Education"/>
    <n v="890"/>
    <x v="113"/>
    <s v="2023-08-25"/>
    <x v="0"/>
    <n v="882.64"/>
    <x v="2"/>
    <x v="19"/>
    <x v="0"/>
    <n v="2"/>
    <n v="46028.12"/>
    <x v="1"/>
  </r>
  <r>
    <x v="670"/>
    <s v="Ramesh Chaudhary"/>
    <n v="57"/>
    <x v="2"/>
    <n v="91176"/>
    <n v="300000"/>
    <n v="48"/>
    <n v="19.920000000000002"/>
    <s v="Agriculture"/>
    <n v="676"/>
    <x v="444"/>
    <s v="2021-08-19"/>
    <x v="0"/>
    <n v="9116.33"/>
    <x v="0"/>
    <x v="8"/>
    <x v="0"/>
    <n v="2"/>
    <n v="45654.39"/>
    <x v="2"/>
  </r>
  <r>
    <x v="671"/>
    <s v="Kiran Kumar"/>
    <n v="25"/>
    <x v="3"/>
    <n v="144478"/>
    <n v="250000"/>
    <n v="12"/>
    <n v="16.489999999999998"/>
    <s v="Debt Consolidation"/>
    <n v="381"/>
    <x v="495"/>
    <s v="2021-07-13"/>
    <x v="0"/>
    <n v="22740.720000000001"/>
    <x v="2"/>
    <x v="19"/>
    <x v="4"/>
    <n v="2"/>
    <n v="45333.52"/>
    <x v="0"/>
  </r>
  <r>
    <x v="672"/>
    <s v="Geeta Shah"/>
    <n v="63"/>
    <x v="4"/>
    <n v="199778"/>
    <n v="75000"/>
    <n v="240"/>
    <n v="17.79"/>
    <s v="Personal"/>
    <n v="441"/>
    <x v="109"/>
    <s v="2023-10-03"/>
    <x v="2"/>
    <n v="1145.3800000000001"/>
    <x v="4"/>
    <x v="9"/>
    <x v="0"/>
    <n v="2"/>
    <n v="45105.58"/>
    <x v="0"/>
  </r>
  <r>
    <x v="673"/>
    <s v="Ashok Pillai"/>
    <n v="31"/>
    <x v="0"/>
    <n v="95625"/>
    <n v="75000"/>
    <n v="84"/>
    <n v="16.54"/>
    <s v="Medical"/>
    <n v="897"/>
    <x v="223"/>
    <s v="2022-08-29"/>
    <x v="2"/>
    <n v="1512.81"/>
    <x v="2"/>
    <x v="4"/>
    <x v="0"/>
    <n v="1"/>
    <n v="45046.36"/>
    <x v="1"/>
  </r>
  <r>
    <x v="674"/>
    <s v="Manoj Kumar"/>
    <n v="30"/>
    <x v="1"/>
    <n v="183385"/>
    <n v="75000"/>
    <n v="180"/>
    <n v="14.25"/>
    <s v="Medical"/>
    <n v="431"/>
    <x v="11"/>
    <s v="2023-06-25"/>
    <x v="0"/>
    <n v="1011.43"/>
    <x v="1"/>
    <x v="15"/>
    <x v="0"/>
    <n v="0"/>
    <n v="44960.53"/>
    <x v="0"/>
  </r>
  <r>
    <x v="675"/>
    <s v="Suresh Mehta"/>
    <n v="49"/>
    <x v="2"/>
    <n v="36481"/>
    <n v="75000"/>
    <n v="12"/>
    <n v="13.66"/>
    <s v="Education"/>
    <n v="787"/>
    <x v="496"/>
    <s v="2023-12-29"/>
    <x v="0"/>
    <n v="6722.04"/>
    <x v="0"/>
    <x v="2"/>
    <x v="2"/>
    <n v="1"/>
    <n v="44750.82"/>
    <x v="1"/>
  </r>
  <r>
    <x v="676"/>
    <s v="Chetna Nair"/>
    <n v="33"/>
    <x v="3"/>
    <n v="203286"/>
    <n v="75000"/>
    <n v="12"/>
    <n v="13.78"/>
    <s v="Personal"/>
    <n v="515"/>
    <x v="497"/>
    <s v="2023-12-30"/>
    <x v="0"/>
    <n v="6726.27"/>
    <x v="3"/>
    <x v="5"/>
    <x v="0"/>
    <n v="1"/>
    <n v="44731.78"/>
    <x v="0"/>
  </r>
  <r>
    <x v="677"/>
    <s v="Abhishek Iyer"/>
    <n v="56"/>
    <x v="2"/>
    <n v="101778"/>
    <n v="75000"/>
    <n v="12"/>
    <n v="16.559999999999999"/>
    <s v="Education"/>
    <n v="368"/>
    <x v="133"/>
    <s v="2021-02-07"/>
    <x v="1"/>
    <n v="6824.71"/>
    <x v="4"/>
    <x v="24"/>
    <x v="0"/>
    <n v="0"/>
    <n v="44288.800000000003"/>
    <x v="0"/>
  </r>
  <r>
    <x v="678"/>
    <s v="Anil Chaudhary"/>
    <n v="38"/>
    <x v="3"/>
    <n v="91277"/>
    <n v="75000"/>
    <n v="24"/>
    <n v="8.7899999999999991"/>
    <s v="Personal"/>
    <n v="418"/>
    <x v="304"/>
    <s v="2023-03-11"/>
    <x v="2"/>
    <n v="3419.13"/>
    <x v="1"/>
    <x v="11"/>
    <x v="0"/>
    <n v="0"/>
    <n v="44227.83"/>
    <x v="0"/>
  </r>
  <r>
    <x v="679"/>
    <s v="Abhishek Gupta"/>
    <n v="25"/>
    <x v="2"/>
    <n v="177006"/>
    <n v="300000"/>
    <n v="60"/>
    <n v="9.66"/>
    <s v="Medical"/>
    <n v="474"/>
    <x v="498"/>
    <s v="2023-12-29"/>
    <x v="0"/>
    <n v="6324.04"/>
    <x v="1"/>
    <x v="1"/>
    <x v="2"/>
    <n v="0"/>
    <n v="43876.38"/>
    <x v="0"/>
  </r>
  <r>
    <x v="680"/>
    <s v="Ravi Jain"/>
    <n v="62"/>
    <x v="2"/>
    <n v="140600"/>
    <n v="100000"/>
    <n v="180"/>
    <n v="15.28"/>
    <s v="Medical"/>
    <n v="529"/>
    <x v="499"/>
    <s v="2023-03-18"/>
    <x v="0"/>
    <n v="1418.81"/>
    <x v="0"/>
    <x v="22"/>
    <x v="2"/>
    <n v="10"/>
    <n v="43815.12"/>
    <x v="0"/>
  </r>
  <r>
    <x v="681"/>
    <s v="Nisha Tiwari"/>
    <n v="40"/>
    <x v="3"/>
    <n v="240091"/>
    <n v="75000"/>
    <n v="12"/>
    <n v="21.12"/>
    <s v="Education"/>
    <n v="564"/>
    <x v="500"/>
    <s v="2023-04-29"/>
    <x v="0"/>
    <n v="6987.85"/>
    <x v="2"/>
    <x v="13"/>
    <x v="2"/>
    <n v="4"/>
    <n v="43554.68"/>
    <x v="3"/>
  </r>
  <r>
    <x v="682"/>
    <s v="Kavitha Das"/>
    <n v="33"/>
    <x v="4"/>
    <n v="84590"/>
    <n v="50000"/>
    <n v="24"/>
    <n v="16.149999999999999"/>
    <s v="Medical"/>
    <n v="621"/>
    <x v="501"/>
    <s v="2023-03-21"/>
    <x v="0"/>
    <n v="2451.7399999999998"/>
    <x v="2"/>
    <x v="20"/>
    <x v="0"/>
    <n v="2"/>
    <n v="43380.3"/>
    <x v="3"/>
  </r>
  <r>
    <x v="683"/>
    <s v="Abhishek Joshi"/>
    <n v="30"/>
    <x v="2"/>
    <n v="161616"/>
    <n v="150000"/>
    <n v="180"/>
    <n v="13.23"/>
    <s v="Personal"/>
    <n v="874"/>
    <x v="502"/>
    <s v="2021-06-07"/>
    <x v="2"/>
    <n v="1920.62"/>
    <x v="1"/>
    <x v="15"/>
    <x v="0"/>
    <n v="0"/>
    <n v="42829.4"/>
    <x v="1"/>
  </r>
  <r>
    <x v="684"/>
    <s v="Kavitha Chaudhary"/>
    <n v="63"/>
    <x v="0"/>
    <n v="84633"/>
    <n v="100000"/>
    <n v="24"/>
    <n v="8.36"/>
    <s v="Business Expansion"/>
    <n v="882"/>
    <x v="503"/>
    <s v="2022-10-10"/>
    <x v="1"/>
    <n v="4539.17"/>
    <x v="4"/>
    <x v="16"/>
    <x v="1"/>
    <n v="1"/>
    <n v="42806.46"/>
    <x v="1"/>
  </r>
  <r>
    <x v="685"/>
    <s v="Rekha Shah"/>
    <n v="39"/>
    <x v="1"/>
    <n v="131919"/>
    <n v="100000"/>
    <n v="12"/>
    <n v="16.399999999999999"/>
    <s v="Personal"/>
    <n v="602"/>
    <x v="379"/>
    <s v="2021-05-10"/>
    <x v="0"/>
    <n v="9092.0300000000007"/>
    <x v="2"/>
    <x v="4"/>
    <x v="0"/>
    <n v="2"/>
    <n v="42720.21"/>
    <x v="3"/>
  </r>
  <r>
    <x v="686"/>
    <s v="Priya Tiwari"/>
    <n v="39"/>
    <x v="1"/>
    <n v="181641"/>
    <n v="100000"/>
    <n v="24"/>
    <n v="9.56"/>
    <s v="Business Expansion"/>
    <n v="714"/>
    <x v="269"/>
    <s v="2023-05-29"/>
    <x v="2"/>
    <n v="4594.21"/>
    <x v="3"/>
    <x v="12"/>
    <x v="2"/>
    <n v="11"/>
    <n v="42112.95"/>
    <x v="2"/>
  </r>
  <r>
    <x v="687"/>
    <s v="Anil Banerjee"/>
    <n v="38"/>
    <x v="0"/>
    <n v="23923"/>
    <n v="50000"/>
    <n v="24"/>
    <n v="8.32"/>
    <s v="Personal"/>
    <n v="424"/>
    <x v="314"/>
    <s v="2023-03-05"/>
    <x v="0"/>
    <n v="2268.67"/>
    <x v="3"/>
    <x v="5"/>
    <x v="2"/>
    <n v="9"/>
    <n v="41832.79"/>
    <x v="0"/>
  </r>
  <r>
    <x v="688"/>
    <s v="Madhuri Shah"/>
    <n v="56"/>
    <x v="0"/>
    <n v="224438"/>
    <n v="100000"/>
    <n v="48"/>
    <n v="20.67"/>
    <s v="Vehicle Loan"/>
    <n v="547"/>
    <x v="504"/>
    <s v="2024-01-01"/>
    <x v="2"/>
    <n v="3078.85"/>
    <x v="1"/>
    <x v="15"/>
    <x v="0"/>
    <n v="0"/>
    <n v="41809.74"/>
    <x v="0"/>
  </r>
  <r>
    <x v="689"/>
    <s v="Kiran Chatterjee"/>
    <n v="48"/>
    <x v="1"/>
    <n v="56574"/>
    <n v="50000"/>
    <n v="48"/>
    <n v="20.25"/>
    <s v="Education"/>
    <n v="677"/>
    <x v="83"/>
    <s v="2022-10-24"/>
    <x v="0"/>
    <n v="1528.19"/>
    <x v="1"/>
    <x v="10"/>
    <x v="3"/>
    <n v="0"/>
    <n v="41747.769999999997"/>
    <x v="2"/>
  </r>
  <r>
    <x v="690"/>
    <s v="Ravi Sharma"/>
    <n v="49"/>
    <x v="2"/>
    <n v="56577"/>
    <n v="50000"/>
    <n v="12"/>
    <n v="18.350000000000001"/>
    <s v="Business Expansion"/>
    <n v="508"/>
    <x v="505"/>
    <s v="2022-08-15"/>
    <x v="0"/>
    <n v="4592.33"/>
    <x v="2"/>
    <x v="19"/>
    <x v="0"/>
    <n v="1"/>
    <n v="41733.81"/>
    <x v="0"/>
  </r>
  <r>
    <x v="691"/>
    <s v="Anil Pillai"/>
    <n v="50"/>
    <x v="0"/>
    <n v="118782"/>
    <n v="150000"/>
    <n v="60"/>
    <n v="13.66"/>
    <s v="Debt Consolidation"/>
    <n v="885"/>
    <x v="472"/>
    <s v="2021-06-30"/>
    <x v="1"/>
    <n v="3463.85"/>
    <x v="0"/>
    <x v="22"/>
    <x v="4"/>
    <n v="1"/>
    <n v="40888.720000000001"/>
    <x v="1"/>
  </r>
  <r>
    <x v="692"/>
    <s v="Priya Iyer"/>
    <n v="29"/>
    <x v="2"/>
    <n v="171210"/>
    <n v="75000"/>
    <n v="24"/>
    <n v="9.56"/>
    <s v="Business Expansion"/>
    <n v="484"/>
    <x v="506"/>
    <s v="2022-03-17"/>
    <x v="0"/>
    <n v="3445.66"/>
    <x v="3"/>
    <x v="5"/>
    <x v="0"/>
    <n v="1"/>
    <n v="40887.97"/>
    <x v="0"/>
  </r>
  <r>
    <x v="693"/>
    <s v="Varsha Verma"/>
    <n v="47"/>
    <x v="0"/>
    <n v="44768"/>
    <n v="100000"/>
    <n v="48"/>
    <n v="7.9"/>
    <s v="Business Expansion"/>
    <n v="775"/>
    <x v="507"/>
    <s v="2021-03-26"/>
    <x v="0"/>
    <n v="2436.6"/>
    <x v="2"/>
    <x v="20"/>
    <x v="4"/>
    <n v="1"/>
    <n v="40790.620000000003"/>
    <x v="1"/>
  </r>
  <r>
    <x v="694"/>
    <s v="Nisha Das"/>
    <n v="50"/>
    <x v="2"/>
    <m/>
    <n v="50000"/>
    <n v="60"/>
    <n v="18.37"/>
    <s v="Agriculture"/>
    <n v="382"/>
    <x v="477"/>
    <s v="2021-02-17"/>
    <x v="0"/>
    <n v="1279.76"/>
    <x v="4"/>
    <x v="24"/>
    <x v="0"/>
    <n v="0"/>
    <n v="40785.730000000003"/>
    <x v="0"/>
  </r>
  <r>
    <x v="695"/>
    <s v="Varsha Saxena"/>
    <n v="44"/>
    <x v="2"/>
    <n v="117514"/>
    <n v="75000"/>
    <n v="240"/>
    <n v="18.04"/>
    <s v="Business Expansion"/>
    <n v="499"/>
    <x v="0"/>
    <s v="2022-11-21"/>
    <x v="0"/>
    <n v="1159.79"/>
    <x v="1"/>
    <x v="10"/>
    <x v="3"/>
    <n v="0"/>
    <n v="40554.239999999998"/>
    <x v="0"/>
  </r>
  <r>
    <x v="696"/>
    <s v="Sanjay Deshpande"/>
    <n v="25"/>
    <x v="3"/>
    <n v="169786"/>
    <n v="50000"/>
    <n v="36"/>
    <n v="19.64"/>
    <s v="Medical"/>
    <n v="897"/>
    <x v="395"/>
    <s v="2023-06-10"/>
    <x v="0"/>
    <n v="1849.02"/>
    <x v="3"/>
    <x v="12"/>
    <x v="2"/>
    <n v="6"/>
    <n v="40015.29"/>
    <x v="1"/>
  </r>
  <r>
    <x v="697"/>
    <s v="Abhishek Nayak"/>
    <n v="48"/>
    <x v="2"/>
    <n v="197561"/>
    <n v="400000"/>
    <n v="36"/>
    <n v="19.79"/>
    <s v="Education"/>
    <n v="398"/>
    <x v="508"/>
    <s v="2022-06-19"/>
    <x v="2"/>
    <n v="14822.67"/>
    <x v="4"/>
    <x v="23"/>
    <x v="0"/>
    <n v="0"/>
    <n v="39809.120000000003"/>
    <x v="0"/>
  </r>
  <r>
    <x v="698"/>
    <s v="Rajesh Verma"/>
    <n v="25"/>
    <x v="1"/>
    <n v="29851"/>
    <n v="100000"/>
    <n v="180"/>
    <n v="10.119999999999999"/>
    <s v="Home Purchase"/>
    <n v="621"/>
    <x v="509"/>
    <s v="2022-08-29"/>
    <x v="0"/>
    <n v="1081.96"/>
    <x v="4"/>
    <x v="24"/>
    <x v="0"/>
    <n v="2"/>
    <n v="39626.629999999997"/>
    <x v="3"/>
  </r>
  <r>
    <x v="699"/>
    <s v="Komal Chaudhary"/>
    <n v="30"/>
    <x v="2"/>
    <n v="64275"/>
    <n v="50000"/>
    <n v="48"/>
    <n v="11.88"/>
    <s v="Vehicle Loan"/>
    <n v="647"/>
    <x v="265"/>
    <s v="2022-08-19"/>
    <x v="1"/>
    <n v="1313.75"/>
    <x v="2"/>
    <x v="13"/>
    <x v="1"/>
    <n v="6"/>
    <n v="39358.620000000003"/>
    <x v="3"/>
  </r>
  <r>
    <x v="700"/>
    <s v="Rani Kumar"/>
    <n v="36"/>
    <x v="2"/>
    <n v="116046"/>
    <n v="100000"/>
    <n v="24"/>
    <n v="7.74"/>
    <s v="Debt Consolidation"/>
    <n v="453"/>
    <x v="510"/>
    <s v="2021-04-18"/>
    <x v="0"/>
    <n v="4510.88"/>
    <x v="1"/>
    <x v="1"/>
    <x v="3"/>
    <n v="0"/>
    <n v="39103.120000000003"/>
    <x v="0"/>
  </r>
  <r>
    <x v="701"/>
    <s v="Abhishek Saxena"/>
    <n v="56"/>
    <x v="0"/>
    <n v="214716"/>
    <n v="150000"/>
    <n v="24"/>
    <n v="15.12"/>
    <s v="Medical"/>
    <n v="379"/>
    <x v="511"/>
    <s v="2023-11-11"/>
    <x v="0"/>
    <n v="7281.55"/>
    <x v="1"/>
    <x v="1"/>
    <x v="2"/>
    <n v="0"/>
    <n v="38592.28"/>
    <x v="0"/>
  </r>
  <r>
    <x v="702"/>
    <s v="Komal Kaur"/>
    <n v="34"/>
    <x v="1"/>
    <n v="37093"/>
    <n v="50000"/>
    <n v="240"/>
    <n v="12.35"/>
    <s v="Education"/>
    <s v="Not Available"/>
    <x v="185"/>
    <s v="2023-12-04"/>
    <x v="0"/>
    <n v="562.79"/>
    <x v="1"/>
    <x v="11"/>
    <x v="1"/>
    <n v="3"/>
    <n v="38350.25"/>
    <x v="4"/>
  </r>
  <r>
    <x v="703"/>
    <s v="Siddharth Iyer"/>
    <n v="46"/>
    <x v="1"/>
    <n v="131388"/>
    <n v="50000"/>
    <n v="12"/>
    <n v="8.2100000000000009"/>
    <s v="Debt Consolidation"/>
    <n v="506"/>
    <x v="512"/>
    <s v="2021-07-10"/>
    <x v="0"/>
    <n v="4354.28"/>
    <x v="0"/>
    <x v="22"/>
    <x v="0"/>
    <n v="0"/>
    <n v="38243.440000000002"/>
    <x v="0"/>
  </r>
  <r>
    <x v="704"/>
    <s v="Lakshmi Rao"/>
    <n v="33"/>
    <x v="2"/>
    <n v="127298"/>
    <n v="250000"/>
    <n v="36"/>
    <n v="15.51"/>
    <s v="Education"/>
    <n v="855"/>
    <x v="505"/>
    <s v="2022-08-29"/>
    <x v="1"/>
    <n v="8728.9"/>
    <x v="2"/>
    <x v="4"/>
    <x v="0"/>
    <n v="1"/>
    <n v="37887.730000000003"/>
    <x v="1"/>
  </r>
  <r>
    <x v="705"/>
    <s v="Priya Gupta"/>
    <n v="60"/>
    <x v="1"/>
    <n v="197637"/>
    <n v="100000"/>
    <n v="60"/>
    <n v="8.16"/>
    <s v="Home Purchase"/>
    <n v="494"/>
    <x v="3"/>
    <s v="2023-11-23"/>
    <x v="0"/>
    <n v="2035.31"/>
    <x v="2"/>
    <x v="4"/>
    <x v="2"/>
    <n v="10"/>
    <n v="37719.51"/>
    <x v="0"/>
  </r>
  <r>
    <x v="706"/>
    <s v="Rekha Pillai"/>
    <n v="40"/>
    <x v="0"/>
    <n v="212661"/>
    <n v="500000"/>
    <n v="12"/>
    <n v="21.62"/>
    <s v="Vehicle Loan"/>
    <n v="519"/>
    <x v="513"/>
    <s v="2022-02-01"/>
    <x v="0"/>
    <n v="46705.8"/>
    <x v="1"/>
    <x v="10"/>
    <x v="3"/>
    <n v="1"/>
    <n v="37612.58"/>
    <x v="0"/>
  </r>
  <r>
    <x v="707"/>
    <s v="Jyoti Joshi"/>
    <n v="62"/>
    <x v="1"/>
    <n v="78444"/>
    <n v="200000"/>
    <n v="36"/>
    <n v="17.87"/>
    <s v="Debt Consolidation"/>
    <n v="375"/>
    <x v="514"/>
    <s v="2024-01-19"/>
    <x v="1"/>
    <n v="7217.44"/>
    <x v="2"/>
    <x v="20"/>
    <x v="3"/>
    <n v="1"/>
    <n v="37607.599999999999"/>
    <x v="0"/>
  </r>
  <r>
    <x v="708"/>
    <s v="Mohan Deshpande"/>
    <n v="54"/>
    <x v="3"/>
    <n v="40154"/>
    <n v="100000"/>
    <n v="240"/>
    <n v="15.23"/>
    <s v="Vehicle Loan"/>
    <n v="515"/>
    <x v="515"/>
    <s v="2023-07-04"/>
    <x v="0"/>
    <n v="1333.82"/>
    <x v="0"/>
    <x v="2"/>
    <x v="2"/>
    <n v="1"/>
    <n v="37577.22"/>
    <x v="0"/>
  </r>
  <r>
    <x v="709"/>
    <s v="Amit Kumar"/>
    <n v="65"/>
    <x v="1"/>
    <n v="157352"/>
    <n v="750000"/>
    <n v="12"/>
    <n v="10.1"/>
    <s v="Medical"/>
    <n v="316"/>
    <x v="516"/>
    <s v="2023-04-01"/>
    <x v="0"/>
    <n v="65971.8"/>
    <x v="0"/>
    <x v="18"/>
    <x v="2"/>
    <n v="2"/>
    <n v="37504.559999999998"/>
    <x v="0"/>
  </r>
  <r>
    <x v="710"/>
    <s v="Smita Kapoor"/>
    <n v="29"/>
    <x v="0"/>
    <n v="202056"/>
    <n v="150000"/>
    <n v="48"/>
    <n v="21.22"/>
    <s v="Business Expansion"/>
    <n v="594"/>
    <x v="517"/>
    <s v="2022-03-22"/>
    <x v="0"/>
    <n v="4662.62"/>
    <x v="2"/>
    <x v="4"/>
    <x v="2"/>
    <n v="2"/>
    <n v="36698.33"/>
    <x v="3"/>
  </r>
  <r>
    <x v="711"/>
    <s v="Geeta Yadav"/>
    <n v="53"/>
    <x v="1"/>
    <n v="167556"/>
    <n v="50000"/>
    <n v="24"/>
    <n v="18.100000000000001"/>
    <s v="Agriculture"/>
    <n v="666"/>
    <x v="518"/>
    <s v="2023-06-28"/>
    <x v="0"/>
    <n v="2498.62"/>
    <x v="3"/>
    <x v="7"/>
    <x v="3"/>
    <n v="1"/>
    <n v="36507.449999999997"/>
    <x v="2"/>
  </r>
  <r>
    <x v="712"/>
    <s v="Geeta Mehta"/>
    <n v="34"/>
    <x v="4"/>
    <n v="148463"/>
    <n v="300000"/>
    <n v="240"/>
    <n v="8.08"/>
    <s v="Home Purchase"/>
    <s v="Not Available"/>
    <x v="519"/>
    <s v="2021-11-24"/>
    <x v="2"/>
    <n v="2524.2800000000002"/>
    <x v="4"/>
    <x v="16"/>
    <x v="1"/>
    <n v="8"/>
    <n v="36465.17"/>
    <x v="4"/>
  </r>
  <r>
    <x v="713"/>
    <s v="Lakshmi Shetty"/>
    <n v="38"/>
    <x v="4"/>
    <n v="92083"/>
    <n v="400000"/>
    <n v="24"/>
    <n v="14.32"/>
    <s v="Vehicle Loan"/>
    <n v="783"/>
    <x v="520"/>
    <s v="2023-03-12"/>
    <x v="0"/>
    <n v="19265.68"/>
    <x v="0"/>
    <x v="18"/>
    <x v="0"/>
    <n v="0"/>
    <n v="35878.65"/>
    <x v="1"/>
  </r>
  <r>
    <x v="714"/>
    <s v="Smita Nair"/>
    <n v="47"/>
    <x v="1"/>
    <n v="146640"/>
    <n v="50000"/>
    <n v="48"/>
    <n v="19.8"/>
    <s v="Education"/>
    <n v="826"/>
    <x v="521"/>
    <s v="2021-11-22"/>
    <x v="2"/>
    <n v="1516.2"/>
    <x v="0"/>
    <x v="2"/>
    <x v="3"/>
    <n v="0"/>
    <n v="34989.620000000003"/>
    <x v="1"/>
  </r>
  <r>
    <x v="715"/>
    <s v="Lakshmi Reddy"/>
    <n v="32"/>
    <x v="2"/>
    <n v="181691"/>
    <n v="50000"/>
    <n v="24"/>
    <n v="19.440000000000001"/>
    <s v="Agriculture"/>
    <n v="745"/>
    <x v="522"/>
    <s v="2023-02-04"/>
    <x v="0"/>
    <n v="2531.13"/>
    <x v="3"/>
    <x v="5"/>
    <x v="0"/>
    <n v="1"/>
    <n v="34053.879999999997"/>
    <x v="2"/>
  </r>
  <r>
    <x v="716"/>
    <s v="Ramesh Mishra"/>
    <n v="43"/>
    <x v="1"/>
    <n v="124646"/>
    <n v="75000"/>
    <n v="24"/>
    <n v="11.2"/>
    <s v="Home Purchase"/>
    <n v="601"/>
    <x v="523"/>
    <s v="2021-04-27"/>
    <x v="0"/>
    <n v="3502.56"/>
    <x v="0"/>
    <x v="18"/>
    <x v="0"/>
    <n v="2"/>
    <n v="34020.050000000003"/>
    <x v="3"/>
  </r>
  <r>
    <x v="717"/>
    <s v="Suresh Dubey"/>
    <n v="59"/>
    <x v="3"/>
    <n v="37422"/>
    <n v="50000"/>
    <n v="12"/>
    <n v="12.97"/>
    <s v="Vehicle Loan"/>
    <n v="430"/>
    <x v="76"/>
    <s v="2023-06-09"/>
    <x v="0"/>
    <n v="4465.16"/>
    <x v="3"/>
    <x v="14"/>
    <x v="0"/>
    <n v="0"/>
    <n v="33925.42"/>
    <x v="0"/>
  </r>
  <r>
    <x v="718"/>
    <s v="Anil Menon"/>
    <n v="39"/>
    <x v="2"/>
    <n v="149553"/>
    <n v="50000"/>
    <n v="12"/>
    <n v="14.37"/>
    <s v="Education"/>
    <n v="477"/>
    <x v="93"/>
    <s v="2022-10-13"/>
    <x v="1"/>
    <n v="4498.07"/>
    <x v="1"/>
    <x v="1"/>
    <x v="2"/>
    <n v="3"/>
    <n v="33806.949999999997"/>
    <x v="0"/>
  </r>
  <r>
    <x v="719"/>
    <s v="Shweta Jain"/>
    <n v="28"/>
    <x v="3"/>
    <n v="147890"/>
    <n v="400000"/>
    <n v="24"/>
    <n v="14.91"/>
    <s v="Personal"/>
    <n v="508"/>
    <x v="453"/>
    <s v="2023-05-07"/>
    <x v="0"/>
    <n v="19377.560000000001"/>
    <x v="4"/>
    <x v="24"/>
    <x v="2"/>
    <n v="5"/>
    <n v="33764.120000000003"/>
    <x v="0"/>
  </r>
  <r>
    <x v="720"/>
    <s v="Varsha Mishra"/>
    <n v="55"/>
    <x v="1"/>
    <n v="176244"/>
    <n v="250000"/>
    <n v="36"/>
    <n v="9.5500000000000007"/>
    <s v="Personal"/>
    <n v="680"/>
    <x v="524"/>
    <s v="2023-08-15"/>
    <x v="0"/>
    <n v="8014.08"/>
    <x v="1"/>
    <x v="15"/>
    <x v="0"/>
    <n v="1"/>
    <n v="33619.839999999997"/>
    <x v="2"/>
  </r>
  <r>
    <x v="721"/>
    <s v="Vikram Verma"/>
    <n v="45"/>
    <x v="1"/>
    <n v="56352"/>
    <n v="400000"/>
    <n v="240"/>
    <n v="17.7"/>
    <s v="Home Purchase"/>
    <n v="867"/>
    <x v="143"/>
    <s v="2021-08-31"/>
    <x v="0"/>
    <n v="6081.05"/>
    <x v="4"/>
    <x v="21"/>
    <x v="3"/>
    <n v="0"/>
    <n v="33312.68"/>
    <x v="1"/>
  </r>
  <r>
    <x v="722"/>
    <s v="Geeta Nayak"/>
    <n v="52"/>
    <x v="2"/>
    <n v="246093"/>
    <n v="50000"/>
    <n v="12"/>
    <n v="21.72"/>
    <s v="Medical"/>
    <n v="405"/>
    <x v="437"/>
    <s v="2022-01-07"/>
    <x v="2"/>
    <n v="4672.9799999999996"/>
    <x v="1"/>
    <x v="11"/>
    <x v="1"/>
    <n v="11"/>
    <n v="33177.269999999997"/>
    <x v="0"/>
  </r>
  <r>
    <x v="723"/>
    <s v="Ashok Kulkarni"/>
    <n v="34"/>
    <x v="1"/>
    <n v="147832"/>
    <n v="100000"/>
    <n v="12"/>
    <n v="21.89"/>
    <s v="Education"/>
    <n v="875"/>
    <x v="256"/>
    <s v="2022-04-16"/>
    <x v="0"/>
    <n v="9354.14"/>
    <x v="4"/>
    <x v="21"/>
    <x v="0"/>
    <n v="0"/>
    <n v="32650.19"/>
    <x v="1"/>
  </r>
  <r>
    <x v="724"/>
    <s v="Madhuri Malhotra"/>
    <n v="45"/>
    <x v="2"/>
    <n v="211057"/>
    <n v="75000"/>
    <n v="24"/>
    <n v="14.83"/>
    <s v="Debt Consolidation"/>
    <n v="376"/>
    <x v="96"/>
    <s v="2021-10-05"/>
    <x v="0"/>
    <n v="3630.44"/>
    <x v="1"/>
    <x v="15"/>
    <x v="4"/>
    <n v="0"/>
    <n v="32523.85"/>
    <x v="0"/>
  </r>
  <r>
    <x v="725"/>
    <s v="Mohan Gupta"/>
    <n v="47"/>
    <x v="2"/>
    <n v="43190"/>
    <n v="200000"/>
    <n v="60"/>
    <n v="16.420000000000002"/>
    <s v="Vehicle Loan"/>
    <n v="591"/>
    <x v="381"/>
    <s v="2022-06-25"/>
    <x v="0"/>
    <n v="4908.3599999999997"/>
    <x v="0"/>
    <x v="8"/>
    <x v="0"/>
    <n v="1"/>
    <n v="32134.09"/>
    <x v="3"/>
  </r>
  <r>
    <x v="726"/>
    <s v="Rekha Singh"/>
    <n v="59"/>
    <x v="0"/>
    <n v="102950"/>
    <n v="75000"/>
    <n v="24"/>
    <n v="11.47"/>
    <s v="Debt Consolidation"/>
    <n v="472"/>
    <x v="525"/>
    <s v="2022-06-04"/>
    <x v="0"/>
    <n v="3511.98"/>
    <x v="4"/>
    <x v="24"/>
    <x v="0"/>
    <n v="0"/>
    <n v="30749.05"/>
    <x v="0"/>
  </r>
  <r>
    <x v="727"/>
    <s v="Jyoti Saxena"/>
    <n v="40"/>
    <x v="4"/>
    <n v="17143"/>
    <n v="75000"/>
    <n v="120"/>
    <n v="9.44"/>
    <s v="Business Expansion"/>
    <n v="674"/>
    <x v="216"/>
    <s v="2021-05-06"/>
    <x v="0"/>
    <n v="968.02"/>
    <x v="2"/>
    <x v="6"/>
    <x v="2"/>
    <n v="0"/>
    <n v="30567.88"/>
    <x v="2"/>
  </r>
  <r>
    <x v="728"/>
    <s v="Vikram Jain"/>
    <n v="38"/>
    <x v="3"/>
    <n v="203852"/>
    <n v="50000"/>
    <n v="12"/>
    <n v="13.1"/>
    <s v="Debt Consolidation"/>
    <n v="470"/>
    <x v="12"/>
    <s v="2023-02-14"/>
    <x v="0"/>
    <n v="4468.21"/>
    <x v="2"/>
    <x v="4"/>
    <x v="4"/>
    <n v="1"/>
    <n v="29893.06"/>
    <x v="0"/>
  </r>
  <r>
    <x v="729"/>
    <s v="Ganesh Kapoor"/>
    <n v="50"/>
    <x v="3"/>
    <n v="39393"/>
    <n v="200000"/>
    <n v="48"/>
    <n v="13.36"/>
    <s v="Personal"/>
    <n v="613"/>
    <x v="526"/>
    <s v="2024-01-07"/>
    <x v="0"/>
    <n v="5401.3"/>
    <x v="1"/>
    <x v="11"/>
    <x v="0"/>
    <n v="1"/>
    <n v="29859.05"/>
    <x v="3"/>
  </r>
  <r>
    <x v="730"/>
    <s v="Suresh Dubey"/>
    <n v="30"/>
    <x v="0"/>
    <n v="204469"/>
    <n v="75000"/>
    <n v="60"/>
    <n v="18.670000000000002"/>
    <s v="Medical"/>
    <n v="893"/>
    <x v="527"/>
    <s v="2021-10-02"/>
    <x v="2"/>
    <n v="1931.95"/>
    <x v="0"/>
    <x v="2"/>
    <x v="0"/>
    <n v="1"/>
    <n v="29792.37"/>
    <x v="1"/>
  </r>
  <r>
    <x v="731"/>
    <s v="Madhuri Joshi"/>
    <n v="60"/>
    <x v="2"/>
    <n v="222786"/>
    <n v="250000"/>
    <n v="180"/>
    <n v="14.44"/>
    <s v="Education"/>
    <n v="566"/>
    <x v="349"/>
    <s v="2022-02-16"/>
    <x v="0"/>
    <n v="3403.58"/>
    <x v="0"/>
    <x v="18"/>
    <x v="2"/>
    <n v="5"/>
    <n v="29448.02"/>
    <x v="3"/>
  </r>
  <r>
    <x v="732"/>
    <s v="Ravi Das"/>
    <n v="46"/>
    <x v="0"/>
    <n v="119873"/>
    <n v="400000"/>
    <n v="24"/>
    <n v="21.2"/>
    <s v="Debt Consolidation"/>
    <n v="446"/>
    <x v="528"/>
    <s v="2022-07-29"/>
    <x v="0"/>
    <n v="20593.580000000002"/>
    <x v="1"/>
    <x v="3"/>
    <x v="1"/>
    <n v="1"/>
    <n v="29315.56"/>
    <x v="0"/>
  </r>
  <r>
    <x v="733"/>
    <s v="Vikram Das"/>
    <n v="57"/>
    <x v="1"/>
    <n v="69723"/>
    <n v="1500000"/>
    <n v="24"/>
    <n v="8.36"/>
    <s v="Debt Consolidation"/>
    <n v="443"/>
    <x v="529"/>
    <s v="2022-05-27"/>
    <x v="0"/>
    <n v="68087.490000000005"/>
    <x v="0"/>
    <x v="2"/>
    <x v="1"/>
    <n v="2"/>
    <n v="29310.22"/>
    <x v="0"/>
  </r>
  <r>
    <x v="734"/>
    <s v="Lakshmi Tiwari"/>
    <n v="43"/>
    <x v="1"/>
    <n v="193745"/>
    <n v="250000"/>
    <n v="84"/>
    <n v="19.34"/>
    <s v="Medical"/>
    <n v="708"/>
    <x v="150"/>
    <s v="2022-12-06"/>
    <x v="0"/>
    <n v="5452.63"/>
    <x v="2"/>
    <x v="20"/>
    <x v="2"/>
    <n v="0"/>
    <n v="29168.48"/>
    <x v="2"/>
  </r>
  <r>
    <x v="735"/>
    <s v="Pallavi Deshpande"/>
    <n v="37"/>
    <x v="2"/>
    <n v="143308"/>
    <n v="100000"/>
    <n v="60"/>
    <n v="16.600000000000001"/>
    <s v="Debt Consolidation"/>
    <n v="762"/>
    <x v="530"/>
    <s v="2022-08-18"/>
    <x v="2"/>
    <n v="2463.8000000000002"/>
    <x v="3"/>
    <x v="5"/>
    <x v="1"/>
    <n v="6"/>
    <n v="29042.560000000001"/>
    <x v="1"/>
  </r>
  <r>
    <x v="736"/>
    <s v="Kavitha Patel"/>
    <n v="34"/>
    <x v="3"/>
    <n v="69848"/>
    <n v="400000"/>
    <n v="36"/>
    <n v="16.920000000000002"/>
    <s v="Debt Consolidation"/>
    <n v="851"/>
    <x v="464"/>
    <s v="2021-11-18"/>
    <x v="0"/>
    <n v="14245.17"/>
    <x v="0"/>
    <x v="8"/>
    <x v="2"/>
    <n v="4"/>
    <n v="28201.06"/>
    <x v="1"/>
  </r>
  <r>
    <x v="737"/>
    <s v="Naveen Verma"/>
    <n v="53"/>
    <x v="4"/>
    <n v="212234"/>
    <n v="500000"/>
    <n v="120"/>
    <n v="21.27"/>
    <s v="Business Expansion"/>
    <n v="362"/>
    <x v="144"/>
    <s v="2021-06-02"/>
    <x v="0"/>
    <n v="10087.48"/>
    <x v="4"/>
    <x v="16"/>
    <x v="2"/>
    <n v="8"/>
    <n v="27905.94"/>
    <x v="0"/>
  </r>
  <r>
    <x v="738"/>
    <s v="Rani Patel"/>
    <n v="58"/>
    <x v="2"/>
    <n v="140037"/>
    <n v="50000"/>
    <n v="84"/>
    <n v="11.83"/>
    <s v="Debt Consolidation"/>
    <n v="729"/>
    <x v="531"/>
    <s v="2023-10-07"/>
    <x v="2"/>
    <n v="878.1"/>
    <x v="1"/>
    <x v="15"/>
    <x v="0"/>
    <n v="2"/>
    <n v="27871.88"/>
    <x v="2"/>
  </r>
  <r>
    <x v="739"/>
    <s v="Priya Banerjee"/>
    <n v="36"/>
    <x v="4"/>
    <n v="146896"/>
    <n v="100000"/>
    <n v="36"/>
    <n v="18.739999999999998"/>
    <s v="Vehicle Loan"/>
    <n v="611"/>
    <x v="532"/>
    <s v="2022-07-06"/>
    <x v="0"/>
    <n v="3652.47"/>
    <x v="4"/>
    <x v="16"/>
    <x v="0"/>
    <n v="1"/>
    <n v="27681.09"/>
    <x v="3"/>
  </r>
  <r>
    <x v="740"/>
    <s v="Kiran Verma"/>
    <n v="23"/>
    <x v="0"/>
    <n v="172976"/>
    <n v="1500000"/>
    <n v="24"/>
    <n v="8.48"/>
    <s v="Vehicle Loan"/>
    <n v="575"/>
    <x v="524"/>
    <s v="2023-08-26"/>
    <x v="0"/>
    <n v="68169.789999999994"/>
    <x v="0"/>
    <x v="18"/>
    <x v="0"/>
    <n v="0"/>
    <n v="27532.54"/>
    <x v="3"/>
  </r>
  <r>
    <x v="741"/>
    <s v="Vikram Nair"/>
    <n v="57"/>
    <x v="3"/>
    <n v="154398"/>
    <n v="100000"/>
    <n v="240"/>
    <n v="19.77"/>
    <s v="Vehicle Loan"/>
    <n v="887"/>
    <x v="380"/>
    <s v="2021-06-26"/>
    <x v="2"/>
    <n v="1680.79"/>
    <x v="2"/>
    <x v="20"/>
    <x v="3"/>
    <n v="2"/>
    <n v="27389.87"/>
    <x v="1"/>
  </r>
  <r>
    <x v="742"/>
    <s v="Lakshmi Malhotra"/>
    <n v="39"/>
    <x v="1"/>
    <n v="171699"/>
    <n v="300000"/>
    <n v="48"/>
    <n v="18.64"/>
    <s v="Education"/>
    <n v="602"/>
    <x v="533"/>
    <s v="2022-10-29"/>
    <x v="0"/>
    <n v="8913.14"/>
    <x v="0"/>
    <x v="22"/>
    <x v="1"/>
    <n v="11"/>
    <n v="27257.919999999998"/>
    <x v="3"/>
  </r>
  <r>
    <x v="743"/>
    <s v="Smita Das"/>
    <n v="36"/>
    <x v="1"/>
    <n v="162913"/>
    <n v="50000"/>
    <n v="36"/>
    <n v="18.41"/>
    <s v="Vehicle Loan"/>
    <n v="387"/>
    <x v="379"/>
    <s v="2021-06-03"/>
    <x v="0"/>
    <n v="1817.92"/>
    <x v="4"/>
    <x v="24"/>
    <x v="0"/>
    <n v="1"/>
    <n v="27094.21"/>
    <x v="0"/>
  </r>
  <r>
    <x v="744"/>
    <s v="Deepa Menon"/>
    <n v="31"/>
    <x v="1"/>
    <n v="156673"/>
    <n v="100000"/>
    <n v="48"/>
    <n v="15.29"/>
    <s v="Debt Consolidation"/>
    <s v="Not Available"/>
    <x v="534"/>
    <s v="2022-09-08"/>
    <x v="0"/>
    <n v="2797.8"/>
    <x v="2"/>
    <x v="19"/>
    <x v="2"/>
    <n v="0"/>
    <n v="26977.42"/>
    <x v="4"/>
  </r>
  <r>
    <x v="745"/>
    <s v="Siddharth Chatterjee"/>
    <n v="35"/>
    <x v="2"/>
    <n v="187014"/>
    <n v="50000"/>
    <n v="84"/>
    <n v="9.77"/>
    <s v="Personal"/>
    <n v="653"/>
    <x v="535"/>
    <s v="2023-03-17"/>
    <x v="2"/>
    <n v="824.13"/>
    <x v="3"/>
    <x v="5"/>
    <x v="3"/>
    <n v="0"/>
    <n v="26265.06"/>
    <x v="2"/>
  </r>
  <r>
    <x v="746"/>
    <s v="Pooja Chaudhary"/>
    <n v="28"/>
    <x v="3"/>
    <n v="33703"/>
    <n v="250000"/>
    <n v="12"/>
    <n v="15.42"/>
    <s v="Medical"/>
    <n v="501"/>
    <x v="536"/>
    <s v="2022-07-26"/>
    <x v="0"/>
    <n v="22614.15"/>
    <x v="4"/>
    <x v="23"/>
    <x v="0"/>
    <n v="1"/>
    <n v="26119.91"/>
    <x v="0"/>
  </r>
  <r>
    <x v="747"/>
    <s v="Kavitha Tiwari"/>
    <n v="63"/>
    <x v="1"/>
    <n v="61664"/>
    <n v="50000"/>
    <n v="84"/>
    <n v="19.899999999999999"/>
    <s v="Medical"/>
    <n v="734"/>
    <x v="537"/>
    <s v="2023-03-09"/>
    <x v="2"/>
    <n v="1107.3"/>
    <x v="0"/>
    <x v="18"/>
    <x v="0"/>
    <n v="2"/>
    <n v="26082.32"/>
    <x v="2"/>
  </r>
  <r>
    <x v="748"/>
    <s v="Harish Nayak"/>
    <n v="50"/>
    <x v="3"/>
    <n v="73837"/>
    <n v="150000"/>
    <n v="120"/>
    <n v="10.17"/>
    <s v="Debt Consolidation"/>
    <n v="845"/>
    <x v="134"/>
    <s v="2022-12-17"/>
    <x v="2"/>
    <n v="1996.41"/>
    <x v="3"/>
    <x v="12"/>
    <x v="2"/>
    <n v="0"/>
    <n v="26022.94"/>
    <x v="1"/>
  </r>
  <r>
    <x v="749"/>
    <s v="Sunil Rao"/>
    <n v="60"/>
    <x v="1"/>
    <n v="243611"/>
    <n v="100000"/>
    <n v="48"/>
    <n v="14.2"/>
    <s v="Vehicle Loan"/>
    <n v="307"/>
    <x v="538"/>
    <s v="2023-03-06"/>
    <x v="0"/>
    <n v="2742.69"/>
    <x v="3"/>
    <x v="14"/>
    <x v="0"/>
    <n v="2"/>
    <n v="25947.37"/>
    <x v="0"/>
  </r>
  <r>
    <x v="750"/>
    <s v="Rohit Iyer"/>
    <n v="46"/>
    <x v="4"/>
    <n v="205159"/>
    <n v="75000"/>
    <n v="84"/>
    <n v="20.95"/>
    <s v="Business Expansion"/>
    <n v="732"/>
    <x v="198"/>
    <s v="2021-07-11"/>
    <x v="0"/>
    <n v="1708.63"/>
    <x v="2"/>
    <x v="19"/>
    <x v="1"/>
    <n v="2"/>
    <n v="25791.46"/>
    <x v="2"/>
  </r>
  <r>
    <x v="751"/>
    <s v="Nisha Banerjee"/>
    <n v="30"/>
    <x v="0"/>
    <n v="206058"/>
    <n v="50000"/>
    <n v="120"/>
    <n v="19.84"/>
    <s v="Home Purchase"/>
    <n v="486"/>
    <x v="539"/>
    <s v="2021-08-20"/>
    <x v="0"/>
    <n v="960.98"/>
    <x v="1"/>
    <x v="11"/>
    <x v="4"/>
    <n v="2"/>
    <n v="25783.3"/>
    <x v="0"/>
  </r>
  <r>
    <x v="752"/>
    <s v="Pooja Mishra"/>
    <n v="38"/>
    <x v="4"/>
    <n v="101200"/>
    <n v="300000"/>
    <n v="60"/>
    <n v="21.75"/>
    <s v="Vehicle Loan"/>
    <n v="313"/>
    <x v="540"/>
    <s v="2023-10-21"/>
    <x v="0"/>
    <n v="8243.09"/>
    <x v="3"/>
    <x v="14"/>
    <x v="0"/>
    <n v="0"/>
    <n v="25505.1"/>
    <x v="0"/>
  </r>
  <r>
    <x v="753"/>
    <s v="Anil Dubey"/>
    <n v="24"/>
    <x v="0"/>
    <n v="158651"/>
    <n v="100000"/>
    <n v="60"/>
    <n v="7.88"/>
    <s v="Personal"/>
    <n v="524"/>
    <x v="541"/>
    <s v="2022-03-26"/>
    <x v="0"/>
    <n v="2021.9"/>
    <x v="0"/>
    <x v="0"/>
    <x v="5"/>
    <n v="1"/>
    <n v="25391.89"/>
    <x v="0"/>
  </r>
  <r>
    <x v="754"/>
    <s v="Komal Dubey"/>
    <n v="24"/>
    <x v="1"/>
    <n v="51517"/>
    <n v="400000"/>
    <n v="180"/>
    <n v="11.52"/>
    <s v="Education"/>
    <n v="666"/>
    <x v="504"/>
    <s v="2023-12-27"/>
    <x v="0"/>
    <n v="4677.8500000000004"/>
    <x v="1"/>
    <x v="15"/>
    <x v="0"/>
    <n v="0"/>
    <n v="25304.21"/>
    <x v="2"/>
  </r>
  <r>
    <x v="755"/>
    <s v="Jyoti Malhotra"/>
    <n v="50"/>
    <x v="2"/>
    <n v="58844"/>
    <n v="75000"/>
    <n v="12"/>
    <n v="19.04"/>
    <s v="Personal"/>
    <n v="599"/>
    <x v="385"/>
    <s v="2022-08-23"/>
    <x v="2"/>
    <n v="6913.18"/>
    <x v="3"/>
    <x v="12"/>
    <x v="1"/>
    <n v="3"/>
    <n v="25225.1"/>
    <x v="3"/>
  </r>
  <r>
    <x v="756"/>
    <s v="Pooja Rao"/>
    <n v="38"/>
    <x v="0"/>
    <n v="189674"/>
    <n v="300000"/>
    <n v="48"/>
    <n v="14.37"/>
    <s v="Vehicle Loan"/>
    <n v="814"/>
    <x v="542"/>
    <s v="2021-11-11"/>
    <x v="0"/>
    <n v="8253.73"/>
    <x v="1"/>
    <x v="3"/>
    <x v="2"/>
    <n v="3"/>
    <n v="25150.79"/>
    <x v="1"/>
  </r>
  <r>
    <x v="757"/>
    <s v="Harish Reddy"/>
    <n v="34"/>
    <x v="0"/>
    <n v="18754"/>
    <n v="100000"/>
    <n v="12"/>
    <n v="19.61"/>
    <s v="Personal"/>
    <n v="465"/>
    <x v="20"/>
    <s v="2023-09-30"/>
    <x v="0"/>
    <n v="9244.7999999999993"/>
    <x v="2"/>
    <x v="6"/>
    <x v="0"/>
    <n v="0"/>
    <n v="25117.119999999999"/>
    <x v="0"/>
  </r>
  <r>
    <x v="758"/>
    <s v="Nisha Yadav"/>
    <n v="52"/>
    <x v="0"/>
    <n v="73666"/>
    <n v="100000"/>
    <n v="60"/>
    <n v="20.74"/>
    <s v="Debt Consolidation"/>
    <n v="487"/>
    <x v="543"/>
    <s v="2021-03-08"/>
    <x v="0"/>
    <n v="2690.73"/>
    <x v="4"/>
    <x v="23"/>
    <x v="0"/>
    <n v="1"/>
    <n v="24928.63"/>
    <x v="0"/>
  </r>
  <r>
    <x v="759"/>
    <s v="Ajay Das"/>
    <n v="50"/>
    <x v="3"/>
    <n v="145469"/>
    <n v="100000"/>
    <n v="12"/>
    <n v="21.03"/>
    <s v="Debt Consolidation"/>
    <n v="572"/>
    <x v="544"/>
    <s v="2021-01-27"/>
    <x v="0"/>
    <n v="9312.82"/>
    <x v="0"/>
    <x v="22"/>
    <x v="0"/>
    <n v="1"/>
    <n v="24566.16"/>
    <x v="3"/>
  </r>
  <r>
    <x v="760"/>
    <s v="Sarala Pillai"/>
    <n v="45"/>
    <x v="4"/>
    <n v="90655"/>
    <n v="75000"/>
    <n v="120"/>
    <n v="14.81"/>
    <s v="Business Expansion"/>
    <n v="421"/>
    <x v="229"/>
    <s v="2022-12-16"/>
    <x v="0"/>
    <n v="1201.3"/>
    <x v="0"/>
    <x v="8"/>
    <x v="0"/>
    <n v="1"/>
    <n v="24185.01"/>
    <x v="0"/>
  </r>
  <r>
    <x v="761"/>
    <s v="Amit Sharma"/>
    <n v="23"/>
    <x v="0"/>
    <n v="222227"/>
    <n v="250000"/>
    <n v="240"/>
    <n v="19.39"/>
    <s v="Medical"/>
    <n v="643"/>
    <x v="545"/>
    <s v="2023-03-22"/>
    <x v="2"/>
    <n v="4127.68"/>
    <x v="0"/>
    <x v="18"/>
    <x v="0"/>
    <n v="1"/>
    <n v="23390.37"/>
    <x v="3"/>
  </r>
  <r>
    <x v="762"/>
    <s v="Komal Jain"/>
    <n v="41"/>
    <x v="4"/>
    <n v="247055"/>
    <n v="500000"/>
    <n v="36"/>
    <n v="9.64"/>
    <s v="Business Expansion"/>
    <n v="651"/>
    <x v="546"/>
    <s v="2021-10-28"/>
    <x v="2"/>
    <n v="16049.22"/>
    <x v="4"/>
    <x v="23"/>
    <x v="0"/>
    <n v="0"/>
    <n v="23338.17"/>
    <x v="2"/>
  </r>
  <r>
    <x v="763"/>
    <s v="Vikram Rao"/>
    <n v="58"/>
    <x v="2"/>
    <n v="205502"/>
    <n v="200000"/>
    <n v="36"/>
    <n v="8.81"/>
    <s v="Education"/>
    <n v="486"/>
    <x v="547"/>
    <s v="2023-06-06"/>
    <x v="0"/>
    <n v="6342.28"/>
    <x v="2"/>
    <x v="6"/>
    <x v="3"/>
    <n v="1"/>
    <n v="23050.39"/>
    <x v="0"/>
  </r>
  <r>
    <x v="764"/>
    <s v="Siddharth Nair"/>
    <n v="28"/>
    <x v="2"/>
    <n v="202633"/>
    <n v="50000"/>
    <n v="36"/>
    <n v="20.97"/>
    <s v="Medical"/>
    <n v="692"/>
    <x v="548"/>
    <s v="2023-09-27"/>
    <x v="0"/>
    <n v="1882.98"/>
    <x v="4"/>
    <x v="9"/>
    <x v="0"/>
    <n v="2"/>
    <n v="22885.09"/>
    <x v="2"/>
  </r>
  <r>
    <x v="765"/>
    <s v="Ravi Menon"/>
    <n v="54"/>
    <x v="3"/>
    <n v="96238"/>
    <n v="50000"/>
    <n v="48"/>
    <n v="19.53"/>
    <s v="Medical"/>
    <n v="511"/>
    <x v="549"/>
    <s v="2023-08-11"/>
    <x v="0"/>
    <n v="1509.03"/>
    <x v="2"/>
    <x v="4"/>
    <x v="3"/>
    <n v="2"/>
    <n v="22837.46"/>
    <x v="0"/>
  </r>
  <r>
    <x v="766"/>
    <s v="Arjun Yadav"/>
    <n v="34"/>
    <x v="1"/>
    <n v="85698"/>
    <n v="150000"/>
    <n v="84"/>
    <n v="9.34"/>
    <s v="Home Purchase"/>
    <n v="587"/>
    <x v="462"/>
    <s v="2023-05-15"/>
    <x v="0"/>
    <n v="2439.3200000000002"/>
    <x v="0"/>
    <x v="8"/>
    <x v="3"/>
    <n v="1"/>
    <n v="22667.5"/>
    <x v="3"/>
  </r>
  <r>
    <x v="767"/>
    <s v="Jyoti Das"/>
    <n v="45"/>
    <x v="2"/>
    <n v="18554"/>
    <n v="250000"/>
    <n v="60"/>
    <n v="17.8"/>
    <s v="Agriculture"/>
    <s v="Not Available"/>
    <x v="360"/>
    <s v="2021-02-19"/>
    <x v="0"/>
    <n v="6321.19"/>
    <x v="4"/>
    <x v="24"/>
    <x v="2"/>
    <n v="11"/>
    <n v="22437.16"/>
    <x v="4"/>
  </r>
  <r>
    <x v="768"/>
    <s v="Vikram Kulkarni"/>
    <n v="29"/>
    <x v="1"/>
    <n v="37230"/>
    <n v="50000"/>
    <n v="36"/>
    <n v="10.08"/>
    <s v="Medical"/>
    <n v="485"/>
    <x v="550"/>
    <s v="2022-08-25"/>
    <x v="0"/>
    <n v="1615.24"/>
    <x v="2"/>
    <x v="13"/>
    <x v="0"/>
    <n v="2"/>
    <n v="22379.4"/>
    <x v="0"/>
  </r>
  <r>
    <x v="769"/>
    <s v="Ravi Dubey"/>
    <n v="39"/>
    <x v="0"/>
    <n v="188611"/>
    <n v="250000"/>
    <n v="84"/>
    <n v="10.55"/>
    <s v="Medical"/>
    <n v="316"/>
    <x v="348"/>
    <s v="2021-01-12"/>
    <x v="2"/>
    <n v="4221.6899999999996"/>
    <x v="0"/>
    <x v="8"/>
    <x v="3"/>
    <n v="2"/>
    <n v="22028.74"/>
    <x v="0"/>
  </r>
  <r>
    <x v="770"/>
    <s v="Rani Shetty"/>
    <n v="65"/>
    <x v="4"/>
    <n v="192784"/>
    <n v="75000"/>
    <n v="60"/>
    <n v="18.04"/>
    <s v="Medical"/>
    <n v="761"/>
    <x v="551"/>
    <s v="2022-10-04"/>
    <x v="0"/>
    <n v="1906.14"/>
    <x v="4"/>
    <x v="16"/>
    <x v="0"/>
    <n v="1"/>
    <n v="21818.69"/>
    <x v="1"/>
  </r>
  <r>
    <x v="771"/>
    <s v="Rani Mehta"/>
    <n v="28"/>
    <x v="0"/>
    <n v="88396"/>
    <n v="100000"/>
    <n v="60"/>
    <n v="15.67"/>
    <s v="Education"/>
    <n v="834"/>
    <x v="384"/>
    <s v="2022-08-19"/>
    <x v="0"/>
    <n v="2414.31"/>
    <x v="1"/>
    <x v="10"/>
    <x v="0"/>
    <n v="1"/>
    <n v="21776.36"/>
    <x v="1"/>
  </r>
  <r>
    <x v="772"/>
    <s v="Harish Deshpande"/>
    <n v="45"/>
    <x v="3"/>
    <n v="38991"/>
    <n v="50000"/>
    <n v="60"/>
    <n v="13.95"/>
    <s v="Business Expansion"/>
    <n v="404"/>
    <x v="207"/>
    <s v="2023-07-29"/>
    <x v="0"/>
    <n v="1162.1199999999999"/>
    <x v="0"/>
    <x v="8"/>
    <x v="0"/>
    <n v="0"/>
    <n v="21760.48"/>
    <x v="0"/>
  </r>
  <r>
    <x v="773"/>
    <s v="Dinesh Sharma"/>
    <n v="62"/>
    <x v="4"/>
    <n v="88771"/>
    <n v="200000"/>
    <n v="240"/>
    <n v="12.93"/>
    <s v="Debt Consolidation"/>
    <n v="463"/>
    <x v="552"/>
    <s v="2022-02-18"/>
    <x v="0"/>
    <n v="2333.19"/>
    <x v="0"/>
    <x v="18"/>
    <x v="0"/>
    <n v="1"/>
    <n v="21510.959999999999"/>
    <x v="0"/>
  </r>
  <r>
    <x v="774"/>
    <s v="Amit Pillai"/>
    <n v="31"/>
    <x v="1"/>
    <n v="239417"/>
    <n v="150000"/>
    <n v="36"/>
    <n v="16.23"/>
    <s v="Personal"/>
    <n v="667"/>
    <x v="553"/>
    <s v="2021-06-22"/>
    <x v="1"/>
    <n v="5290.6"/>
    <x v="4"/>
    <x v="9"/>
    <x v="0"/>
    <n v="2"/>
    <n v="21438.42"/>
    <x v="2"/>
  </r>
  <r>
    <x v="775"/>
    <s v="Deepa Nair"/>
    <n v="26"/>
    <x v="0"/>
    <n v="39545"/>
    <n v="100000"/>
    <n v="12"/>
    <n v="8.73"/>
    <s v="Business Expansion"/>
    <n v="867"/>
    <x v="359"/>
    <s v="2023-12-04"/>
    <x v="0"/>
    <n v="8732.6299999999992"/>
    <x v="2"/>
    <x v="19"/>
    <x v="0"/>
    <n v="1"/>
    <n v="21406.33"/>
    <x v="1"/>
  </r>
  <r>
    <x v="776"/>
    <s v="Lakshmi Kapoor"/>
    <n v="36"/>
    <x v="2"/>
    <n v="162439"/>
    <n v="50000"/>
    <n v="24"/>
    <n v="9"/>
    <s v="Education"/>
    <n v="536"/>
    <x v="554"/>
    <s v="2023-05-15"/>
    <x v="1"/>
    <n v="2284.2399999999998"/>
    <x v="2"/>
    <x v="19"/>
    <x v="0"/>
    <n v="0"/>
    <n v="21218.58"/>
    <x v="0"/>
  </r>
  <r>
    <x v="777"/>
    <s v="Ashok Reddy"/>
    <n v="49"/>
    <x v="2"/>
    <n v="114377"/>
    <n v="100000"/>
    <n v="84"/>
    <n v="21.56"/>
    <s v="Medical"/>
    <n v="555"/>
    <x v="355"/>
    <s v="2023-09-29"/>
    <x v="0"/>
    <n v="2315.5"/>
    <x v="1"/>
    <x v="1"/>
    <x v="0"/>
    <n v="1"/>
    <n v="20809.900000000001"/>
    <x v="3"/>
  </r>
  <r>
    <x v="778"/>
    <s v="Madhuri Shetty"/>
    <n v="23"/>
    <x v="2"/>
    <n v="53164"/>
    <n v="2000000"/>
    <n v="12"/>
    <n v="17.91"/>
    <s v="Vehicle Loan"/>
    <n v="386"/>
    <x v="311"/>
    <s v="2021-12-19"/>
    <x v="0"/>
    <n v="183274.33"/>
    <x v="4"/>
    <x v="23"/>
    <x v="4"/>
    <n v="1"/>
    <n v="20637.240000000002"/>
    <x v="0"/>
  </r>
  <r>
    <x v="779"/>
    <s v="Siddharth Shah"/>
    <n v="51"/>
    <x v="1"/>
    <n v="109421"/>
    <n v="50000"/>
    <n v="24"/>
    <n v="18.64"/>
    <s v="Medical"/>
    <n v="677"/>
    <x v="170"/>
    <s v="2021-05-25"/>
    <x v="0"/>
    <n v="2511.69"/>
    <x v="2"/>
    <x v="19"/>
    <x v="2"/>
    <n v="12"/>
    <n v="20613.23"/>
    <x v="2"/>
  </r>
  <r>
    <x v="780"/>
    <s v="Arjun Gupta"/>
    <n v="25"/>
    <x v="2"/>
    <n v="55870"/>
    <n v="100000"/>
    <n v="48"/>
    <n v="19.989999999999998"/>
    <s v="Medical"/>
    <n v="887"/>
    <x v="421"/>
    <s v="2022-01-19"/>
    <x v="0"/>
    <n v="3042.5"/>
    <x v="4"/>
    <x v="16"/>
    <x v="3"/>
    <n v="0"/>
    <n v="20590.75"/>
    <x v="1"/>
  </r>
  <r>
    <x v="781"/>
    <s v="Anil Patel"/>
    <n v="35"/>
    <x v="4"/>
    <n v="94418"/>
    <n v="100000"/>
    <n v="12"/>
    <n v="11.26"/>
    <s v="Debt Consolidation"/>
    <n v="788"/>
    <x v="140"/>
    <s v="2021-12-07"/>
    <x v="0"/>
    <n v="8850.2999999999993"/>
    <x v="1"/>
    <x v="3"/>
    <x v="1"/>
    <n v="5"/>
    <n v="20347.3"/>
    <x v="1"/>
  </r>
  <r>
    <x v="782"/>
    <s v="Arjun Jain"/>
    <n v="40"/>
    <x v="0"/>
    <n v="184774"/>
    <n v="75000"/>
    <n v="12"/>
    <n v="14.46"/>
    <s v="Business Expansion"/>
    <n v="465"/>
    <x v="461"/>
    <s v="2021-03-08"/>
    <x v="0"/>
    <n v="6750.28"/>
    <x v="2"/>
    <x v="20"/>
    <x v="0"/>
    <n v="2"/>
    <n v="20322.73"/>
    <x v="0"/>
  </r>
  <r>
    <x v="783"/>
    <s v="Vinod Verma"/>
    <n v="48"/>
    <x v="1"/>
    <n v="86108"/>
    <n v="75000"/>
    <n v="84"/>
    <n v="9.23"/>
    <s v="Home Purchase"/>
    <n v="483"/>
    <x v="390"/>
    <s v="2021-06-08"/>
    <x v="0"/>
    <n v="1215.45"/>
    <x v="0"/>
    <x v="18"/>
    <x v="0"/>
    <n v="0"/>
    <n v="19210.84"/>
    <x v="0"/>
  </r>
  <r>
    <x v="784"/>
    <s v="Siddharth Menon"/>
    <n v="52"/>
    <x v="2"/>
    <n v="193636"/>
    <n v="200000"/>
    <n v="84"/>
    <n v="9.8000000000000007"/>
    <s v="Home Purchase"/>
    <n v="862"/>
    <x v="58"/>
    <s v="2022-09-13"/>
    <x v="0"/>
    <n v="3299.61"/>
    <x v="1"/>
    <x v="1"/>
    <x v="0"/>
    <n v="1"/>
    <n v="18851.41"/>
    <x v="1"/>
  </r>
  <r>
    <x v="785"/>
    <s v="Rohit Verma"/>
    <n v="22"/>
    <x v="3"/>
    <n v="236638"/>
    <n v="50000"/>
    <n v="240"/>
    <n v="8.99"/>
    <s v="Debt Consolidation"/>
    <n v="796"/>
    <x v="461"/>
    <s v="2021-03-01"/>
    <x v="0"/>
    <n v="449.54"/>
    <x v="3"/>
    <x v="17"/>
    <x v="0"/>
    <n v="1"/>
    <n v="18846.88"/>
    <x v="1"/>
  </r>
  <r>
    <x v="786"/>
    <s v="Deepa Mehta"/>
    <n v="48"/>
    <x v="3"/>
    <n v="142772"/>
    <n v="50000"/>
    <n v="36"/>
    <n v="18.66"/>
    <s v="Business Expansion"/>
    <n v="531"/>
    <x v="555"/>
    <s v="2023-02-02"/>
    <x v="0"/>
    <n v="1824.22"/>
    <x v="2"/>
    <x v="4"/>
    <x v="2"/>
    <n v="5"/>
    <n v="18805.84"/>
    <x v="0"/>
  </r>
  <r>
    <x v="787"/>
    <s v="Sunita Mishra"/>
    <n v="22"/>
    <x v="4"/>
    <n v="221885"/>
    <n v="50000"/>
    <n v="24"/>
    <n v="10.56"/>
    <s v="Home Purchase"/>
    <n v="684"/>
    <x v="46"/>
    <s v="2023-09-24"/>
    <x v="0"/>
    <n v="2320.19"/>
    <x v="1"/>
    <x v="15"/>
    <x v="0"/>
    <n v="1"/>
    <n v="18677.439999999999"/>
    <x v="2"/>
  </r>
  <r>
    <x v="788"/>
    <s v="Suresh Sharma"/>
    <n v="51"/>
    <x v="2"/>
    <n v="205112"/>
    <n v="100000"/>
    <n v="12"/>
    <n v="16.23"/>
    <s v="Business Expansion"/>
    <n v="554"/>
    <x v="556"/>
    <s v="2023-09-20"/>
    <x v="0"/>
    <n v="9083.9699999999993"/>
    <x v="4"/>
    <x v="16"/>
    <x v="0"/>
    <n v="2"/>
    <n v="18244.27"/>
    <x v="3"/>
  </r>
  <r>
    <x v="789"/>
    <s v="Nisha Kaur"/>
    <n v="56"/>
    <x v="2"/>
    <n v="81404"/>
    <n v="50000"/>
    <n v="48"/>
    <n v="11.65"/>
    <s v="Home Purchase"/>
    <n v="639"/>
    <x v="346"/>
    <s v="2023-04-26"/>
    <x v="0"/>
    <n v="1308.1199999999999"/>
    <x v="4"/>
    <x v="21"/>
    <x v="0"/>
    <n v="1"/>
    <n v="18212.68"/>
    <x v="3"/>
  </r>
  <r>
    <x v="790"/>
    <s v="Ashok Chatterjee"/>
    <n v="38"/>
    <x v="1"/>
    <n v="149431"/>
    <n v="400000"/>
    <n v="180"/>
    <n v="8.93"/>
    <s v="Agriculture"/>
    <s v="Not Available"/>
    <x v="181"/>
    <s v="2021-04-25"/>
    <x v="0"/>
    <n v="4040.43"/>
    <x v="0"/>
    <x v="22"/>
    <x v="0"/>
    <n v="1"/>
    <n v="18179.37"/>
    <x v="4"/>
  </r>
  <r>
    <x v="791"/>
    <s v="Usha Shetty"/>
    <n v="38"/>
    <x v="4"/>
    <n v="99167"/>
    <n v="50000"/>
    <n v="12"/>
    <n v="12.31"/>
    <s v="Agriculture"/>
    <n v="335"/>
    <x v="557"/>
    <s v="2023-03-11"/>
    <x v="2"/>
    <n v="4449.6899999999996"/>
    <x v="0"/>
    <x v="2"/>
    <x v="2"/>
    <n v="0"/>
    <n v="17962.23"/>
    <x v="0"/>
  </r>
  <r>
    <x v="792"/>
    <s v="Dinesh Dubey"/>
    <n v="41"/>
    <x v="4"/>
    <n v="123034"/>
    <n v="50000"/>
    <n v="48"/>
    <n v="10.65"/>
    <s v="Education"/>
    <n v="693"/>
    <x v="558"/>
    <s v="2021-03-15"/>
    <x v="1"/>
    <n v="1283.79"/>
    <x v="1"/>
    <x v="10"/>
    <x v="0"/>
    <n v="0"/>
    <n v="17648.490000000002"/>
    <x v="2"/>
  </r>
  <r>
    <x v="793"/>
    <s v="Kiran Yadav"/>
    <n v="63"/>
    <x v="1"/>
    <n v="203376"/>
    <n v="100000"/>
    <n v="12"/>
    <n v="18.18"/>
    <s v="Business Expansion"/>
    <n v="881"/>
    <x v="559"/>
    <s v="2023-05-10"/>
    <x v="0"/>
    <n v="9176.57"/>
    <x v="0"/>
    <x v="0"/>
    <x v="2"/>
    <n v="9"/>
    <n v="17410.87"/>
    <x v="1"/>
  </r>
  <r>
    <x v="794"/>
    <s v="Ramesh Kulkarni"/>
    <n v="33"/>
    <x v="3"/>
    <n v="81185"/>
    <n v="400000"/>
    <n v="24"/>
    <n v="19.420000000000002"/>
    <s v="Debt Consolidation"/>
    <s v="Not Available"/>
    <x v="141"/>
    <s v="2021-04-27"/>
    <x v="2"/>
    <n v="20245.16"/>
    <x v="3"/>
    <x v="7"/>
    <x v="0"/>
    <n v="2"/>
    <n v="17366.48"/>
    <x v="4"/>
  </r>
  <r>
    <x v="795"/>
    <s v="Vikram Rao"/>
    <n v="33"/>
    <x v="1"/>
    <n v="235075"/>
    <n v="100000"/>
    <n v="12"/>
    <n v="18.600000000000001"/>
    <s v="Debt Consolidation"/>
    <n v="721"/>
    <x v="560"/>
    <s v="2022-07-22"/>
    <x v="0"/>
    <n v="9196.58"/>
    <x v="4"/>
    <x v="16"/>
    <x v="2"/>
    <n v="11"/>
    <n v="17230.78"/>
    <x v="2"/>
  </r>
  <r>
    <x v="796"/>
    <s v="Geeta Saxena"/>
    <n v="58"/>
    <x v="3"/>
    <m/>
    <n v="200000"/>
    <n v="84"/>
    <n v="9.58"/>
    <s v="Vehicle Loan"/>
    <n v="397"/>
    <x v="190"/>
    <s v="2022-06-01"/>
    <x v="1"/>
    <n v="3277"/>
    <x v="1"/>
    <x v="3"/>
    <x v="0"/>
    <n v="0"/>
    <n v="17143.400000000001"/>
    <x v="0"/>
  </r>
  <r>
    <x v="797"/>
    <s v="Sarala Jain"/>
    <n v="29"/>
    <x v="1"/>
    <n v="241932"/>
    <n v="50000"/>
    <n v="48"/>
    <n v="13.76"/>
    <s v="Debt Consolidation"/>
    <n v="625"/>
    <x v="252"/>
    <s v="2022-04-02"/>
    <x v="2"/>
    <n v="1360.31"/>
    <x v="2"/>
    <x v="4"/>
    <x v="0"/>
    <n v="1"/>
    <n v="16944.47"/>
    <x v="3"/>
  </r>
  <r>
    <x v="798"/>
    <s v="Ramesh Das"/>
    <n v="58"/>
    <x v="1"/>
    <n v="170825"/>
    <n v="50000"/>
    <n v="36"/>
    <n v="9.65"/>
    <s v="Business Expansion"/>
    <n v="326"/>
    <x v="561"/>
    <s v="2022-09-01"/>
    <x v="0"/>
    <n v="1605.16"/>
    <x v="0"/>
    <x v="22"/>
    <x v="0"/>
    <n v="2"/>
    <n v="16773.189999999999"/>
    <x v="0"/>
  </r>
  <r>
    <x v="799"/>
    <s v="Ramesh Joshi"/>
    <n v="52"/>
    <x v="1"/>
    <n v="235610"/>
    <n v="100000"/>
    <n v="36"/>
    <n v="19.66"/>
    <s v="Vehicle Loan"/>
    <n v="481"/>
    <x v="562"/>
    <s v="2021-12-16"/>
    <x v="2"/>
    <n v="3699.06"/>
    <x v="4"/>
    <x v="21"/>
    <x v="0"/>
    <n v="2"/>
    <n v="16771.150000000001"/>
    <x v="0"/>
  </r>
  <r>
    <x v="800"/>
    <s v="Ravi Gupta"/>
    <n v="25"/>
    <x v="1"/>
    <n v="67611"/>
    <n v="2000000"/>
    <n v="60"/>
    <n v="8.27"/>
    <s v="Home Purchase"/>
    <n v="368"/>
    <x v="563"/>
    <s v="2023-02-07"/>
    <x v="0"/>
    <n v="40811.72"/>
    <x v="2"/>
    <x v="6"/>
    <x v="0"/>
    <n v="2"/>
    <n v="16550.41"/>
    <x v="0"/>
  </r>
  <r>
    <x v="801"/>
    <s v="Bhavna Tiwari"/>
    <n v="34"/>
    <x v="1"/>
    <n v="27822"/>
    <n v="300000"/>
    <n v="60"/>
    <n v="13.15"/>
    <s v="Debt Consolidation"/>
    <n v="787"/>
    <x v="551"/>
    <s v="2022-09-10"/>
    <x v="0"/>
    <n v="6848.98"/>
    <x v="2"/>
    <x v="6"/>
    <x v="0"/>
    <n v="0"/>
    <n v="16452.23"/>
    <x v="1"/>
  </r>
  <r>
    <x v="802"/>
    <s v="Vinod Mishra"/>
    <n v="48"/>
    <x v="4"/>
    <n v="184228"/>
    <n v="75000"/>
    <n v="48"/>
    <n v="13.9"/>
    <s v="Debt Consolidation"/>
    <n v="796"/>
    <x v="463"/>
    <s v="2021-11-27"/>
    <x v="0"/>
    <n v="2045.73"/>
    <x v="1"/>
    <x v="11"/>
    <x v="2"/>
    <n v="0"/>
    <n v="16082.98"/>
    <x v="1"/>
  </r>
  <r>
    <x v="803"/>
    <s v="Ajay Verma"/>
    <n v="36"/>
    <x v="1"/>
    <n v="194317"/>
    <n v="75000"/>
    <n v="12"/>
    <n v="8.86"/>
    <s v="Debt Consolidation"/>
    <n v="686"/>
    <x v="293"/>
    <s v="2021-02-14"/>
    <x v="0"/>
    <n v="6553.99"/>
    <x v="1"/>
    <x v="10"/>
    <x v="0"/>
    <n v="0"/>
    <n v="16014.09"/>
    <x v="2"/>
  </r>
  <r>
    <x v="804"/>
    <s v="Ashok Chaudhary"/>
    <n v="39"/>
    <x v="0"/>
    <n v="82105"/>
    <n v="50000"/>
    <n v="240"/>
    <n v="17.03"/>
    <s v="Vehicle Loan"/>
    <n v="691"/>
    <x v="564"/>
    <s v="2023-07-05"/>
    <x v="1"/>
    <n v="734.54"/>
    <x v="4"/>
    <x v="24"/>
    <x v="0"/>
    <n v="2"/>
    <n v="15623.53"/>
    <x v="2"/>
  </r>
  <r>
    <x v="805"/>
    <s v="Tarun Yadav"/>
    <n v="23"/>
    <x v="3"/>
    <n v="239828"/>
    <n v="100000"/>
    <n v="180"/>
    <n v="14.12"/>
    <s v="Debt Consolidation"/>
    <n v="507"/>
    <x v="137"/>
    <s v="2021-08-03"/>
    <x v="0"/>
    <n v="1339.81"/>
    <x v="0"/>
    <x v="22"/>
    <x v="3"/>
    <n v="0"/>
    <n v="15591.97"/>
    <x v="0"/>
  </r>
  <r>
    <x v="806"/>
    <s v="Kiran Iyer"/>
    <n v="26"/>
    <x v="0"/>
    <n v="171529"/>
    <n v="50000"/>
    <n v="60"/>
    <n v="10.220000000000001"/>
    <s v="Personal"/>
    <n v="333"/>
    <x v="45"/>
    <s v="2021-04-23"/>
    <x v="0"/>
    <n v="1067.77"/>
    <x v="0"/>
    <x v="22"/>
    <x v="3"/>
    <n v="0"/>
    <n v="15404.25"/>
    <x v="0"/>
  </r>
  <r>
    <x v="807"/>
    <s v="Kavitha Verma"/>
    <n v="32"/>
    <x v="4"/>
    <n v="212791"/>
    <n v="50000"/>
    <n v="24"/>
    <n v="21.75"/>
    <s v="Education"/>
    <n v="300"/>
    <x v="372"/>
    <s v="2023-04-09"/>
    <x v="2"/>
    <n v="2587.7399999999998"/>
    <x v="4"/>
    <x v="16"/>
    <x v="1"/>
    <n v="8"/>
    <n v="15065.51"/>
    <x v="0"/>
  </r>
  <r>
    <x v="808"/>
    <s v="Manoj Verma"/>
    <n v="42"/>
    <x v="3"/>
    <n v="62645"/>
    <n v="50000"/>
    <n v="12"/>
    <n v="8.26"/>
    <s v="Medical"/>
    <n v="517"/>
    <x v="367"/>
    <s v="2021-08-11"/>
    <x v="0"/>
    <n v="4355.43"/>
    <x v="4"/>
    <x v="16"/>
    <x v="0"/>
    <n v="1"/>
    <n v="14721.02"/>
    <x v="0"/>
  </r>
  <r>
    <x v="809"/>
    <s v="Kiran Dubey"/>
    <n v="54"/>
    <x v="2"/>
    <n v="162455"/>
    <n v="2000000"/>
    <n v="120"/>
    <n v="13.31"/>
    <s v="Business Expansion"/>
    <n v="511"/>
    <x v="565"/>
    <s v="2022-04-13"/>
    <x v="0"/>
    <n v="30228.95"/>
    <x v="0"/>
    <x v="8"/>
    <x v="0"/>
    <n v="0"/>
    <n v="13957.98"/>
    <x v="0"/>
  </r>
  <r>
    <x v="810"/>
    <s v="Kavitha Shetty"/>
    <n v="44"/>
    <x v="0"/>
    <n v="104948"/>
    <n v="300000"/>
    <n v="12"/>
    <n v="10.95"/>
    <s v="Vehicle Loan"/>
    <n v="310"/>
    <x v="181"/>
    <s v="2021-05-02"/>
    <x v="0"/>
    <n v="26507.5"/>
    <x v="0"/>
    <x v="2"/>
    <x v="3"/>
    <n v="2"/>
    <n v="13719"/>
    <x v="0"/>
  </r>
  <r>
    <x v="811"/>
    <s v="Anita Deshpande"/>
    <n v="27"/>
    <x v="2"/>
    <n v="190441"/>
    <n v="75000"/>
    <n v="36"/>
    <n v="21.73"/>
    <s v="Agriculture"/>
    <n v="631"/>
    <x v="566"/>
    <s v="2022-05-15"/>
    <x v="2"/>
    <n v="2853.82"/>
    <x v="0"/>
    <x v="8"/>
    <x v="0"/>
    <n v="1"/>
    <n v="13357.49"/>
    <x v="3"/>
  </r>
  <r>
    <x v="812"/>
    <s v="Sarala Sharma"/>
    <n v="22"/>
    <x v="0"/>
    <n v="69710"/>
    <n v="50000"/>
    <n v="12"/>
    <n v="16"/>
    <s v="Medical"/>
    <n v="724"/>
    <x v="567"/>
    <s v="2023-12-12"/>
    <x v="0"/>
    <n v="4536.54"/>
    <x v="3"/>
    <x v="7"/>
    <x v="2"/>
    <n v="2"/>
    <n v="13254.03"/>
    <x v="2"/>
  </r>
  <r>
    <x v="813"/>
    <s v="Arjun Kaur"/>
    <n v="48"/>
    <x v="1"/>
    <n v="23285"/>
    <n v="100000"/>
    <n v="48"/>
    <n v="21.25"/>
    <s v="Business Expansion"/>
    <n v="421"/>
    <x v="32"/>
    <s v="2021-10-01"/>
    <x v="2"/>
    <n v="3110.03"/>
    <x v="2"/>
    <x v="4"/>
    <x v="0"/>
    <n v="2"/>
    <n v="13230.16"/>
    <x v="0"/>
  </r>
  <r>
    <x v="814"/>
    <s v="Amit Kumar"/>
    <n v="64"/>
    <x v="3"/>
    <n v="215366"/>
    <n v="50000"/>
    <n v="120"/>
    <n v="9.49"/>
    <s v="Personal"/>
    <n v="369"/>
    <x v="455"/>
    <s v="2023-08-06"/>
    <x v="0"/>
    <n v="646.71"/>
    <x v="0"/>
    <x v="8"/>
    <x v="0"/>
    <n v="0"/>
    <n v="12749.5"/>
    <x v="0"/>
  </r>
  <r>
    <x v="815"/>
    <s v="Ramesh Menon"/>
    <n v="61"/>
    <x v="1"/>
    <n v="196922"/>
    <n v="400000"/>
    <n v="48"/>
    <n v="9.2799999999999994"/>
    <s v="Vehicle Loan"/>
    <n v="762"/>
    <x v="420"/>
    <s v="2022-11-10"/>
    <x v="0"/>
    <n v="10007.280000000001"/>
    <x v="0"/>
    <x v="2"/>
    <x v="3"/>
    <n v="0"/>
    <n v="12718.26"/>
    <x v="1"/>
  </r>
  <r>
    <x v="816"/>
    <s v="Vikram Mishra"/>
    <n v="58"/>
    <x v="1"/>
    <n v="107633"/>
    <n v="75000"/>
    <n v="24"/>
    <n v="10.1"/>
    <s v="Agriculture"/>
    <n v="564"/>
    <x v="231"/>
    <s v="2021-10-21"/>
    <x v="1"/>
    <n v="3464.33"/>
    <x v="2"/>
    <x v="6"/>
    <x v="0"/>
    <n v="1"/>
    <n v="12642.06"/>
    <x v="3"/>
  </r>
  <r>
    <x v="817"/>
    <s v="Anita Jain"/>
    <n v="26"/>
    <x v="4"/>
    <n v="30795"/>
    <n v="75000"/>
    <n v="180"/>
    <n v="7.96"/>
    <s v="Debt Consolidation"/>
    <n v="484"/>
    <x v="568"/>
    <s v="2023-08-07"/>
    <x v="2"/>
    <n v="715.01"/>
    <x v="0"/>
    <x v="2"/>
    <x v="0"/>
    <n v="1"/>
    <n v="12579.63"/>
    <x v="0"/>
  </r>
  <r>
    <x v="818"/>
    <s v="Anita Nair"/>
    <n v="60"/>
    <x v="1"/>
    <n v="246937"/>
    <n v="100000"/>
    <n v="84"/>
    <n v="20.91"/>
    <s v="Agriculture"/>
    <n v="761"/>
    <x v="569"/>
    <s v="2023-12-04"/>
    <x v="2"/>
    <n v="2275.7399999999998"/>
    <x v="1"/>
    <x v="3"/>
    <x v="2"/>
    <n v="0"/>
    <n v="11928.86"/>
    <x v="1"/>
  </r>
  <r>
    <x v="819"/>
    <s v="Tarun Tiwari"/>
    <n v="47"/>
    <x v="2"/>
    <n v="113845"/>
    <n v="75000"/>
    <n v="180"/>
    <n v="7.85"/>
    <s v="Vehicle Loan"/>
    <n v="629"/>
    <x v="570"/>
    <s v="2022-10-07"/>
    <x v="0"/>
    <n v="710.26"/>
    <x v="1"/>
    <x v="10"/>
    <x v="0"/>
    <n v="2"/>
    <n v="11715.83"/>
    <x v="3"/>
  </r>
  <r>
    <x v="820"/>
    <s v="Varsha Shetty"/>
    <n v="22"/>
    <x v="2"/>
    <n v="56767"/>
    <n v="250000"/>
    <n v="24"/>
    <n v="14.33"/>
    <s v="Debt Consolidation"/>
    <n v="517"/>
    <x v="571"/>
    <s v="2022-06-09"/>
    <x v="2"/>
    <n v="12042.23"/>
    <x v="2"/>
    <x v="4"/>
    <x v="0"/>
    <n v="1"/>
    <n v="11563.85"/>
    <x v="0"/>
  </r>
  <r>
    <x v="821"/>
    <s v="Anita Banerjee"/>
    <n v="52"/>
    <x v="0"/>
    <n v="207267"/>
    <n v="100000"/>
    <n v="240"/>
    <n v="8.7100000000000009"/>
    <s v="Home Purchase"/>
    <n v="678"/>
    <x v="108"/>
    <s v="2022-01-16"/>
    <x v="0"/>
    <n v="881.16"/>
    <x v="2"/>
    <x v="4"/>
    <x v="1"/>
    <n v="5"/>
    <n v="11179.07"/>
    <x v="2"/>
  </r>
  <r>
    <x v="822"/>
    <s v="Siddharth Nair"/>
    <n v="54"/>
    <x v="2"/>
    <n v="65973"/>
    <n v="400000"/>
    <n v="84"/>
    <n v="16.25"/>
    <s v="Home Purchase"/>
    <n v="669"/>
    <x v="572"/>
    <s v="2023-02-12"/>
    <x v="0"/>
    <n v="8001.89"/>
    <x v="2"/>
    <x v="13"/>
    <x v="2"/>
    <n v="11"/>
    <n v="11108.15"/>
    <x v="2"/>
  </r>
  <r>
    <x v="823"/>
    <s v="Divya Das"/>
    <n v="53"/>
    <x v="2"/>
    <n v="102630"/>
    <n v="200000"/>
    <n v="24"/>
    <n v="8.9"/>
    <s v="Home Purchase"/>
    <n v="865"/>
    <x v="30"/>
    <s v="2023-02-06"/>
    <x v="1"/>
    <n v="9127.77"/>
    <x v="0"/>
    <x v="22"/>
    <x v="0"/>
    <n v="1"/>
    <n v="11055.16"/>
    <x v="1"/>
  </r>
  <r>
    <x v="824"/>
    <s v="Priya Malhotra"/>
    <n v="62"/>
    <x v="0"/>
    <n v="247300"/>
    <n v="50000"/>
    <n v="60"/>
    <n v="15.53"/>
    <s v="Vehicle Loan"/>
    <n v="552"/>
    <x v="573"/>
    <s v="2023-05-01"/>
    <x v="2"/>
    <n v="1203.45"/>
    <x v="1"/>
    <x v="3"/>
    <x v="0"/>
    <n v="1"/>
    <n v="11008.22"/>
    <x v="3"/>
  </r>
  <r>
    <x v="825"/>
    <s v="Komal Shetty"/>
    <n v="50"/>
    <x v="4"/>
    <n v="133354"/>
    <n v="75000"/>
    <n v="48"/>
    <n v="10.76"/>
    <s v="Medical"/>
    <n v="321"/>
    <x v="101"/>
    <s v="2022-03-31"/>
    <x v="0"/>
    <n v="1929.68"/>
    <x v="1"/>
    <x v="15"/>
    <x v="1"/>
    <n v="3"/>
    <n v="10741.66"/>
    <x v="0"/>
  </r>
  <r>
    <x v="826"/>
    <s v="Ravi Shah"/>
    <n v="43"/>
    <x v="4"/>
    <n v="79478"/>
    <n v="100000"/>
    <n v="48"/>
    <n v="7.81"/>
    <s v="Business Expansion"/>
    <n v="403"/>
    <x v="574"/>
    <s v="2021-08-29"/>
    <x v="0"/>
    <n v="2432.38"/>
    <x v="3"/>
    <x v="17"/>
    <x v="0"/>
    <n v="1"/>
    <n v="10245.18"/>
    <x v="0"/>
  </r>
  <r>
    <x v="827"/>
    <s v="Ashok Malhotra"/>
    <n v="43"/>
    <x v="1"/>
    <n v="190671"/>
    <n v="75000"/>
    <n v="36"/>
    <n v="12.28"/>
    <s v="Agriculture"/>
    <n v="595"/>
    <x v="495"/>
    <s v="2021-07-13"/>
    <x v="2"/>
    <n v="2501.12"/>
    <x v="2"/>
    <x v="20"/>
    <x v="2"/>
    <n v="0"/>
    <n v="9720.77"/>
    <x v="3"/>
  </r>
  <r>
    <x v="828"/>
    <s v="Arjun Chatterjee"/>
    <n v="65"/>
    <x v="2"/>
    <n v="54186"/>
    <n v="75000"/>
    <n v="48"/>
    <n v="21.44"/>
    <s v="Medical"/>
    <n v="599"/>
    <x v="272"/>
    <s v="2021-02-24"/>
    <x v="0"/>
    <n v="2340.21"/>
    <x v="3"/>
    <x v="12"/>
    <x v="0"/>
    <n v="2"/>
    <n v="9708.14"/>
    <x v="3"/>
  </r>
  <r>
    <x v="829"/>
    <s v="Ajay Deshpande"/>
    <n v="46"/>
    <x v="1"/>
    <n v="62137"/>
    <n v="50000"/>
    <n v="84"/>
    <n v="16.16"/>
    <s v="Home Purchase"/>
    <n v="587"/>
    <x v="410"/>
    <s v="2022-04-30"/>
    <x v="0"/>
    <n v="997.66"/>
    <x v="3"/>
    <x v="14"/>
    <x v="0"/>
    <n v="2"/>
    <n v="9594.77"/>
    <x v="3"/>
  </r>
  <r>
    <x v="830"/>
    <s v="Manoj Nayak"/>
    <n v="50"/>
    <x v="2"/>
    <n v="128514"/>
    <n v="250000"/>
    <n v="12"/>
    <n v="13.15"/>
    <s v="Vehicle Loan"/>
    <n v="847"/>
    <x v="181"/>
    <s v="2021-04-29"/>
    <x v="2"/>
    <n v="22346.92"/>
    <x v="3"/>
    <x v="7"/>
    <x v="0"/>
    <n v="0"/>
    <n v="8653.26"/>
    <x v="1"/>
  </r>
  <r>
    <x v="831"/>
    <s v="Sarala Deshpande"/>
    <n v="47"/>
    <x v="1"/>
    <n v="219726"/>
    <n v="100000"/>
    <n v="180"/>
    <n v="19.920000000000002"/>
    <s v="Medical"/>
    <n v="660"/>
    <x v="288"/>
    <s v="2022-11-09"/>
    <x v="0"/>
    <n v="1750.39"/>
    <x v="1"/>
    <x v="15"/>
    <x v="0"/>
    <n v="2"/>
    <n v="8629.64"/>
    <x v="2"/>
  </r>
  <r>
    <x v="832"/>
    <s v="Kiran Gupta"/>
    <n v="42"/>
    <x v="3"/>
    <n v="44223"/>
    <n v="150000"/>
    <n v="60"/>
    <n v="20.68"/>
    <s v="Business Expansion"/>
    <n v="873"/>
    <x v="575"/>
    <s v="2021-06-14"/>
    <x v="0"/>
    <n v="4031.05"/>
    <x v="1"/>
    <x v="3"/>
    <x v="0"/>
    <n v="1"/>
    <n v="8510.14"/>
    <x v="1"/>
  </r>
  <r>
    <x v="833"/>
    <s v="Bhavna Kulkarni"/>
    <n v="30"/>
    <x v="4"/>
    <n v="156496"/>
    <n v="50000"/>
    <n v="12"/>
    <n v="19.13"/>
    <s v="Vehicle Loan"/>
    <n v="641"/>
    <x v="347"/>
    <s v="2021-04-30"/>
    <x v="2"/>
    <n v="4610.93"/>
    <x v="4"/>
    <x v="24"/>
    <x v="1"/>
    <n v="1"/>
    <n v="8501.6299999999992"/>
    <x v="3"/>
  </r>
  <r>
    <x v="834"/>
    <s v="Smita Sharma"/>
    <n v="64"/>
    <x v="0"/>
    <n v="67535"/>
    <n v="100000"/>
    <n v="60"/>
    <n v="11.96"/>
    <s v="Education"/>
    <n v="541"/>
    <x v="576"/>
    <s v="2022-05-24"/>
    <x v="0"/>
    <n v="2222.42"/>
    <x v="0"/>
    <x v="2"/>
    <x v="0"/>
    <n v="0"/>
    <n v="7991.81"/>
    <x v="0"/>
  </r>
  <r>
    <x v="835"/>
    <s v="Lakshmi Rao"/>
    <n v="24"/>
    <x v="2"/>
    <n v="28274"/>
    <n v="100000"/>
    <n v="120"/>
    <n v="19.41"/>
    <s v="Debt Consolidation"/>
    <n v="808"/>
    <x v="577"/>
    <s v="2022-01-03"/>
    <x v="0"/>
    <n v="1893.6"/>
    <x v="3"/>
    <x v="14"/>
    <x v="3"/>
    <n v="2"/>
    <n v="7971.04"/>
    <x v="1"/>
  </r>
  <r>
    <x v="836"/>
    <s v="Pooja Malhotra"/>
    <n v="41"/>
    <x v="2"/>
    <n v="220171"/>
    <n v="75000"/>
    <n v="84"/>
    <n v="11.15"/>
    <s v="Personal"/>
    <n v="807"/>
    <x v="316"/>
    <s v="2021-08-15"/>
    <x v="1"/>
    <n v="1290.1099999999999"/>
    <x v="1"/>
    <x v="15"/>
    <x v="2"/>
    <n v="3"/>
    <n v="7656.26"/>
    <x v="1"/>
  </r>
  <r>
    <x v="837"/>
    <s v="Geeta Mehta"/>
    <n v="42"/>
    <x v="1"/>
    <n v="121693"/>
    <n v="100000"/>
    <n v="120"/>
    <n v="12.9"/>
    <s v="Medical"/>
    <n v="599"/>
    <x v="578"/>
    <s v="2023-04-30"/>
    <x v="2"/>
    <n v="1487.21"/>
    <x v="0"/>
    <x v="2"/>
    <x v="0"/>
    <n v="2"/>
    <n v="7644.26"/>
    <x v="3"/>
  </r>
  <r>
    <x v="838"/>
    <s v="Geeta Shetty"/>
    <n v="47"/>
    <x v="1"/>
    <n v="133155"/>
    <n v="100000"/>
    <n v="36"/>
    <n v="21.7"/>
    <s v="Personal"/>
    <n v="402"/>
    <x v="116"/>
    <s v="2023-03-01"/>
    <x v="0"/>
    <n v="3803.54"/>
    <x v="4"/>
    <x v="9"/>
    <x v="0"/>
    <n v="2"/>
    <n v="7573.98"/>
    <x v="0"/>
  </r>
  <r>
    <x v="839"/>
    <s v="Shweta Joshi"/>
    <n v="64"/>
    <x v="4"/>
    <n v="213446"/>
    <n v="50000"/>
    <n v="60"/>
    <n v="19.510000000000002"/>
    <s v="Medical"/>
    <n v="717"/>
    <x v="489"/>
    <s v="2023-06-22"/>
    <x v="0"/>
    <n v="1311.1"/>
    <x v="3"/>
    <x v="17"/>
    <x v="2"/>
    <n v="11"/>
    <n v="7520.36"/>
    <x v="2"/>
  </r>
  <r>
    <x v="840"/>
    <s v="Shweta Banerjee"/>
    <n v="43"/>
    <x v="4"/>
    <n v="118442"/>
    <n v="50000"/>
    <n v="60"/>
    <n v="12.74"/>
    <s v="Business Expansion"/>
    <n v="312"/>
    <x v="533"/>
    <s v="2022-11-18"/>
    <x v="1"/>
    <n v="1131.01"/>
    <x v="3"/>
    <x v="12"/>
    <x v="2"/>
    <n v="9"/>
    <n v="7247.82"/>
    <x v="0"/>
  </r>
  <r>
    <x v="841"/>
    <s v="Manoj Patel"/>
    <n v="63"/>
    <x v="2"/>
    <n v="60590"/>
    <n v="1500000"/>
    <n v="48"/>
    <n v="11.99"/>
    <s v="Personal"/>
    <n v="832"/>
    <x v="30"/>
    <s v="2023-02-03"/>
    <x v="0"/>
    <n v="39493.39"/>
    <x v="1"/>
    <x v="3"/>
    <x v="0"/>
    <n v="1"/>
    <n v="7149.86"/>
    <x v="1"/>
  </r>
  <r>
    <x v="842"/>
    <s v="Sarala Sharma"/>
    <n v="57"/>
    <x v="2"/>
    <n v="39434"/>
    <n v="150000"/>
    <n v="24"/>
    <n v="14.19"/>
    <s v="Vehicle Loan"/>
    <n v="457"/>
    <x v="579"/>
    <s v="2022-07-30"/>
    <x v="0"/>
    <n v="7215.4"/>
    <x v="2"/>
    <x v="6"/>
    <x v="0"/>
    <n v="2"/>
    <n v="7135.08"/>
    <x v="0"/>
  </r>
  <r>
    <x v="843"/>
    <s v="Priya Singh"/>
    <n v="34"/>
    <x v="3"/>
    <n v="151382"/>
    <n v="150000"/>
    <n v="84"/>
    <n v="13.16"/>
    <s v="Vehicle Loan"/>
    <n v="327"/>
    <x v="580"/>
    <s v="2021-06-11"/>
    <x v="0"/>
    <n v="2741.86"/>
    <x v="2"/>
    <x v="13"/>
    <x v="1"/>
    <n v="10"/>
    <n v="6874.91"/>
    <x v="0"/>
  </r>
  <r>
    <x v="844"/>
    <s v="Vikram Sharma"/>
    <n v="31"/>
    <x v="4"/>
    <n v="245660"/>
    <n v="75000"/>
    <n v="240"/>
    <n v="8.9"/>
    <s v="Personal"/>
    <n v="406"/>
    <x v="176"/>
    <s v="2023-03-16"/>
    <x v="2"/>
    <n v="669.98"/>
    <x v="2"/>
    <x v="19"/>
    <x v="0"/>
    <n v="2"/>
    <n v="6863.03"/>
    <x v="0"/>
  </r>
  <r>
    <x v="845"/>
    <s v="Anil Dubey"/>
    <n v="44"/>
    <x v="3"/>
    <n v="100555"/>
    <n v="50000"/>
    <n v="48"/>
    <n v="15.96"/>
    <s v="Personal"/>
    <n v="584"/>
    <x v="581"/>
    <s v="2023-07-26"/>
    <x v="0"/>
    <n v="1415.99"/>
    <x v="0"/>
    <x v="8"/>
    <x v="2"/>
    <n v="1"/>
    <n v="6670.71"/>
    <x v="3"/>
  </r>
  <r>
    <x v="846"/>
    <s v="Naveen Mishra"/>
    <n v="57"/>
    <x v="1"/>
    <n v="235402"/>
    <n v="150000"/>
    <n v="36"/>
    <n v="7.83"/>
    <s v="Medical"/>
    <s v="Not Available"/>
    <x v="582"/>
    <s v="2021-02-13"/>
    <x v="0"/>
    <n v="4688.7"/>
    <x v="0"/>
    <x v="2"/>
    <x v="2"/>
    <n v="3"/>
    <n v="6525.78"/>
    <x v="4"/>
  </r>
  <r>
    <x v="847"/>
    <s v="Lakshmi Sharma"/>
    <n v="52"/>
    <x v="0"/>
    <n v="64118"/>
    <n v="75000"/>
    <n v="60"/>
    <n v="17.95"/>
    <s v="Debt Consolidation"/>
    <n v="557"/>
    <x v="325"/>
    <s v="2023-04-28"/>
    <x v="2"/>
    <n v="1902.47"/>
    <x v="4"/>
    <x v="24"/>
    <x v="2"/>
    <n v="3"/>
    <n v="6511.08"/>
    <x v="3"/>
  </r>
  <r>
    <x v="848"/>
    <s v="Rajesh Iyer"/>
    <n v="46"/>
    <x v="0"/>
    <n v="114256"/>
    <n v="75000"/>
    <n v="24"/>
    <n v="10.050000000000001"/>
    <s v="Business Expansion"/>
    <n v="801"/>
    <x v="94"/>
    <s v="2022-08-21"/>
    <x v="0"/>
    <n v="3462.6"/>
    <x v="3"/>
    <x v="7"/>
    <x v="4"/>
    <n v="1"/>
    <n v="6440.52"/>
    <x v="1"/>
  </r>
  <r>
    <x v="849"/>
    <s v="Rani Dubey"/>
    <n v="51"/>
    <x v="1"/>
    <n v="163701"/>
    <n v="100000"/>
    <n v="60"/>
    <n v="9.99"/>
    <s v="Business Expansion"/>
    <n v="532"/>
    <x v="583"/>
    <s v="2021-04-14"/>
    <x v="0"/>
    <n v="2124.21"/>
    <x v="2"/>
    <x v="6"/>
    <x v="0"/>
    <n v="1"/>
    <n v="6322.34"/>
    <x v="0"/>
  </r>
  <r>
    <x v="850"/>
    <s v="Vikram Kulkarni"/>
    <n v="60"/>
    <x v="4"/>
    <n v="171135"/>
    <n v="300000"/>
    <n v="84"/>
    <n v="7.93"/>
    <s v="Business Expansion"/>
    <n v="761"/>
    <x v="12"/>
    <s v="2023-02-24"/>
    <x v="0"/>
    <n v="4665.41"/>
    <x v="2"/>
    <x v="13"/>
    <x v="2"/>
    <n v="5"/>
    <n v="6079.17"/>
    <x v="1"/>
  </r>
  <r>
    <x v="851"/>
    <s v="Ramesh Reddy"/>
    <n v="35"/>
    <x v="1"/>
    <n v="158974"/>
    <n v="100000"/>
    <n v="60"/>
    <n v="13.85"/>
    <s v="Agriculture"/>
    <n v="424"/>
    <x v="404"/>
    <s v="2021-12-03"/>
    <x v="0"/>
    <n v="2319.06"/>
    <x v="3"/>
    <x v="7"/>
    <x v="0"/>
    <n v="0"/>
    <n v="6078.07"/>
    <x v="0"/>
  </r>
  <r>
    <x v="852"/>
    <s v="Naveen Kaur"/>
    <n v="52"/>
    <x v="3"/>
    <n v="187121"/>
    <n v="75000"/>
    <n v="24"/>
    <n v="11.13"/>
    <s v="Personal"/>
    <n v="806"/>
    <x v="399"/>
    <s v="2022-09-26"/>
    <x v="0"/>
    <n v="3500.12"/>
    <x v="4"/>
    <x v="9"/>
    <x v="0"/>
    <n v="1"/>
    <n v="5697.62"/>
    <x v="1"/>
  </r>
  <r>
    <x v="853"/>
    <s v="Sunil Kapoor"/>
    <n v="27"/>
    <x v="3"/>
    <n v="240732"/>
    <n v="75000"/>
    <n v="36"/>
    <n v="16.600000000000001"/>
    <s v="Debt Consolidation"/>
    <n v="365"/>
    <x v="584"/>
    <s v="2023-12-31"/>
    <x v="0"/>
    <n v="2659.05"/>
    <x v="2"/>
    <x v="4"/>
    <x v="0"/>
    <n v="2"/>
    <n v="5598.79"/>
    <x v="0"/>
  </r>
  <r>
    <x v="854"/>
    <s v="Sunita Saxena"/>
    <n v="64"/>
    <x v="2"/>
    <n v="19123"/>
    <n v="50000"/>
    <n v="240"/>
    <n v="15.5"/>
    <s v="Home Purchase"/>
    <n v="317"/>
    <x v="582"/>
    <s v="2021-02-24"/>
    <x v="2"/>
    <n v="676.94"/>
    <x v="1"/>
    <x v="11"/>
    <x v="2"/>
    <n v="8"/>
    <n v="5525.04"/>
    <x v="0"/>
  </r>
  <r>
    <x v="855"/>
    <s v="Divya Kapoor"/>
    <n v="34"/>
    <x v="3"/>
    <n v="164519"/>
    <n v="400000"/>
    <n v="240"/>
    <n v="12.61"/>
    <s v="Education"/>
    <n v="368"/>
    <x v="465"/>
    <s v="2021-06-16"/>
    <x v="1"/>
    <n v="4575.62"/>
    <x v="2"/>
    <x v="4"/>
    <x v="0"/>
    <n v="2"/>
    <n v="4666.43"/>
    <x v="0"/>
  </r>
  <r>
    <x v="856"/>
    <s v="Jyoti Pillai"/>
    <n v="56"/>
    <x v="0"/>
    <n v="54470"/>
    <n v="50000"/>
    <n v="120"/>
    <n v="7.85"/>
    <s v="Medical"/>
    <n v="309"/>
    <x v="149"/>
    <s v="2023-03-12"/>
    <x v="0"/>
    <n v="602.67999999999995"/>
    <x v="4"/>
    <x v="21"/>
    <x v="1"/>
    <n v="12"/>
    <n v="4437.3900000000003"/>
    <x v="0"/>
  </r>
  <r>
    <x v="857"/>
    <s v="Rekha Banerjee"/>
    <n v="65"/>
    <x v="0"/>
    <n v="124662"/>
    <n v="100000"/>
    <n v="120"/>
    <n v="18.989999999999998"/>
    <s v="Home Purchase"/>
    <n v="597"/>
    <x v="460"/>
    <s v="2022-06-07"/>
    <x v="0"/>
    <n v="1866.07"/>
    <x v="4"/>
    <x v="9"/>
    <x v="0"/>
    <n v="2"/>
    <n v="4270.6099999999997"/>
    <x v="3"/>
  </r>
  <r>
    <x v="858"/>
    <s v="Pallavi Saxena"/>
    <n v="34"/>
    <x v="0"/>
    <n v="64709"/>
    <n v="50000"/>
    <n v="12"/>
    <n v="19.989999999999998"/>
    <s v="Medical"/>
    <n v="803"/>
    <x v="142"/>
    <s v="2023-02-19"/>
    <x v="0"/>
    <n v="4631.49"/>
    <x v="2"/>
    <x v="4"/>
    <x v="1"/>
    <n v="6"/>
    <n v="4148.25"/>
    <x v="1"/>
  </r>
  <r>
    <x v="859"/>
    <s v="Vinod Deshpande"/>
    <n v="57"/>
    <x v="0"/>
    <n v="178754"/>
    <n v="150000"/>
    <n v="240"/>
    <n v="13.23"/>
    <s v="Debt Consolidation"/>
    <n v="423"/>
    <x v="0"/>
    <s v="2022-11-02"/>
    <x v="1"/>
    <n v="1782"/>
    <x v="0"/>
    <x v="0"/>
    <x v="0"/>
    <n v="0"/>
    <n v="4054.2"/>
    <x v="0"/>
  </r>
  <r>
    <x v="860"/>
    <s v="Shweta Rao"/>
    <n v="64"/>
    <x v="0"/>
    <n v="131628"/>
    <n v="75000"/>
    <n v="12"/>
    <n v="9.4700000000000006"/>
    <s v="Debt Consolidation"/>
    <n v="784"/>
    <x v="261"/>
    <s v="2021-03-03"/>
    <x v="0"/>
    <n v="6575.22"/>
    <x v="2"/>
    <x v="4"/>
    <x v="1"/>
    <n v="2"/>
    <n v="3987.62"/>
    <x v="1"/>
  </r>
  <r>
    <x v="861"/>
    <s v="Sarala Rao"/>
    <n v="48"/>
    <x v="2"/>
    <n v="35027"/>
    <n v="75000"/>
    <n v="36"/>
    <n v="20.89"/>
    <s v="Agriculture"/>
    <n v="656"/>
    <x v="28"/>
    <s v="2024-01-04"/>
    <x v="0"/>
    <n v="2821.4"/>
    <x v="4"/>
    <x v="23"/>
    <x v="2"/>
    <n v="2"/>
    <n v="3900.72"/>
    <x v="2"/>
  </r>
  <r>
    <x v="862"/>
    <s v="Ajay Jain"/>
    <n v="25"/>
    <x v="1"/>
    <n v="213045"/>
    <n v="75000"/>
    <n v="12"/>
    <n v="9.93"/>
    <s v="Debt Consolidation"/>
    <n v="787"/>
    <x v="585"/>
    <s v="2024-01-06"/>
    <x v="0"/>
    <n v="6591.25"/>
    <x v="4"/>
    <x v="16"/>
    <x v="0"/>
    <n v="2"/>
    <n v="3814.5"/>
    <x v="1"/>
  </r>
  <r>
    <x v="863"/>
    <s v="Naveen Patel"/>
    <n v="48"/>
    <x v="3"/>
    <n v="162242"/>
    <n v="75000"/>
    <n v="36"/>
    <n v="18.71"/>
    <s v="Home Purchase"/>
    <n v="678"/>
    <x v="15"/>
    <s v="2022-12-13"/>
    <x v="0"/>
    <n v="2738.22"/>
    <x v="4"/>
    <x v="16"/>
    <x v="0"/>
    <n v="1"/>
    <n v="3532.46"/>
    <x v="2"/>
  </r>
  <r>
    <x v="864"/>
    <s v="Priya Pillai"/>
    <n v="50"/>
    <x v="4"/>
    <n v="127604"/>
    <n v="300000"/>
    <n v="12"/>
    <n v="17.72"/>
    <s v="Personal"/>
    <n v="585"/>
    <x v="586"/>
    <s v="2022-02-01"/>
    <x v="2"/>
    <n v="27464.04"/>
    <x v="3"/>
    <x v="7"/>
    <x v="0"/>
    <n v="0"/>
    <n v="3388.37"/>
    <x v="3"/>
  </r>
  <r>
    <x v="865"/>
    <s v="Vinod Joshi"/>
    <n v="37"/>
    <x v="1"/>
    <n v="183983"/>
    <n v="75000"/>
    <n v="48"/>
    <n v="15.52"/>
    <s v="Business Expansion"/>
    <n v="327"/>
    <x v="587"/>
    <s v="2023-11-19"/>
    <x v="0"/>
    <n v="2107.13"/>
    <x v="4"/>
    <x v="9"/>
    <x v="0"/>
    <n v="2"/>
    <n v="2936.15"/>
    <x v="0"/>
  </r>
  <r>
    <x v="866"/>
    <s v="Manoj Dubey"/>
    <n v="60"/>
    <x v="2"/>
    <n v="91351"/>
    <n v="50000"/>
    <n v="48"/>
    <n v="11.68"/>
    <s v="Business Expansion"/>
    <n v="764"/>
    <x v="248"/>
    <s v="2022-02-26"/>
    <x v="0"/>
    <n v="1308.8499999999999"/>
    <x v="3"/>
    <x v="17"/>
    <x v="0"/>
    <n v="1"/>
    <n v="2881.4"/>
    <x v="1"/>
  </r>
  <r>
    <x v="867"/>
    <s v="Jyoti Kapoor"/>
    <n v="36"/>
    <x v="3"/>
    <n v="153492"/>
    <n v="50000"/>
    <n v="120"/>
    <n v="15.86"/>
    <s v="Vehicle Loan"/>
    <n v="574"/>
    <x v="413"/>
    <s v="2022-12-29"/>
    <x v="0"/>
    <n v="833.21"/>
    <x v="2"/>
    <x v="4"/>
    <x v="3"/>
    <n v="0"/>
    <n v="2756.99"/>
    <x v="3"/>
  </r>
  <r>
    <x v="868"/>
    <s v="Arjun Menon"/>
    <n v="47"/>
    <x v="4"/>
    <n v="29679"/>
    <n v="150000"/>
    <n v="120"/>
    <n v="10.16"/>
    <s v="Vehicle Loan"/>
    <n v="779"/>
    <x v="162"/>
    <s v="2023-05-09"/>
    <x v="1"/>
    <n v="1995.58"/>
    <x v="2"/>
    <x v="6"/>
    <x v="4"/>
    <n v="2"/>
    <n v="2726.2"/>
    <x v="1"/>
  </r>
  <r>
    <x v="869"/>
    <s v="Geeta Nayak"/>
    <n v="50"/>
    <x v="4"/>
    <n v="149601"/>
    <n v="150000"/>
    <n v="120"/>
    <n v="10.23"/>
    <s v="Business Expansion"/>
    <n v="733"/>
    <x v="588"/>
    <s v="2021-08-05"/>
    <x v="0"/>
    <n v="2001.41"/>
    <x v="0"/>
    <x v="22"/>
    <x v="3"/>
    <n v="2"/>
    <n v="2295.94"/>
    <x v="2"/>
  </r>
  <r>
    <x v="870"/>
    <s v="Rohit Singh"/>
    <n v="49"/>
    <x v="4"/>
    <n v="118368"/>
    <n v="400000"/>
    <n v="24"/>
    <n v="14.06"/>
    <s v="Personal"/>
    <n v="385"/>
    <x v="589"/>
    <s v="2023-04-22"/>
    <x v="0"/>
    <n v="19216.490000000002"/>
    <x v="1"/>
    <x v="1"/>
    <x v="0"/>
    <n v="2"/>
    <n v="2218.66"/>
    <x v="0"/>
  </r>
  <r>
    <x v="871"/>
    <s v="Ajay Patel"/>
    <n v="65"/>
    <x v="1"/>
    <n v="166059"/>
    <n v="50000"/>
    <n v="36"/>
    <n v="14.32"/>
    <s v="Agriculture"/>
    <n v="584"/>
    <x v="590"/>
    <s v="2021-07-24"/>
    <x v="2"/>
    <n v="1716.66"/>
    <x v="0"/>
    <x v="18"/>
    <x v="0"/>
    <n v="1"/>
    <n v="2105.19"/>
    <x v="3"/>
  </r>
  <r>
    <x v="872"/>
    <s v="Lakshmi Tiwari"/>
    <n v="31"/>
    <x v="2"/>
    <n v="79225"/>
    <n v="50000"/>
    <n v="24"/>
    <n v="10.99"/>
    <s v="Agriculture"/>
    <n v="609"/>
    <x v="12"/>
    <s v="2023-03-07"/>
    <x v="0"/>
    <n v="2330.16"/>
    <x v="1"/>
    <x v="3"/>
    <x v="3"/>
    <n v="2"/>
    <n v="1765.69"/>
    <x v="3"/>
  </r>
  <r>
    <x v="873"/>
    <s v="Varsha Kulkarni"/>
    <n v="43"/>
    <x v="2"/>
    <n v="204896"/>
    <n v="750000"/>
    <n v="12"/>
    <n v="19.559999999999999"/>
    <s v="Personal"/>
    <n v="638"/>
    <x v="591"/>
    <s v="2021-04-06"/>
    <x v="0"/>
    <n v="69318.039999999994"/>
    <x v="4"/>
    <x v="16"/>
    <x v="0"/>
    <n v="1"/>
    <n v="1365.17"/>
    <x v="3"/>
  </r>
  <r>
    <x v="874"/>
    <s v="Rajesh Singh"/>
    <n v="30"/>
    <x v="0"/>
    <n v="216881"/>
    <n v="75000"/>
    <n v="60"/>
    <n v="9.57"/>
    <s v="Home Purchase"/>
    <n v="309"/>
    <x v="300"/>
    <s v="2022-12-25"/>
    <x v="0"/>
    <n v="1577.71"/>
    <x v="3"/>
    <x v="7"/>
    <x v="0"/>
    <n v="2"/>
    <n v="1163.17"/>
    <x v="0"/>
  </r>
  <r>
    <x v="875"/>
    <s v="Jyoti Shetty"/>
    <n v="40"/>
    <x v="4"/>
    <n v="204303"/>
    <n v="50000"/>
    <n v="24"/>
    <n v="12.26"/>
    <s v="Vehicle Loan"/>
    <n v="694"/>
    <x v="206"/>
    <s v="2022-10-25"/>
    <x v="0"/>
    <n v="2359.75"/>
    <x v="4"/>
    <x v="16"/>
    <x v="0"/>
    <n v="2"/>
    <n v="1153.17"/>
    <x v="2"/>
  </r>
  <r>
    <x v="876"/>
    <s v="Rani Kumar"/>
    <n v="40"/>
    <x v="1"/>
    <n v="165493"/>
    <n v="100000"/>
    <n v="12"/>
    <n v="17.86"/>
    <s v="Agriculture"/>
    <n v="561"/>
    <x v="592"/>
    <s v="2023-06-08"/>
    <x v="0"/>
    <n v="9161.34"/>
    <x v="1"/>
    <x v="3"/>
    <x v="2"/>
    <n v="6"/>
    <n v="1057.53"/>
    <x v="3"/>
  </r>
  <r>
    <x v="877"/>
    <s v="Ravi Saxena"/>
    <n v="46"/>
    <x v="4"/>
    <n v="216795"/>
    <n v="75000"/>
    <n v="120"/>
    <n v="17.48"/>
    <s v="Medical"/>
    <n v="802"/>
    <x v="593"/>
    <s v="2021-07-15"/>
    <x v="0"/>
    <n v="1326.38"/>
    <x v="3"/>
    <x v="14"/>
    <x v="0"/>
    <n v="0"/>
    <n v="988"/>
    <x v="1"/>
  </r>
  <r>
    <x v="878"/>
    <s v="Ramesh Mehta"/>
    <n v="51"/>
    <x v="2"/>
    <n v="70217"/>
    <n v="500000"/>
    <n v="36"/>
    <n v="17.260000000000002"/>
    <s v="Business Expansion"/>
    <n v="712"/>
    <x v="228"/>
    <s v="2022-12-14"/>
    <x v="0"/>
    <n v="17891.13"/>
    <x v="3"/>
    <x v="7"/>
    <x v="3"/>
    <n v="0"/>
    <n v="837.47"/>
    <x v="2"/>
  </r>
  <r>
    <x v="879"/>
    <s v="Sunita Banerjee"/>
    <n v="42"/>
    <x v="3"/>
    <n v="209982"/>
    <n v="75000"/>
    <n v="240"/>
    <n v="21.3"/>
    <s v="Debt Consolidation"/>
    <n v="394"/>
    <x v="594"/>
    <s v="2023-04-02"/>
    <x v="0"/>
    <n v="1351.06"/>
    <x v="2"/>
    <x v="6"/>
    <x v="2"/>
    <n v="2"/>
    <n v="826.81"/>
    <x v="0"/>
  </r>
  <r>
    <x v="880"/>
    <s v="Divya Singh"/>
    <n v="29"/>
    <x v="1"/>
    <n v="105907"/>
    <n v="400000"/>
    <n v="240"/>
    <n v="7.57"/>
    <s v="Business Expansion"/>
    <n v="424"/>
    <x v="595"/>
    <s v="2021-03-08"/>
    <x v="0"/>
    <n v="3239.52"/>
    <x v="0"/>
    <x v="18"/>
    <x v="2"/>
    <n v="0"/>
    <n v="567.17999999999995"/>
    <x v="0"/>
  </r>
  <r>
    <x v="881"/>
    <s v="Anil Rao"/>
    <n v="25"/>
    <x v="3"/>
    <n v="165793"/>
    <n v="200000"/>
    <n v="48"/>
    <n v="8.4499999999999993"/>
    <s v="Vehicle Loan"/>
    <n v="582"/>
    <x v="422"/>
    <s v="2023-04-24"/>
    <x v="0"/>
    <n v="4924.9399999999996"/>
    <x v="0"/>
    <x v="18"/>
    <x v="0"/>
    <n v="2"/>
    <n v="539.92999999999995"/>
    <x v="3"/>
  </r>
  <r>
    <x v="882"/>
    <s v="Tarun Singh"/>
    <n v="58"/>
    <x v="4"/>
    <n v="34378"/>
    <n v="50000"/>
    <n v="180"/>
    <n v="21.09"/>
    <s v="Debt Consolidation"/>
    <n v="589"/>
    <x v="47"/>
    <s v="2023-10-24"/>
    <x v="2"/>
    <n v="918.67"/>
    <x v="1"/>
    <x v="10"/>
    <x v="0"/>
    <n v="1"/>
    <n v="391.82"/>
    <x v="3"/>
  </r>
  <r>
    <x v="883"/>
    <s v="Sanjay Das"/>
    <n v="51"/>
    <x v="3"/>
    <n v="41164"/>
    <n v="100000"/>
    <n v="12"/>
    <n v="19.86"/>
    <s v="Medical"/>
    <n v="620"/>
    <x v="181"/>
    <s v="2021-04-07"/>
    <x v="0"/>
    <n v="9256.75"/>
    <x v="2"/>
    <x v="19"/>
    <x v="2"/>
    <n v="1"/>
    <n v="27.1"/>
    <x v="3"/>
  </r>
  <r>
    <x v="884"/>
    <s v="Naveen Patel"/>
    <n v="57"/>
    <x v="0"/>
    <n v="202700"/>
    <n v="1000000"/>
    <n v="240"/>
    <n v="13.58"/>
    <s v="Agriculture"/>
    <n v="584"/>
    <x v="596"/>
    <s v="2022-12-09"/>
    <x v="2"/>
    <n v="12131.35"/>
    <x v="3"/>
    <x v="17"/>
    <x v="2"/>
    <n v="11"/>
    <n v="0"/>
    <x v="3"/>
  </r>
  <r>
    <x v="885"/>
    <s v="Rohit Das"/>
    <n v="54"/>
    <x v="0"/>
    <n v="148085"/>
    <n v="75000"/>
    <n v="60"/>
    <n v="19.7"/>
    <s v="Personal"/>
    <n v="456"/>
    <x v="237"/>
    <s v="2023-12-26"/>
    <x v="0"/>
    <n v="1974.54"/>
    <x v="4"/>
    <x v="9"/>
    <x v="0"/>
    <n v="2"/>
    <n v="0"/>
    <x v="0"/>
  </r>
  <r>
    <x v="886"/>
    <s v="Vikram Reddy"/>
    <n v="36"/>
    <x v="1"/>
    <n v="23234"/>
    <n v="250000"/>
    <n v="24"/>
    <n v="14.96"/>
    <s v="Business Expansion"/>
    <n v="797"/>
    <x v="597"/>
    <s v="2023-09-06"/>
    <x v="0"/>
    <n v="12116.91"/>
    <x v="0"/>
    <x v="18"/>
    <x v="0"/>
    <n v="0"/>
    <n v="0"/>
    <x v="1"/>
  </r>
  <r>
    <x v="887"/>
    <s v="Suresh Verma"/>
    <n v="34"/>
    <x v="0"/>
    <n v="155584"/>
    <n v="400000"/>
    <n v="36"/>
    <n v="13.62"/>
    <s v="Business Expansion"/>
    <n v="773"/>
    <x v="598"/>
    <s v="2021-07-24"/>
    <x v="0"/>
    <n v="13597.34"/>
    <x v="0"/>
    <x v="8"/>
    <x v="0"/>
    <n v="1"/>
    <n v="0"/>
    <x v="1"/>
  </r>
  <r>
    <x v="888"/>
    <s v="Komal Sharma"/>
    <n v="27"/>
    <x v="0"/>
    <n v="58597"/>
    <n v="300000"/>
    <n v="180"/>
    <n v="14.48"/>
    <s v="Debt Consolidation"/>
    <n v="360"/>
    <x v="5"/>
    <s v="2022-07-26"/>
    <x v="0"/>
    <n v="4092.43"/>
    <x v="0"/>
    <x v="2"/>
    <x v="3"/>
    <n v="0"/>
    <n v="0"/>
    <x v="0"/>
  </r>
  <r>
    <x v="889"/>
    <s v="Smita Banerjee"/>
    <n v="49"/>
    <x v="4"/>
    <n v="188505"/>
    <n v="1500000"/>
    <n v="180"/>
    <n v="9.74"/>
    <s v="Business Expansion"/>
    <n v="522"/>
    <x v="379"/>
    <s v="2021-05-31"/>
    <x v="1"/>
    <n v="15881.33"/>
    <x v="3"/>
    <x v="7"/>
    <x v="1"/>
    <n v="11"/>
    <n v="0"/>
    <x v="0"/>
  </r>
  <r>
    <x v="890"/>
    <s v="Vinod Reddy"/>
    <n v="25"/>
    <x v="4"/>
    <n v="139987"/>
    <n v="500000"/>
    <n v="240"/>
    <n v="9.7799999999999994"/>
    <s v="Vehicle Loan"/>
    <n v="490"/>
    <x v="599"/>
    <s v="2022-05-12"/>
    <x v="0"/>
    <n v="4752.46"/>
    <x v="3"/>
    <x v="7"/>
    <x v="0"/>
    <n v="0"/>
    <n v="0"/>
    <x v="0"/>
  </r>
  <r>
    <x v="891"/>
    <s v="Meena Singh"/>
    <n v="45"/>
    <x v="4"/>
    <n v="159841"/>
    <n v="100000"/>
    <n v="120"/>
    <n v="9.35"/>
    <s v="Business Expansion"/>
    <n v="673"/>
    <x v="190"/>
    <s v="2022-06-20"/>
    <x v="0"/>
    <n v="1285.78"/>
    <x v="3"/>
    <x v="12"/>
    <x v="0"/>
    <n v="0"/>
    <n v="0"/>
    <x v="2"/>
  </r>
  <r>
    <x v="892"/>
    <s v="Anil Chaudhary"/>
    <n v="23"/>
    <x v="0"/>
    <n v="119455"/>
    <n v="250000"/>
    <n v="60"/>
    <n v="20.03"/>
    <s v="Business Expansion"/>
    <n v="659"/>
    <x v="322"/>
    <s v="2022-11-13"/>
    <x v="0"/>
    <n v="6627.64"/>
    <x v="1"/>
    <x v="10"/>
    <x v="3"/>
    <n v="2"/>
    <n v="0"/>
    <x v="2"/>
  </r>
  <r>
    <x v="893"/>
    <s v="Mohan Das"/>
    <n v="24"/>
    <x v="2"/>
    <n v="15443"/>
    <n v="500000"/>
    <n v="240"/>
    <n v="17.46"/>
    <s v="Personal"/>
    <n v="672"/>
    <x v="150"/>
    <s v="2022-11-30"/>
    <x v="0"/>
    <n v="7509.41"/>
    <x v="2"/>
    <x v="19"/>
    <x v="0"/>
    <n v="2"/>
    <n v="0"/>
    <x v="2"/>
  </r>
  <r>
    <x v="894"/>
    <s v="Vinod Rao"/>
    <n v="41"/>
    <x v="4"/>
    <n v="96077"/>
    <n v="1000000"/>
    <n v="120"/>
    <n v="12.23"/>
    <s v="Business Expansion"/>
    <n v="867"/>
    <x v="341"/>
    <s v="2023-03-12"/>
    <x v="0"/>
    <n v="14480.37"/>
    <x v="0"/>
    <x v="0"/>
    <x v="0"/>
    <n v="1"/>
    <n v="0"/>
    <x v="1"/>
  </r>
  <r>
    <x v="895"/>
    <s v="Chetna Shah"/>
    <n v="61"/>
    <x v="4"/>
    <n v="93892"/>
    <n v="300000"/>
    <n v="240"/>
    <n v="19.59"/>
    <s v="Business Expansion"/>
    <n v="593"/>
    <x v="600"/>
    <s v="2022-11-08"/>
    <x v="2"/>
    <n v="5000.1000000000004"/>
    <x v="0"/>
    <x v="2"/>
    <x v="0"/>
    <n v="2"/>
    <n v="0"/>
    <x v="3"/>
  </r>
  <r>
    <x v="896"/>
    <s v="Suresh Tiwari"/>
    <n v="36"/>
    <x v="0"/>
    <n v="225792"/>
    <n v="1500000"/>
    <n v="240"/>
    <n v="14.24"/>
    <s v="Personal"/>
    <s v="Not Available"/>
    <x v="526"/>
    <s v="2024-01-13"/>
    <x v="0"/>
    <n v="18914.84"/>
    <x v="2"/>
    <x v="13"/>
    <x v="4"/>
    <n v="1"/>
    <n v="0"/>
    <x v="4"/>
  </r>
  <r>
    <x v="897"/>
    <s v="Naveen Deshpande"/>
    <n v="50"/>
    <x v="4"/>
    <n v="228649"/>
    <n v="1500000"/>
    <n v="240"/>
    <n v="13.69"/>
    <s v="Agriculture"/>
    <n v="462"/>
    <x v="69"/>
    <s v="2022-06-20"/>
    <x v="2"/>
    <n v="18316.05"/>
    <x v="2"/>
    <x v="4"/>
    <x v="0"/>
    <n v="1"/>
    <n v="0"/>
    <x v="0"/>
  </r>
  <r>
    <x v="898"/>
    <s v="Tarun Mishra"/>
    <n v="55"/>
    <x v="2"/>
    <n v="179298"/>
    <n v="150000"/>
    <n v="60"/>
    <n v="13.88"/>
    <s v="Business Expansion"/>
    <n v="540"/>
    <x v="601"/>
    <s v="2021-06-22"/>
    <x v="0"/>
    <n v="3480.91"/>
    <x v="4"/>
    <x v="23"/>
    <x v="1"/>
    <n v="5"/>
    <n v="0"/>
    <x v="0"/>
  </r>
  <r>
    <x v="899"/>
    <s v="Pooja Tiwari"/>
    <n v="53"/>
    <x v="3"/>
    <m/>
    <n v="250000"/>
    <n v="120"/>
    <n v="18"/>
    <s v="Agriculture"/>
    <n v="430"/>
    <x v="250"/>
    <s v="2023-04-08"/>
    <x v="0"/>
    <n v="4504.63"/>
    <x v="1"/>
    <x v="15"/>
    <x v="0"/>
    <n v="0"/>
    <n v="0"/>
    <x v="0"/>
  </r>
  <r>
    <x v="900"/>
    <s v="Kiran Chatterjee"/>
    <n v="28"/>
    <x v="4"/>
    <n v="21731"/>
    <n v="200000"/>
    <n v="120"/>
    <n v="13.25"/>
    <s v="Personal"/>
    <n v="377"/>
    <x v="602"/>
    <s v="2022-10-10"/>
    <x v="2"/>
    <n v="3015.78"/>
    <x v="1"/>
    <x v="3"/>
    <x v="2"/>
    <n v="1"/>
    <n v="0"/>
    <x v="0"/>
  </r>
  <r>
    <x v="901"/>
    <s v="Varsha Rao"/>
    <n v="58"/>
    <x v="3"/>
    <n v="106017"/>
    <n v="500000"/>
    <n v="120"/>
    <n v="17.09"/>
    <s v="Vehicle Loan"/>
    <n v="818"/>
    <x v="603"/>
    <s v="2023-10-07"/>
    <x v="2"/>
    <n v="8718.42"/>
    <x v="4"/>
    <x v="21"/>
    <x v="0"/>
    <n v="1"/>
    <n v="0"/>
    <x v="1"/>
  </r>
  <r>
    <x v="902"/>
    <s v="Anita Shetty"/>
    <n v="62"/>
    <x v="2"/>
    <n v="200416"/>
    <n v="100000"/>
    <n v="120"/>
    <n v="10.050000000000001"/>
    <s v="Business Expansion"/>
    <n v="851"/>
    <x v="604"/>
    <s v="2022-07-17"/>
    <x v="0"/>
    <n v="1324.28"/>
    <x v="2"/>
    <x v="4"/>
    <x v="2"/>
    <n v="6"/>
    <n v="0"/>
    <x v="1"/>
  </r>
  <r>
    <x v="903"/>
    <s v="Ganesh Saxena"/>
    <n v="37"/>
    <x v="2"/>
    <n v="159510"/>
    <n v="100000"/>
    <n v="120"/>
    <n v="10.26"/>
    <s v="Education"/>
    <n v="371"/>
    <x v="326"/>
    <s v="2023-11-17"/>
    <x v="2"/>
    <n v="1335.95"/>
    <x v="4"/>
    <x v="16"/>
    <x v="3"/>
    <n v="1"/>
    <n v="0"/>
    <x v="0"/>
  </r>
  <r>
    <x v="904"/>
    <s v="Rajesh Banerjee"/>
    <n v="41"/>
    <x v="4"/>
    <n v="167023"/>
    <n v="1000000"/>
    <n v="180"/>
    <n v="20.05"/>
    <s v="Agriculture"/>
    <n v="851"/>
    <x v="557"/>
    <s v="2023-03-01"/>
    <x v="0"/>
    <n v="17599.919999999998"/>
    <x v="2"/>
    <x v="6"/>
    <x v="0"/>
    <n v="1"/>
    <n v="0"/>
    <x v="1"/>
  </r>
  <r>
    <x v="905"/>
    <s v="Tarun Das"/>
    <n v="51"/>
    <x v="1"/>
    <n v="189808"/>
    <n v="50000"/>
    <n v="180"/>
    <n v="20.57"/>
    <s v="Education"/>
    <n v="375"/>
    <x v="547"/>
    <s v="2023-06-13"/>
    <x v="1"/>
    <n v="899.28"/>
    <x v="2"/>
    <x v="6"/>
    <x v="0"/>
    <n v="2"/>
    <n v="0"/>
    <x v="0"/>
  </r>
  <r>
    <x v="906"/>
    <s v="Rajesh Reddy"/>
    <n v="60"/>
    <x v="2"/>
    <n v="233323"/>
    <n v="200000"/>
    <n v="48"/>
    <n v="16.3"/>
    <s v="Medical"/>
    <n v="524"/>
    <x v="605"/>
    <s v="2021-10-31"/>
    <x v="0"/>
    <n v="5698.83"/>
    <x v="0"/>
    <x v="18"/>
    <x v="0"/>
    <n v="1"/>
    <n v="0"/>
    <x v="0"/>
  </r>
  <r>
    <x v="907"/>
    <s v="Varsha Chaudhary"/>
    <n v="52"/>
    <x v="3"/>
    <n v="177410"/>
    <n v="500000"/>
    <n v="84"/>
    <n v="20.77"/>
    <s v="Personal"/>
    <n v="364"/>
    <x v="57"/>
    <s v="2021-09-03"/>
    <x v="0"/>
    <n v="11336.08"/>
    <x v="2"/>
    <x v="6"/>
    <x v="0"/>
    <n v="2"/>
    <n v="0"/>
    <x v="0"/>
  </r>
  <r>
    <x v="908"/>
    <s v="Amit Singh"/>
    <n v="41"/>
    <x v="2"/>
    <n v="45440"/>
    <n v="75000"/>
    <n v="48"/>
    <n v="20.37"/>
    <s v="Education"/>
    <n v="697"/>
    <x v="386"/>
    <s v="2023-05-30"/>
    <x v="1"/>
    <n v="2297.09"/>
    <x v="2"/>
    <x v="6"/>
    <x v="0"/>
    <n v="2"/>
    <n v="0"/>
    <x v="2"/>
  </r>
  <r>
    <x v="909"/>
    <s v="Chetna Mehta"/>
    <n v="48"/>
    <x v="3"/>
    <n v="233547"/>
    <n v="400000"/>
    <n v="120"/>
    <n v="21.12"/>
    <s v="Business Expansion"/>
    <n v="333"/>
    <x v="606"/>
    <s v="2022-05-29"/>
    <x v="0"/>
    <n v="8029.55"/>
    <x v="4"/>
    <x v="9"/>
    <x v="1"/>
    <n v="7"/>
    <n v="0"/>
    <x v="0"/>
  </r>
  <r>
    <x v="910"/>
    <s v="Geeta Iyer"/>
    <n v="65"/>
    <x v="1"/>
    <n v="157728"/>
    <n v="1000000"/>
    <n v="84"/>
    <n v="8.3800000000000008"/>
    <s v="Business Expansion"/>
    <n v="494"/>
    <x v="607"/>
    <s v="2022-04-03"/>
    <x v="0"/>
    <n v="15776.21"/>
    <x v="3"/>
    <x v="14"/>
    <x v="2"/>
    <n v="1"/>
    <n v="0"/>
    <x v="0"/>
  </r>
  <r>
    <x v="911"/>
    <s v="Divya Das"/>
    <n v="25"/>
    <x v="0"/>
    <n v="209436"/>
    <n v="300000"/>
    <n v="240"/>
    <n v="9.15"/>
    <s v="Vehicle Loan"/>
    <n v="787"/>
    <x v="259"/>
    <s v="2021-08-29"/>
    <x v="0"/>
    <n v="2728.19"/>
    <x v="2"/>
    <x v="6"/>
    <x v="1"/>
    <n v="8"/>
    <n v="0"/>
    <x v="1"/>
  </r>
  <r>
    <x v="912"/>
    <s v="Sunil Chaudhary"/>
    <n v="61"/>
    <x v="3"/>
    <n v="205642"/>
    <n v="2000000"/>
    <n v="240"/>
    <n v="11.87"/>
    <s v="Home Purchase"/>
    <n v="362"/>
    <x v="54"/>
    <s v="2021-08-28"/>
    <x v="0"/>
    <n v="21840.73"/>
    <x v="2"/>
    <x v="4"/>
    <x v="0"/>
    <n v="1"/>
    <n v="0"/>
    <x v="0"/>
  </r>
  <r>
    <x v="913"/>
    <s v="Sunil Tiwari"/>
    <n v="28"/>
    <x v="3"/>
    <n v="238554"/>
    <n v="1000000"/>
    <n v="240"/>
    <n v="17.95"/>
    <s v="Personal"/>
    <n v="740"/>
    <x v="397"/>
    <s v="2023-08-02"/>
    <x v="0"/>
    <n v="15394.65"/>
    <x v="2"/>
    <x v="13"/>
    <x v="0"/>
    <n v="1"/>
    <n v="0"/>
    <x v="2"/>
  </r>
  <r>
    <x v="914"/>
    <s v="Anil Tiwari"/>
    <n v="57"/>
    <x v="4"/>
    <n v="175844"/>
    <n v="1000000"/>
    <n v="240"/>
    <n v="7.88"/>
    <s v="Business Expansion"/>
    <n v="329"/>
    <x v="608"/>
    <s v="2022-10-08"/>
    <x v="1"/>
    <n v="8289.8700000000008"/>
    <x v="0"/>
    <x v="22"/>
    <x v="0"/>
    <n v="2"/>
    <n v="0"/>
    <x v="0"/>
  </r>
  <r>
    <x v="915"/>
    <s v="Meena Kumar"/>
    <n v="33"/>
    <x v="2"/>
    <n v="136622"/>
    <n v="2000000"/>
    <n v="180"/>
    <n v="17.38"/>
    <s v="Medical"/>
    <s v="Not Available"/>
    <x v="564"/>
    <s v="2023-07-18"/>
    <x v="2"/>
    <n v="31320.31"/>
    <x v="0"/>
    <x v="2"/>
    <x v="3"/>
    <n v="0"/>
    <n v="0"/>
    <x v="4"/>
  </r>
  <r>
    <x v="916"/>
    <s v="Mohan Shetty"/>
    <n v="65"/>
    <x v="4"/>
    <n v="130499"/>
    <n v="400000"/>
    <n v="60"/>
    <n v="18.78"/>
    <s v="Debt Consolidation"/>
    <n v="465"/>
    <x v="609"/>
    <s v="2022-06-01"/>
    <x v="0"/>
    <n v="10327.86"/>
    <x v="0"/>
    <x v="18"/>
    <x v="0"/>
    <n v="0"/>
    <n v="0"/>
    <x v="0"/>
  </r>
  <r>
    <x v="917"/>
    <s v="Komal Saxena"/>
    <n v="45"/>
    <x v="4"/>
    <n v="41893"/>
    <n v="1500000"/>
    <n v="240"/>
    <n v="19.84"/>
    <s v="Business Expansion"/>
    <n v="385"/>
    <x v="3"/>
    <s v="2023-11-25"/>
    <x v="3"/>
    <n v="25294.12"/>
    <x v="0"/>
    <x v="22"/>
    <x v="1"/>
    <n v="7"/>
    <n v="0"/>
    <x v="0"/>
  </r>
  <r>
    <x v="918"/>
    <s v="Bhavna Yadav"/>
    <n v="26"/>
    <x v="6"/>
    <n v="234332"/>
    <n v="400000"/>
    <n v="240"/>
    <n v="7.74"/>
    <s v="Personal"/>
    <n v="447"/>
    <x v="61"/>
    <s v="2023-01-03"/>
    <x v="0"/>
    <n v="3281.33"/>
    <x v="4"/>
    <x v="16"/>
    <x v="0"/>
    <n v="0"/>
    <n v="0"/>
    <x v="0"/>
  </r>
  <r>
    <x v="919"/>
    <s v="Ramesh Nayak"/>
    <n v="43"/>
    <x v="0"/>
    <n v="145076"/>
    <n v="1500000"/>
    <n v="180"/>
    <n v="12.83"/>
    <s v="Business Expansion"/>
    <n v="384"/>
    <x v="442"/>
    <s v="2022-01-25"/>
    <x v="0"/>
    <n v="18811.150000000001"/>
    <x v="2"/>
    <x v="19"/>
    <x v="2"/>
    <n v="6"/>
    <n v="0"/>
    <x v="0"/>
  </r>
  <r>
    <x v="920"/>
    <s v="Anita Mishra"/>
    <n v="62"/>
    <x v="3"/>
    <m/>
    <n v="1000000"/>
    <n v="120"/>
    <n v="12.77"/>
    <s v="Education"/>
    <n v="331"/>
    <x v="251"/>
    <s v="2023-06-21"/>
    <x v="0"/>
    <n v="14795.72"/>
    <x v="0"/>
    <x v="18"/>
    <x v="0"/>
    <n v="2"/>
    <n v="0"/>
    <x v="0"/>
  </r>
  <r>
    <x v="921"/>
    <s v="Jyoti Patel"/>
    <n v="45"/>
    <x v="4"/>
    <n v="165019"/>
    <n v="250000"/>
    <n v="180"/>
    <n v="19.149999999999999"/>
    <s v="Education"/>
    <n v="388"/>
    <x v="498"/>
    <s v="2023-12-29"/>
    <x v="1"/>
    <n v="4234.57"/>
    <x v="3"/>
    <x v="12"/>
    <x v="3"/>
    <n v="1"/>
    <n v="0"/>
    <x v="0"/>
  </r>
  <r>
    <x v="922"/>
    <s v="Meena Iyer"/>
    <n v="25"/>
    <x v="1"/>
    <n v="115702"/>
    <n v="750000"/>
    <n v="120"/>
    <n v="11.1"/>
    <s v="Education"/>
    <n v="635"/>
    <x v="610"/>
    <s v="2021-12-11"/>
    <x v="0"/>
    <n v="10373.75"/>
    <x v="1"/>
    <x v="11"/>
    <x v="0"/>
    <n v="0"/>
    <n v="0"/>
    <x v="3"/>
  </r>
  <r>
    <x v="923"/>
    <s v="Sunil Joshi"/>
    <n v="42"/>
    <x v="4"/>
    <n v="98500"/>
    <n v="100000"/>
    <n v="120"/>
    <n v="21.86"/>
    <s v="Business Expansion"/>
    <n v="644"/>
    <x v="611"/>
    <s v="2022-09-24"/>
    <x v="2"/>
    <n v="2057.4499999999998"/>
    <x v="1"/>
    <x v="15"/>
    <x v="3"/>
    <n v="2"/>
    <n v="0"/>
    <x v="3"/>
  </r>
  <r>
    <x v="924"/>
    <s v="Manoj Mehta"/>
    <n v="48"/>
    <x v="0"/>
    <n v="122577"/>
    <n v="500000"/>
    <n v="180"/>
    <n v="20.16"/>
    <s v="Home Purchase"/>
    <n v="441"/>
    <x v="109"/>
    <s v="2023-09-26"/>
    <x v="0"/>
    <n v="8840.64"/>
    <x v="1"/>
    <x v="3"/>
    <x v="1"/>
    <n v="8"/>
    <n v="0"/>
    <x v="0"/>
  </r>
  <r>
    <x v="925"/>
    <s v="Harish Deshpande"/>
    <n v="33"/>
    <x v="2"/>
    <n v="154756"/>
    <n v="250000"/>
    <n v="240"/>
    <n v="12.64"/>
    <s v="Business Expansion"/>
    <n v="795"/>
    <x v="58"/>
    <s v="2022-09-14"/>
    <x v="2"/>
    <n v="2865.06"/>
    <x v="0"/>
    <x v="0"/>
    <x v="0"/>
    <n v="1"/>
    <n v="0"/>
    <x v="1"/>
  </r>
  <r>
    <x v="926"/>
    <s v="Nisha Banerjee"/>
    <n v="35"/>
    <x v="2"/>
    <n v="98110"/>
    <n v="400000"/>
    <n v="84"/>
    <n v="15.63"/>
    <s v="Business Expansion"/>
    <n v="594"/>
    <x v="476"/>
    <s v="2023-03-04"/>
    <x v="0"/>
    <n v="7860.76"/>
    <x v="3"/>
    <x v="7"/>
    <x v="0"/>
    <n v="2"/>
    <n v="0"/>
    <x v="3"/>
  </r>
  <r>
    <x v="927"/>
    <s v="Nisha Iyer"/>
    <n v="43"/>
    <x v="1"/>
    <n v="134104"/>
    <n v="1000000"/>
    <n v="240"/>
    <n v="15.1"/>
    <s v="Education"/>
    <n v="816"/>
    <x v="612"/>
    <s v="2021-09-01"/>
    <x v="2"/>
    <n v="13241.84"/>
    <x v="2"/>
    <x v="6"/>
    <x v="0"/>
    <n v="0"/>
    <n v="0"/>
    <x v="1"/>
  </r>
  <r>
    <x v="928"/>
    <s v="Ajay Mehta"/>
    <n v="32"/>
    <x v="1"/>
    <n v="238998"/>
    <n v="500000"/>
    <n v="180"/>
    <n v="9.19"/>
    <s v="Personal"/>
    <n v="897"/>
    <x v="613"/>
    <s v="2021-05-11"/>
    <x v="2"/>
    <n v="5128"/>
    <x v="2"/>
    <x v="19"/>
    <x v="4"/>
    <n v="2"/>
    <n v="0"/>
    <x v="1"/>
  </r>
  <r>
    <x v="929"/>
    <s v="Varsha Tiwari"/>
    <n v="56"/>
    <x v="2"/>
    <n v="230838"/>
    <n v="150000"/>
    <n v="48"/>
    <n v="14.18"/>
    <s v="Education"/>
    <n v="582"/>
    <x v="386"/>
    <s v="2023-05-31"/>
    <x v="0"/>
    <n v="4112.53"/>
    <x v="0"/>
    <x v="8"/>
    <x v="4"/>
    <n v="0"/>
    <n v="0"/>
    <x v="3"/>
  </r>
  <r>
    <x v="930"/>
    <s v="Sunita Joshi"/>
    <n v="54"/>
    <x v="1"/>
    <n v="76384"/>
    <n v="1500000"/>
    <n v="84"/>
    <n v="15.87"/>
    <s v="Medical"/>
    <n v="542"/>
    <x v="614"/>
    <s v="2022-04-14"/>
    <x v="0"/>
    <n v="29682.14"/>
    <x v="4"/>
    <x v="9"/>
    <x v="0"/>
    <n v="2"/>
    <n v="0"/>
    <x v="0"/>
  </r>
  <r>
    <x v="931"/>
    <s v="Anil Mehta"/>
    <n v="23"/>
    <x v="1"/>
    <n v="160047"/>
    <n v="750000"/>
    <n v="120"/>
    <n v="11.78"/>
    <s v="Personal"/>
    <n v="637"/>
    <x v="615"/>
    <s v="2022-06-06"/>
    <x v="0"/>
    <n v="10665.15"/>
    <x v="0"/>
    <x v="2"/>
    <x v="1"/>
    <n v="9"/>
    <n v="0"/>
    <x v="3"/>
  </r>
  <r>
    <x v="932"/>
    <s v="Kiran Nair"/>
    <n v="53"/>
    <x v="2"/>
    <n v="184058"/>
    <n v="2000000"/>
    <n v="84"/>
    <n v="15.7"/>
    <s v="Vehicle Loan"/>
    <n v="840"/>
    <x v="556"/>
    <s v="2023-09-12"/>
    <x v="0"/>
    <n v="39383.160000000003"/>
    <x v="3"/>
    <x v="17"/>
    <x v="0"/>
    <n v="0"/>
    <n v="0"/>
    <x v="1"/>
  </r>
  <r>
    <x v="933"/>
    <s v="Divya Nayak"/>
    <n v="27"/>
    <x v="4"/>
    <n v="92431"/>
    <n v="2000000"/>
    <n v="48"/>
    <n v="17.84"/>
    <s v="Vehicle Loan"/>
    <n v="574"/>
    <x v="63"/>
    <s v="2021-12-08"/>
    <x v="0"/>
    <n v="58582.92"/>
    <x v="0"/>
    <x v="2"/>
    <x v="3"/>
    <n v="2"/>
    <n v="0"/>
    <x v="3"/>
  </r>
  <r>
    <x v="934"/>
    <s v="Nisha Sharma"/>
    <n v="47"/>
    <x v="1"/>
    <n v="235623"/>
    <n v="750000"/>
    <n v="120"/>
    <n v="19.16"/>
    <s v="Medical"/>
    <n v="750"/>
    <x v="616"/>
    <s v="2021-10-18"/>
    <x v="0"/>
    <n v="14078.95"/>
    <x v="4"/>
    <x v="16"/>
    <x v="2"/>
    <n v="10"/>
    <n v="0"/>
    <x v="1"/>
  </r>
  <r>
    <x v="935"/>
    <s v="Abhishek Malhotra"/>
    <n v="56"/>
    <x v="3"/>
    <n v="222282"/>
    <n v="250000"/>
    <n v="240"/>
    <n v="16.11"/>
    <s v="Vehicle Loan"/>
    <n v="411"/>
    <x v="2"/>
    <s v="2021-04-22"/>
    <x v="0"/>
    <n v="3498.79"/>
    <x v="0"/>
    <x v="22"/>
    <x v="0"/>
    <n v="0"/>
    <n v="0"/>
    <x v="0"/>
  </r>
  <r>
    <x v="936"/>
    <s v="Komal Kaur"/>
    <n v="43"/>
    <x v="2"/>
    <n v="42772"/>
    <n v="50000"/>
    <n v="24"/>
    <n v="11.25"/>
    <s v="Personal"/>
    <n v="756"/>
    <x v="617"/>
    <s v="2023-10-29"/>
    <x v="0"/>
    <n v="2336.1999999999998"/>
    <x v="4"/>
    <x v="16"/>
    <x v="0"/>
    <n v="1"/>
    <n v="0"/>
    <x v="1"/>
  </r>
  <r>
    <x v="937"/>
    <s v="Ashok Saxena"/>
    <n v="28"/>
    <x v="2"/>
    <n v="204266"/>
    <n v="1500000"/>
    <n v="180"/>
    <n v="12.12"/>
    <s v="Business Expansion"/>
    <n v="345"/>
    <x v="259"/>
    <s v="2021-09-05"/>
    <x v="0"/>
    <n v="18118.490000000002"/>
    <x v="3"/>
    <x v="5"/>
    <x v="0"/>
    <n v="1"/>
    <n v="0"/>
    <x v="0"/>
  </r>
  <r>
    <x v="938"/>
    <s v="Kiran Verma"/>
    <n v="55"/>
    <x v="0"/>
    <m/>
    <n v="100000"/>
    <n v="84"/>
    <n v="15.62"/>
    <s v="Agriculture"/>
    <n v="537"/>
    <x v="618"/>
    <s v="2023-06-20"/>
    <x v="2"/>
    <n v="1964.62"/>
    <x v="2"/>
    <x v="13"/>
    <x v="0"/>
    <n v="0"/>
    <n v="0"/>
    <x v="0"/>
  </r>
  <r>
    <x v="939"/>
    <s v="Chetna Verma"/>
    <n v="41"/>
    <x v="3"/>
    <n v="132894"/>
    <n v="200000"/>
    <n v="84"/>
    <n v="20"/>
    <s v="Vehicle Loan"/>
    <n v="749"/>
    <x v="258"/>
    <s v="2023-01-19"/>
    <x v="0"/>
    <n v="4441.24"/>
    <x v="3"/>
    <x v="17"/>
    <x v="1"/>
    <n v="3"/>
    <n v="0"/>
    <x v="2"/>
  </r>
  <r>
    <x v="940"/>
    <s v="Pallavi Tiwari"/>
    <n v="32"/>
    <x v="4"/>
    <n v="51499"/>
    <n v="2000000"/>
    <n v="48"/>
    <n v="19.3"/>
    <s v="Home Purchase"/>
    <n v="883"/>
    <x v="562"/>
    <s v="2021-12-24"/>
    <x v="0"/>
    <n v="60117.31"/>
    <x v="4"/>
    <x v="24"/>
    <x v="3"/>
    <n v="1"/>
    <n v="0"/>
    <x v="1"/>
  </r>
  <r>
    <x v="941"/>
    <s v="Ashok Menon"/>
    <n v="62"/>
    <x v="0"/>
    <n v="122927"/>
    <n v="750000"/>
    <n v="180"/>
    <n v="19.97"/>
    <s v="Vehicle Loan"/>
    <n v="402"/>
    <x v="407"/>
    <s v="2023-01-06"/>
    <x v="1"/>
    <n v="13155.6"/>
    <x v="0"/>
    <x v="8"/>
    <x v="2"/>
    <n v="9"/>
    <n v="0"/>
    <x v="0"/>
  </r>
  <r>
    <x v="942"/>
    <s v="Amit Reddy"/>
    <n v="47"/>
    <x v="4"/>
    <n v="90101"/>
    <n v="1000000"/>
    <n v="240"/>
    <n v="18.62"/>
    <s v="Debt Consolidation"/>
    <n v="711"/>
    <x v="289"/>
    <s v="2021-11-20"/>
    <x v="2"/>
    <n v="15911.88"/>
    <x v="3"/>
    <x v="7"/>
    <x v="1"/>
    <n v="8"/>
    <n v="0"/>
    <x v="2"/>
  </r>
  <r>
    <x v="943"/>
    <s v="Chetna Sharma"/>
    <n v="24"/>
    <x v="3"/>
    <n v="79107"/>
    <n v="50000"/>
    <n v="180"/>
    <n v="12.78"/>
    <s v="Education"/>
    <n v="483"/>
    <x v="386"/>
    <s v="2023-05-19"/>
    <x v="0"/>
    <n v="625.4"/>
    <x v="3"/>
    <x v="7"/>
    <x v="1"/>
    <n v="12"/>
    <n v="0"/>
    <x v="0"/>
  </r>
  <r>
    <x v="944"/>
    <s v="Chetna Chatterjee"/>
    <n v="28"/>
    <x v="0"/>
    <n v="153887"/>
    <n v="150000"/>
    <n v="120"/>
    <n v="14.63"/>
    <s v="Home Purchase"/>
    <n v="445"/>
    <x v="334"/>
    <s v="2022-05-20"/>
    <x v="0"/>
    <n v="2386.15"/>
    <x v="4"/>
    <x v="21"/>
    <x v="0"/>
    <n v="0"/>
    <n v="0"/>
    <x v="0"/>
  </r>
  <r>
    <x v="945"/>
    <s v="Sanjay Das"/>
    <n v="42"/>
    <x v="2"/>
    <n v="198691"/>
    <n v="1500000"/>
    <n v="84"/>
    <n v="12.11"/>
    <s v="Business Expansion"/>
    <n v="539"/>
    <x v="259"/>
    <s v="2021-08-19"/>
    <x v="0"/>
    <n v="26567.42"/>
    <x v="3"/>
    <x v="17"/>
    <x v="5"/>
    <n v="0"/>
    <n v="0"/>
    <x v="0"/>
  </r>
  <r>
    <x v="946"/>
    <s v="Pooja Nayak"/>
    <n v="30"/>
    <x v="2"/>
    <n v="67286"/>
    <n v="1000000"/>
    <n v="240"/>
    <n v="11.11"/>
    <s v="Home Purchase"/>
    <n v="691"/>
    <x v="119"/>
    <s v="2023-10-04"/>
    <x v="0"/>
    <n v="10396.85"/>
    <x v="4"/>
    <x v="16"/>
    <x v="0"/>
    <n v="2"/>
    <n v="0"/>
    <x v="2"/>
  </r>
  <r>
    <x v="947"/>
    <s v="Vinod Joshi"/>
    <n v="32"/>
    <x v="2"/>
    <n v="222576"/>
    <n v="1000000"/>
    <n v="180"/>
    <n v="16.91"/>
    <s v="Education"/>
    <n v="875"/>
    <x v="244"/>
    <s v="2022-01-10"/>
    <x v="0"/>
    <n v="15326.3"/>
    <x v="1"/>
    <x v="11"/>
    <x v="4"/>
    <n v="0"/>
    <n v="0"/>
    <x v="1"/>
  </r>
  <r>
    <x v="948"/>
    <s v="Sunita Shetty"/>
    <n v="22"/>
    <x v="2"/>
    <n v="37971"/>
    <n v="200000"/>
    <n v="180"/>
    <n v="10.4"/>
    <s v="Home Purchase"/>
    <n v="511"/>
    <x v="143"/>
    <s v="2021-09-06"/>
    <x v="0"/>
    <n v="2198.42"/>
    <x v="0"/>
    <x v="22"/>
    <x v="2"/>
    <n v="1"/>
    <n v="0"/>
    <x v="0"/>
  </r>
  <r>
    <x v="949"/>
    <s v="Harish Malhotra"/>
    <n v="56"/>
    <x v="2"/>
    <n v="165133"/>
    <n v="150000"/>
    <n v="180"/>
    <n v="11.83"/>
    <s v="Debt Consolidation"/>
    <n v="335"/>
    <x v="619"/>
    <s v="2021-11-04"/>
    <x v="1"/>
    <n v="1783.88"/>
    <x v="1"/>
    <x v="15"/>
    <x v="3"/>
    <n v="2"/>
    <n v="0"/>
    <x v="0"/>
  </r>
  <r>
    <x v="950"/>
    <s v="Vikram Nair"/>
    <n v="46"/>
    <x v="4"/>
    <n v="119164"/>
    <n v="500000"/>
    <n v="84"/>
    <n v="19.920000000000002"/>
    <s v="Agriculture"/>
    <n v="312"/>
    <x v="612"/>
    <s v="2021-09-04"/>
    <x v="0"/>
    <n v="11079.03"/>
    <x v="1"/>
    <x v="15"/>
    <x v="0"/>
    <n v="2"/>
    <n v="0"/>
    <x v="0"/>
  </r>
  <r>
    <x v="951"/>
    <s v="Pallavi Mishra"/>
    <n v="49"/>
    <x v="2"/>
    <n v="238238"/>
    <n v="250000"/>
    <n v="180"/>
    <n v="11.15"/>
    <s v="Agriculture"/>
    <n v="609"/>
    <x v="588"/>
    <s v="2021-08-01"/>
    <x v="0"/>
    <n v="2865.08"/>
    <x v="1"/>
    <x v="15"/>
    <x v="0"/>
    <n v="1"/>
    <n v="0"/>
    <x v="3"/>
  </r>
  <r>
    <x v="952"/>
    <s v="Nisha Malhotra"/>
    <n v="25"/>
    <x v="0"/>
    <n v="51009"/>
    <n v="150000"/>
    <n v="84"/>
    <n v="13.43"/>
    <s v="Agriculture"/>
    <n v="446"/>
    <x v="620"/>
    <s v="2022-12-06"/>
    <x v="1"/>
    <n v="2763.98"/>
    <x v="4"/>
    <x v="9"/>
    <x v="3"/>
    <n v="0"/>
    <n v="0"/>
    <x v="0"/>
  </r>
  <r>
    <x v="953"/>
    <s v="Mohan Pillai"/>
    <n v="38"/>
    <x v="4"/>
    <n v="67867"/>
    <n v="250000"/>
    <n v="120"/>
    <n v="11.78"/>
    <s v="Home Purchase"/>
    <n v="861"/>
    <x v="20"/>
    <s v="2023-09-25"/>
    <x v="0"/>
    <n v="3555.05"/>
    <x v="2"/>
    <x v="13"/>
    <x v="0"/>
    <n v="2"/>
    <n v="0"/>
    <x v="1"/>
  </r>
  <r>
    <x v="954"/>
    <s v="Shweta Sharma"/>
    <n v="22"/>
    <x v="3"/>
    <n v="43948"/>
    <n v="750000"/>
    <n v="180"/>
    <n v="9.66"/>
    <s v="Vehicle Loan"/>
    <n v="823"/>
    <x v="621"/>
    <s v="2022-05-06"/>
    <x v="1"/>
    <n v="7904.26"/>
    <x v="3"/>
    <x v="5"/>
    <x v="2"/>
    <n v="4"/>
    <n v="0"/>
    <x v="1"/>
  </r>
  <r>
    <x v="955"/>
    <s v="Shweta Kulkarni"/>
    <n v="39"/>
    <x v="3"/>
    <n v="147888"/>
    <n v="150000"/>
    <n v="240"/>
    <n v="16.829999999999998"/>
    <s v="Debt Consolidation"/>
    <n v="540"/>
    <x v="622"/>
    <s v="2023-07-12"/>
    <x v="2"/>
    <n v="2180.83"/>
    <x v="3"/>
    <x v="14"/>
    <x v="0"/>
    <n v="1"/>
    <n v="0"/>
    <x v="0"/>
  </r>
  <r>
    <x v="956"/>
    <s v="Manoj Verma"/>
    <n v="39"/>
    <x v="2"/>
    <n v="104878"/>
    <n v="200000"/>
    <n v="180"/>
    <n v="19.170000000000002"/>
    <s v="Education"/>
    <n v="722"/>
    <x v="129"/>
    <s v="2022-10-30"/>
    <x v="2"/>
    <n v="3390.58"/>
    <x v="1"/>
    <x v="15"/>
    <x v="0"/>
    <n v="1"/>
    <n v="0"/>
    <x v="2"/>
  </r>
  <r>
    <x v="957"/>
    <s v="Sunita Reddy"/>
    <n v="34"/>
    <x v="1"/>
    <n v="211656"/>
    <n v="2000000"/>
    <n v="36"/>
    <n v="21.76"/>
    <s v="Business Expansion"/>
    <n v="449"/>
    <x v="623"/>
    <s v="2021-03-22"/>
    <x v="2"/>
    <n v="76132.81"/>
    <x v="3"/>
    <x v="12"/>
    <x v="3"/>
    <n v="0"/>
    <n v="0"/>
    <x v="0"/>
  </r>
  <r>
    <x v="958"/>
    <s v="Ramesh Iyer"/>
    <n v="61"/>
    <x v="4"/>
    <n v="241713"/>
    <n v="150000"/>
    <n v="240"/>
    <n v="13.14"/>
    <s v="Business Expansion"/>
    <n v="348"/>
    <x v="624"/>
    <s v="2022-10-23"/>
    <x v="3"/>
    <n v="1772.35"/>
    <x v="2"/>
    <x v="4"/>
    <x v="3"/>
    <n v="1"/>
    <n v="0"/>
    <x v="0"/>
  </r>
  <r>
    <x v="959"/>
    <s v="Dinesh Chaudhary"/>
    <n v="30"/>
    <x v="2"/>
    <n v="223868"/>
    <n v="2000000"/>
    <n v="240"/>
    <n v="11.78"/>
    <s v="Education"/>
    <n v="605"/>
    <x v="625"/>
    <s v="2021-10-23"/>
    <x v="0"/>
    <n v="21715.74"/>
    <x v="4"/>
    <x v="21"/>
    <x v="0"/>
    <n v="2"/>
    <n v="0"/>
    <x v="3"/>
  </r>
  <r>
    <x v="960"/>
    <s v="Amit Sharma"/>
    <n v="58"/>
    <x v="4"/>
    <n v="118306"/>
    <n v="500000"/>
    <n v="240"/>
    <n v="21.23"/>
    <s v="Business Expansion"/>
    <n v="515"/>
    <x v="626"/>
    <s v="2023-11-23"/>
    <x v="0"/>
    <n v="8979.2900000000009"/>
    <x v="4"/>
    <x v="9"/>
    <x v="0"/>
    <n v="1"/>
    <n v="0"/>
    <x v="0"/>
  </r>
  <r>
    <x v="961"/>
    <s v="Anil Tiwari"/>
    <n v="39"/>
    <x v="1"/>
    <n v="50207"/>
    <n v="1000000"/>
    <n v="84"/>
    <n v="20.23"/>
    <s v="Agriculture"/>
    <n v="756"/>
    <x v="627"/>
    <s v="2021-08-19"/>
    <x v="0"/>
    <n v="22344.9"/>
    <x v="4"/>
    <x v="23"/>
    <x v="2"/>
    <n v="7"/>
    <n v="0"/>
    <x v="1"/>
  </r>
  <r>
    <x v="962"/>
    <s v="Rani Menon"/>
    <n v="24"/>
    <x v="4"/>
    <n v="83319"/>
    <n v="500000"/>
    <n v="240"/>
    <n v="14.35"/>
    <s v="Education"/>
    <n v="674"/>
    <x v="71"/>
    <s v="2022-08-26"/>
    <x v="0"/>
    <n v="6345.1"/>
    <x v="2"/>
    <x v="13"/>
    <x v="0"/>
    <n v="2"/>
    <n v="0"/>
    <x v="2"/>
  </r>
  <r>
    <x v="963"/>
    <s v="Komal Nayak"/>
    <n v="45"/>
    <x v="4"/>
    <n v="186268"/>
    <n v="75000"/>
    <n v="240"/>
    <n v="11.15"/>
    <s v="Personal"/>
    <n v="828"/>
    <x v="628"/>
    <s v="2023-10-07"/>
    <x v="0"/>
    <n v="781.81"/>
    <x v="2"/>
    <x v="6"/>
    <x v="0"/>
    <n v="1"/>
    <n v="0"/>
    <x v="1"/>
  </r>
  <r>
    <x v="964"/>
    <s v="Rajesh Joshi"/>
    <n v="50"/>
    <x v="0"/>
    <n v="75290"/>
    <n v="75000"/>
    <n v="240"/>
    <n v="16.829999999999998"/>
    <s v="Personal"/>
    <n v="453"/>
    <x v="629"/>
    <s v="2021-09-24"/>
    <x v="0"/>
    <n v="1090.42"/>
    <x v="0"/>
    <x v="0"/>
    <x v="0"/>
    <n v="1"/>
    <n v="0"/>
    <x v="0"/>
  </r>
  <r>
    <x v="965"/>
    <s v="Dinesh Rao"/>
    <n v="27"/>
    <x v="2"/>
    <n v="187855"/>
    <n v="100000"/>
    <n v="240"/>
    <n v="19.5"/>
    <s v="Debt Consolidation"/>
    <n v="834"/>
    <x v="630"/>
    <s v="2024-01-07"/>
    <x v="0"/>
    <n v="1659.66"/>
    <x v="2"/>
    <x v="6"/>
    <x v="2"/>
    <n v="0"/>
    <n v="0"/>
    <x v="1"/>
  </r>
  <r>
    <x v="966"/>
    <s v="Rani Das"/>
    <n v="38"/>
    <x v="4"/>
    <n v="126034"/>
    <n v="750000"/>
    <n v="84"/>
    <n v="16.37"/>
    <s v="Debt Consolidation"/>
    <n v="508"/>
    <x v="475"/>
    <s v="2022-01-16"/>
    <x v="0"/>
    <n v="15055.03"/>
    <x v="2"/>
    <x v="20"/>
    <x v="0"/>
    <n v="2"/>
    <n v="0"/>
    <x v="0"/>
  </r>
  <r>
    <x v="967"/>
    <s v="Kavitha Das"/>
    <n v="56"/>
    <x v="4"/>
    <n v="80573"/>
    <n v="1500000"/>
    <n v="180"/>
    <n v="21.51"/>
    <s v="Agriculture"/>
    <n v="549"/>
    <x v="631"/>
    <s v="2021-03-16"/>
    <x v="0"/>
    <n v="28032.54"/>
    <x v="4"/>
    <x v="16"/>
    <x v="1"/>
    <n v="10"/>
    <n v="0"/>
    <x v="0"/>
  </r>
  <r>
    <x v="968"/>
    <s v="Ravi Verma"/>
    <n v="40"/>
    <x v="3"/>
    <n v="119577"/>
    <n v="1000000"/>
    <n v="84"/>
    <n v="8.6"/>
    <s v="Education"/>
    <n v="787"/>
    <x v="528"/>
    <s v="2022-07-14"/>
    <x v="0"/>
    <n v="15886.82"/>
    <x v="4"/>
    <x v="23"/>
    <x v="0"/>
    <n v="0"/>
    <n v="0"/>
    <x v="1"/>
  </r>
  <r>
    <x v="969"/>
    <s v="Suresh Rao"/>
    <n v="27"/>
    <x v="2"/>
    <n v="175911"/>
    <n v="50000"/>
    <n v="240"/>
    <n v="21.39"/>
    <s v="Agriculture"/>
    <n v="680"/>
    <x v="536"/>
    <s v="2022-08-04"/>
    <x v="0"/>
    <n v="904.27"/>
    <x v="1"/>
    <x v="11"/>
    <x v="4"/>
    <n v="1"/>
    <n v="0"/>
    <x v="2"/>
  </r>
  <r>
    <x v="970"/>
    <s v="Meena Mehta"/>
    <n v="52"/>
    <x v="3"/>
    <n v="61296"/>
    <n v="300000"/>
    <n v="180"/>
    <n v="9.4499999999999993"/>
    <s v="Medical"/>
    <n v="798"/>
    <x v="262"/>
    <s v="2021-04-23"/>
    <x v="0"/>
    <n v="3123.63"/>
    <x v="4"/>
    <x v="23"/>
    <x v="3"/>
    <n v="2"/>
    <n v="0"/>
    <x v="1"/>
  </r>
  <r>
    <x v="971"/>
    <s v="Suresh Gupta"/>
    <n v="25"/>
    <x v="1"/>
    <n v="228337"/>
    <n v="200000"/>
    <n v="180"/>
    <n v="19.670000000000002"/>
    <s v="Vehicle Loan"/>
    <n v="760"/>
    <x v="532"/>
    <s v="2022-06-26"/>
    <x v="0"/>
    <n v="3463.93"/>
    <x v="4"/>
    <x v="23"/>
    <x v="2"/>
    <n v="5"/>
    <n v="0"/>
    <x v="1"/>
  </r>
  <r>
    <x v="972"/>
    <s v="Chetna Dubey"/>
    <n v="27"/>
    <x v="2"/>
    <n v="175868"/>
    <n v="200000"/>
    <n v="180"/>
    <n v="16.66"/>
    <s v="Education"/>
    <n v="471"/>
    <x v="422"/>
    <s v="2023-05-09"/>
    <x v="0"/>
    <n v="3029.94"/>
    <x v="4"/>
    <x v="16"/>
    <x v="0"/>
    <n v="2"/>
    <n v="0"/>
    <x v="0"/>
  </r>
  <r>
    <x v="973"/>
    <s v="Vikram Nair"/>
    <n v="32"/>
    <x v="1"/>
    <n v="74825"/>
    <n v="250000"/>
    <n v="84"/>
    <n v="16.97"/>
    <s v="Business Expansion"/>
    <n v="704"/>
    <x v="632"/>
    <s v="2023-12-20"/>
    <x v="1"/>
    <n v="5104.62"/>
    <x v="4"/>
    <x v="16"/>
    <x v="3"/>
    <n v="1"/>
    <n v="0"/>
    <x v="2"/>
  </r>
  <r>
    <x v="974"/>
    <s v="Abhishek Shah"/>
    <n v="59"/>
    <x v="4"/>
    <n v="134680"/>
    <n v="1000000"/>
    <n v="120"/>
    <n v="15.09"/>
    <s v="Business Expansion"/>
    <n v="655"/>
    <x v="275"/>
    <s v="2021-07-20"/>
    <x v="0"/>
    <n v="16188.66"/>
    <x v="2"/>
    <x v="20"/>
    <x v="0"/>
    <n v="0"/>
    <n v="0"/>
    <x v="2"/>
  </r>
  <r>
    <x v="975"/>
    <s v="Mohan Das"/>
    <n v="46"/>
    <x v="3"/>
    <n v="46971"/>
    <n v="2000000"/>
    <n v="48"/>
    <n v="13.08"/>
    <s v="Agriculture"/>
    <n v="553"/>
    <x v="633"/>
    <s v="2021-07-31"/>
    <x v="0"/>
    <n v="53734.44"/>
    <x v="3"/>
    <x v="17"/>
    <x v="0"/>
    <n v="1"/>
    <n v="0"/>
    <x v="3"/>
  </r>
  <r>
    <x v="976"/>
    <s v="Geeta Reddy"/>
    <n v="64"/>
    <x v="0"/>
    <n v="44603"/>
    <n v="150000"/>
    <n v="120"/>
    <n v="12.21"/>
    <s v="Education"/>
    <n v="582"/>
    <x v="571"/>
    <s v="2022-05-16"/>
    <x v="0"/>
    <n v="2170.31"/>
    <x v="1"/>
    <x v="1"/>
    <x v="4"/>
    <n v="1"/>
    <n v="0"/>
    <x v="3"/>
  </r>
  <r>
    <x v="977"/>
    <s v="Rohit Shah"/>
    <n v="23"/>
    <x v="4"/>
    <n v="239612"/>
    <n v="250000"/>
    <n v="48"/>
    <n v="12.15"/>
    <s v="Vehicle Loan"/>
    <n v="851"/>
    <x v="634"/>
    <s v="2023-11-12"/>
    <x v="0"/>
    <n v="6601.89"/>
    <x v="2"/>
    <x v="13"/>
    <x v="3"/>
    <n v="2"/>
    <n v="0"/>
    <x v="1"/>
  </r>
  <r>
    <x v="978"/>
    <s v="Chetna Malhotra"/>
    <n v="28"/>
    <x v="4"/>
    <n v="108837"/>
    <n v="1000000"/>
    <n v="180"/>
    <n v="17.690000000000001"/>
    <s v="Debt Consolidation"/>
    <s v="Not Available"/>
    <x v="635"/>
    <s v="2023-11-13"/>
    <x v="0"/>
    <n v="15881.67"/>
    <x v="0"/>
    <x v="0"/>
    <x v="3"/>
    <n v="2"/>
    <n v="0"/>
    <x v="4"/>
  </r>
  <r>
    <x v="979"/>
    <s v="Dinesh Menon"/>
    <n v="46"/>
    <x v="4"/>
    <n v="210186"/>
    <n v="200000"/>
    <n v="84"/>
    <n v="21.44"/>
    <s v="Agriculture"/>
    <n v="706"/>
    <x v="636"/>
    <s v="2021-02-22"/>
    <x v="0"/>
    <n v="4616.26"/>
    <x v="3"/>
    <x v="5"/>
    <x v="0"/>
    <n v="1"/>
    <n v="0"/>
    <x v="2"/>
  </r>
  <r>
    <x v="980"/>
    <s v="Arjun Chatterjee"/>
    <n v="22"/>
    <x v="1"/>
    <n v="73166"/>
    <n v="150000"/>
    <n v="84"/>
    <n v="7.81"/>
    <s v="Business Expansion"/>
    <n v="866"/>
    <x v="637"/>
    <s v="2021-11-19"/>
    <x v="0"/>
    <n v="2323.7600000000002"/>
    <x v="1"/>
    <x v="15"/>
    <x v="1"/>
    <n v="9"/>
    <n v="0"/>
    <x v="1"/>
  </r>
  <r>
    <x v="981"/>
    <s v="Amit Yadav"/>
    <n v="44"/>
    <x v="0"/>
    <n v="51282"/>
    <n v="200000"/>
    <n v="84"/>
    <n v="20.399999999999999"/>
    <s v="Personal"/>
    <n v="538"/>
    <x v="25"/>
    <s v="2023-04-20"/>
    <x v="0"/>
    <n v="4489.54"/>
    <x v="4"/>
    <x v="23"/>
    <x v="2"/>
    <n v="1"/>
    <n v="0"/>
    <x v="0"/>
  </r>
  <r>
    <x v="982"/>
    <s v="Rekha Kumar"/>
    <n v="42"/>
    <x v="2"/>
    <n v="60325"/>
    <n v="400000"/>
    <n v="24"/>
    <n v="16.13"/>
    <s v="Business Expansion"/>
    <n v="338"/>
    <x v="48"/>
    <s v="2021-05-22"/>
    <x v="0"/>
    <n v="19610.099999999999"/>
    <x v="1"/>
    <x v="10"/>
    <x v="3"/>
    <n v="0"/>
    <n v="0"/>
    <x v="0"/>
  </r>
  <r>
    <x v="983"/>
    <s v="Sanjay Kaur"/>
    <n v="31"/>
    <x v="0"/>
    <n v="103124"/>
    <n v="75000"/>
    <n v="180"/>
    <n v="15.79"/>
    <s v="Home Purchase"/>
    <n v="861"/>
    <x v="638"/>
    <s v="2023-11-10"/>
    <x v="0"/>
    <n v="1090.56"/>
    <x v="2"/>
    <x v="6"/>
    <x v="0"/>
    <n v="0"/>
    <n v="0"/>
    <x v="1"/>
  </r>
  <r>
    <x v="984"/>
    <s v="Anita Deshpande"/>
    <n v="65"/>
    <x v="4"/>
    <n v="38486"/>
    <n v="75000"/>
    <n v="120"/>
    <n v="13.64"/>
    <s v="Medical"/>
    <n v="495"/>
    <x v="461"/>
    <s v="2021-03-18"/>
    <x v="0"/>
    <n v="1148.32"/>
    <x v="4"/>
    <x v="23"/>
    <x v="3"/>
    <n v="2"/>
    <n v="0"/>
    <x v="0"/>
  </r>
  <r>
    <x v="985"/>
    <s v="Nisha Gupta"/>
    <n v="44"/>
    <x v="4"/>
    <n v="230373"/>
    <n v="2000000"/>
    <n v="180"/>
    <n v="16.54"/>
    <s v="Agriculture"/>
    <n v="345"/>
    <x v="140"/>
    <s v="2021-12-13"/>
    <x v="0"/>
    <n v="30130.44"/>
    <x v="0"/>
    <x v="0"/>
    <x v="2"/>
    <n v="10"/>
    <n v="0"/>
    <x v="0"/>
  </r>
  <r>
    <x v="986"/>
    <s v="Lakshmi Menon"/>
    <n v="56"/>
    <x v="0"/>
    <n v="68425"/>
    <n v="500000"/>
    <n v="240"/>
    <n v="18.38"/>
    <s v="Agriculture"/>
    <n v="444"/>
    <x v="639"/>
    <s v="2023-12-19"/>
    <x v="0"/>
    <n v="7863.09"/>
    <x v="3"/>
    <x v="14"/>
    <x v="3"/>
    <n v="2"/>
    <n v="0"/>
    <x v="0"/>
  </r>
  <r>
    <x v="987"/>
    <s v="Sunil Yadav"/>
    <n v="57"/>
    <x v="3"/>
    <n v="25420"/>
    <n v="150000"/>
    <n v="240"/>
    <n v="11.92"/>
    <s v="Agriculture"/>
    <n v="702"/>
    <x v="640"/>
    <s v="2023-01-05"/>
    <x v="0"/>
    <n v="1643.27"/>
    <x v="0"/>
    <x v="8"/>
    <x v="2"/>
    <n v="5"/>
    <n v="0"/>
    <x v="2"/>
  </r>
  <r>
    <x v="988"/>
    <s v="Anil Pillai"/>
    <n v="35"/>
    <x v="3"/>
    <n v="61419"/>
    <n v="400000"/>
    <n v="180"/>
    <n v="17.47"/>
    <s v="Agriculture"/>
    <n v="552"/>
    <x v="641"/>
    <s v="2023-03-17"/>
    <x v="0"/>
    <n v="6289.74"/>
    <x v="2"/>
    <x v="4"/>
    <x v="3"/>
    <n v="0"/>
    <n v="0"/>
    <x v="3"/>
  </r>
  <r>
    <x v="989"/>
    <s v="Vinod Kaur"/>
    <n v="61"/>
    <x v="4"/>
    <n v="170662"/>
    <n v="500000"/>
    <n v="240"/>
    <n v="16.8"/>
    <s v="Home Purchase"/>
    <n v="833"/>
    <x v="642"/>
    <s v="2021-04-07"/>
    <x v="0"/>
    <n v="7258.05"/>
    <x v="3"/>
    <x v="14"/>
    <x v="0"/>
    <n v="1"/>
    <n v="0"/>
    <x v="1"/>
  </r>
  <r>
    <x v="990"/>
    <s v="Ramesh Patel"/>
    <n v="33"/>
    <x v="2"/>
    <n v="169747"/>
    <n v="1500000"/>
    <n v="48"/>
    <n v="20.3"/>
    <s v="Vehicle Loan"/>
    <n v="556"/>
    <x v="643"/>
    <s v="2021-09-16"/>
    <x v="2"/>
    <n v="45885.64"/>
    <x v="4"/>
    <x v="9"/>
    <x v="2"/>
    <n v="11"/>
    <n v="0"/>
    <x v="3"/>
  </r>
  <r>
    <x v="991"/>
    <s v="Kavitha Dubey"/>
    <n v="62"/>
    <x v="1"/>
    <n v="37362"/>
    <n v="500000"/>
    <n v="120"/>
    <n v="18.04"/>
    <s v="Education"/>
    <n v="687"/>
    <x v="291"/>
    <s v="2021-12-29"/>
    <x v="0"/>
    <n v="9022.14"/>
    <x v="1"/>
    <x v="10"/>
    <x v="2"/>
    <n v="0"/>
    <n v="0"/>
    <x v="2"/>
  </r>
  <r>
    <x v="992"/>
    <s v="Bhavna Das"/>
    <n v="22"/>
    <x v="2"/>
    <n v="145450"/>
    <n v="400000"/>
    <n v="240"/>
    <n v="19.21"/>
    <s v="Agriculture"/>
    <n v="543"/>
    <x v="197"/>
    <s v="2023-08-04"/>
    <x v="0"/>
    <n v="6548.13"/>
    <x v="0"/>
    <x v="18"/>
    <x v="3"/>
    <n v="2"/>
    <n v="0"/>
    <x v="0"/>
  </r>
  <r>
    <x v="993"/>
    <s v="Ramesh Nair"/>
    <n v="60"/>
    <x v="2"/>
    <n v="16723"/>
    <n v="150000"/>
    <n v="240"/>
    <n v="11.53"/>
    <s v="Personal"/>
    <n v="350"/>
    <x v="644"/>
    <s v="2022-12-20"/>
    <x v="0"/>
    <n v="1602.75"/>
    <x v="0"/>
    <x v="0"/>
    <x v="0"/>
    <n v="0"/>
    <n v="0"/>
    <x v="0"/>
  </r>
  <r>
    <x v="994"/>
    <s v="Ganesh Joshi"/>
    <n v="29"/>
    <x v="1"/>
    <n v="101300"/>
    <n v="500000"/>
    <n v="120"/>
    <n v="15.11"/>
    <s v="Personal"/>
    <n v="359"/>
    <x v="584"/>
    <s v="2023-12-25"/>
    <x v="0"/>
    <n v="8100.46"/>
    <x v="3"/>
    <x v="7"/>
    <x v="2"/>
    <n v="11"/>
    <n v="0"/>
    <x v="0"/>
  </r>
  <r>
    <x v="995"/>
    <s v="Sarala Menon"/>
    <n v="22"/>
    <x v="0"/>
    <n v="195883"/>
    <n v="200000"/>
    <n v="60"/>
    <n v="18.96"/>
    <s v="Business Expansion"/>
    <n v="607"/>
    <x v="449"/>
    <s v="2021-01-19"/>
    <x v="0"/>
    <n v="5183.71"/>
    <x v="1"/>
    <x v="15"/>
    <x v="3"/>
    <n v="1"/>
    <n v="0"/>
    <x v="3"/>
  </r>
  <r>
    <x v="996"/>
    <s v="Kavitha Shetty"/>
    <n v="24"/>
    <x v="0"/>
    <n v="39275"/>
    <n v="400000"/>
    <n v="240"/>
    <n v="7.86"/>
    <s v="Agriculture"/>
    <n v="812"/>
    <x v="645"/>
    <s v="2023-10-14"/>
    <x v="0"/>
    <n v="3310.99"/>
    <x v="0"/>
    <x v="0"/>
    <x v="0"/>
    <n v="1"/>
    <n v="0"/>
    <x v="1"/>
  </r>
  <r>
    <x v="997"/>
    <s v="Madhuri Chatterjee"/>
    <n v="42"/>
    <x v="0"/>
    <n v="216714"/>
    <n v="75000"/>
    <n v="240"/>
    <n v="17.309999999999999"/>
    <s v="Education"/>
    <n v="510"/>
    <x v="646"/>
    <s v="2023-12-12"/>
    <x v="1"/>
    <n v="1117.82"/>
    <x v="3"/>
    <x v="14"/>
    <x v="1"/>
    <n v="6"/>
    <n v="0"/>
    <x v="0"/>
  </r>
  <r>
    <x v="998"/>
    <s v="Rajesh Chatterjee"/>
    <n v="24"/>
    <x v="4"/>
    <n v="243556"/>
    <n v="75000"/>
    <n v="84"/>
    <n v="14.27"/>
    <s v="Home Purchase"/>
    <n v="405"/>
    <x v="647"/>
    <s v="2022-10-25"/>
    <x v="0"/>
    <n v="1416.71"/>
    <x v="1"/>
    <x v="11"/>
    <x v="3"/>
    <n v="0"/>
    <n v="0"/>
    <x v="0"/>
  </r>
  <r>
    <x v="999"/>
    <s v="Ganesh Rao"/>
    <n v="44"/>
    <x v="2"/>
    <n v="135911"/>
    <n v="100000"/>
    <n v="60"/>
    <n v="18.64"/>
    <s v="Education"/>
    <n v="820"/>
    <x v="316"/>
    <s v="2021-08-21"/>
    <x v="0"/>
    <n v="2574.29"/>
    <x v="3"/>
    <x v="14"/>
    <x v="3"/>
    <n v="2"/>
    <n v="0"/>
    <x v="1"/>
  </r>
  <r>
    <x v="1000"/>
    <s v="Abhishek Tiwari"/>
    <n v="49"/>
    <x v="4"/>
    <n v="221392"/>
    <n v="250000"/>
    <n v="240"/>
    <n v="17.559999999999999"/>
    <s v="Education"/>
    <n v="379"/>
    <x v="303"/>
    <s v="2023-08-20"/>
    <x v="2"/>
    <n v="3773.84"/>
    <x v="1"/>
    <x v="10"/>
    <x v="0"/>
    <n v="0"/>
    <n v="0"/>
    <x v="0"/>
  </r>
  <r>
    <x v="1001"/>
    <s v="Anita Dubey"/>
    <n v="46"/>
    <x v="1"/>
    <n v="74176"/>
    <n v="100000"/>
    <n v="120"/>
    <n v="16.27"/>
    <s v="Agriculture"/>
    <n v="542"/>
    <x v="102"/>
    <s v="2023-01-26"/>
    <x v="0"/>
    <n v="1692"/>
    <x v="1"/>
    <x v="11"/>
    <x v="4"/>
    <n v="1"/>
    <n v="0"/>
    <x v="0"/>
  </r>
  <r>
    <x v="1002"/>
    <s v="Amit Kulkarni"/>
    <n v="27"/>
    <x v="0"/>
    <n v="171118"/>
    <n v="100000"/>
    <n v="180"/>
    <n v="18.420000000000002"/>
    <s v="Debt Consolidation"/>
    <n v="692"/>
    <x v="74"/>
    <s v="2021-12-18"/>
    <x v="0"/>
    <n v="1640.73"/>
    <x v="0"/>
    <x v="2"/>
    <x v="0"/>
    <n v="2"/>
    <n v="0"/>
    <x v="2"/>
  </r>
  <r>
    <x v="1003"/>
    <s v="Komal Shah"/>
    <n v="29"/>
    <x v="0"/>
    <n v="81410"/>
    <n v="200000"/>
    <n v="180"/>
    <n v="17.079999999999998"/>
    <s v="Vehicle Loan"/>
    <n v="764"/>
    <x v="0"/>
    <s v="2022-11-05"/>
    <x v="0"/>
    <n v="3089.36"/>
    <x v="4"/>
    <x v="16"/>
    <x v="0"/>
    <n v="2"/>
    <n v="0"/>
    <x v="1"/>
  </r>
  <r>
    <x v="1004"/>
    <s v="Kiran Kumar"/>
    <n v="39"/>
    <x v="3"/>
    <n v="115348"/>
    <n v="300000"/>
    <n v="84"/>
    <n v="21.94"/>
    <s v="Business Expansion"/>
    <n v="571"/>
    <x v="332"/>
    <s v="2022-03-09"/>
    <x v="2"/>
    <n v="7016.67"/>
    <x v="0"/>
    <x v="2"/>
    <x v="3"/>
    <n v="0"/>
    <n v="0"/>
    <x v="3"/>
  </r>
  <r>
    <x v="1005"/>
    <s v="Lakshmi Singh"/>
    <n v="47"/>
    <x v="3"/>
    <n v="70490"/>
    <n v="2000000"/>
    <n v="240"/>
    <n v="14.15"/>
    <s v="Education"/>
    <n v="893"/>
    <x v="625"/>
    <s v="2021-11-04"/>
    <x v="0"/>
    <n v="25088.6"/>
    <x v="0"/>
    <x v="8"/>
    <x v="0"/>
    <n v="0"/>
    <n v="0"/>
    <x v="1"/>
  </r>
  <r>
    <x v="1006"/>
    <s v="Geeta Banerjee"/>
    <n v="35"/>
    <x v="2"/>
    <n v="80898"/>
    <n v="250000"/>
    <n v="180"/>
    <n v="8.1300000000000008"/>
    <s v="Home Purchase"/>
    <n v="850"/>
    <x v="648"/>
    <s v="2023-11-27"/>
    <x v="0"/>
    <n v="2407.9299999999998"/>
    <x v="0"/>
    <x v="0"/>
    <x v="0"/>
    <n v="0"/>
    <n v="0"/>
    <x v="1"/>
  </r>
  <r>
    <x v="1007"/>
    <s v="Rani Menon"/>
    <n v="36"/>
    <x v="1"/>
    <n v="107461"/>
    <n v="200000"/>
    <n v="240"/>
    <n v="17.36"/>
    <s v="Business Expansion"/>
    <n v="355"/>
    <x v="209"/>
    <s v="2023-10-12"/>
    <x v="2"/>
    <n v="2988.48"/>
    <x v="3"/>
    <x v="12"/>
    <x v="0"/>
    <n v="1"/>
    <n v="0"/>
    <x v="0"/>
  </r>
  <r>
    <x v="1008"/>
    <s v="Sanjay Kumar"/>
    <n v="28"/>
    <x v="0"/>
    <n v="87336"/>
    <n v="75000"/>
    <n v="36"/>
    <n v="14.7"/>
    <s v="Personal"/>
    <n v="833"/>
    <x v="1"/>
    <s v="2021-10-16"/>
    <x v="0"/>
    <n v="2588.89"/>
    <x v="3"/>
    <x v="12"/>
    <x v="0"/>
    <n v="1"/>
    <n v="0"/>
    <x v="1"/>
  </r>
  <r>
    <x v="1009"/>
    <s v="Arjun Dubey"/>
    <n v="38"/>
    <x v="1"/>
    <n v="63364"/>
    <n v="150000"/>
    <n v="240"/>
    <n v="17.75"/>
    <s v="Medical"/>
    <n v="652"/>
    <x v="53"/>
    <s v="2021-12-19"/>
    <x v="1"/>
    <n v="2286.15"/>
    <x v="0"/>
    <x v="22"/>
    <x v="2"/>
    <n v="7"/>
    <n v="0"/>
    <x v="2"/>
  </r>
  <r>
    <x v="1010"/>
    <s v="Geeta Sharma"/>
    <n v="40"/>
    <x v="1"/>
    <n v="107105"/>
    <n v="200000"/>
    <n v="180"/>
    <n v="20.18"/>
    <s v="Vehicle Loan"/>
    <n v="520"/>
    <x v="385"/>
    <s v="2022-08-23"/>
    <x v="0"/>
    <n v="3539.22"/>
    <x v="2"/>
    <x v="4"/>
    <x v="1"/>
    <n v="12"/>
    <n v="0"/>
    <x v="0"/>
  </r>
  <r>
    <x v="1011"/>
    <s v="Rajesh Malhotra"/>
    <n v="62"/>
    <x v="1"/>
    <n v="123662"/>
    <n v="100000"/>
    <n v="240"/>
    <n v="14.2"/>
    <s v="Education"/>
    <n v="504"/>
    <x v="47"/>
    <s v="2023-10-06"/>
    <x v="0"/>
    <n v="1258.07"/>
    <x v="0"/>
    <x v="2"/>
    <x v="3"/>
    <n v="1"/>
    <n v="0"/>
    <x v="0"/>
  </r>
  <r>
    <x v="1012"/>
    <s v="Abhishek Joshi"/>
    <n v="44"/>
    <x v="0"/>
    <n v="28864"/>
    <n v="200000"/>
    <n v="84"/>
    <n v="13.58"/>
    <s v="Medical"/>
    <n v="349"/>
    <x v="649"/>
    <s v="2021-06-26"/>
    <x v="0"/>
    <n v="3701.75"/>
    <x v="4"/>
    <x v="23"/>
    <x v="0"/>
    <n v="2"/>
    <n v="0"/>
    <x v="0"/>
  </r>
  <r>
    <x v="1013"/>
    <s v="Mohan Shah"/>
    <n v="28"/>
    <x v="4"/>
    <n v="212297"/>
    <n v="100000"/>
    <n v="240"/>
    <n v="12.18"/>
    <s v="Medical"/>
    <n v="608"/>
    <x v="640"/>
    <s v="2023-01-20"/>
    <x v="0"/>
    <n v="1113.6600000000001"/>
    <x v="4"/>
    <x v="23"/>
    <x v="0"/>
    <n v="0"/>
    <n v="0"/>
    <x v="3"/>
  </r>
  <r>
    <x v="1014"/>
    <s v="Chetna Mishra"/>
    <n v="59"/>
    <x v="1"/>
    <n v="107327"/>
    <n v="100000"/>
    <n v="240"/>
    <n v="18.82"/>
    <s v="Personal"/>
    <n v="817"/>
    <x v="133"/>
    <s v="2021-02-17"/>
    <x v="3"/>
    <n v="1606.7"/>
    <x v="1"/>
    <x v="1"/>
    <x v="0"/>
    <n v="0"/>
    <n v="0"/>
    <x v="1"/>
  </r>
  <r>
    <x v="1015"/>
    <s v="Meena Yadav"/>
    <n v="28"/>
    <x v="3"/>
    <n v="80716"/>
    <n v="400000"/>
    <n v="180"/>
    <n v="10.85"/>
    <s v="Education"/>
    <n v="330"/>
    <x v="650"/>
    <s v="2021-03-04"/>
    <x v="0"/>
    <n v="4508.78"/>
    <x v="3"/>
    <x v="5"/>
    <x v="0"/>
    <n v="0"/>
    <n v="0"/>
    <x v="0"/>
  </r>
  <r>
    <x v="1016"/>
    <s v="Sarala Saxena"/>
    <n v="52"/>
    <x v="4"/>
    <n v="238963"/>
    <n v="100000"/>
    <n v="240"/>
    <n v="8.31"/>
    <s v="Business Expansion"/>
    <n v="806"/>
    <x v="61"/>
    <s v="2023-01-20"/>
    <x v="2"/>
    <n v="855.84"/>
    <x v="1"/>
    <x v="10"/>
    <x v="2"/>
    <n v="9"/>
    <n v="0"/>
    <x v="1"/>
  </r>
  <r>
    <x v="1017"/>
    <s v="Dinesh Deshpande"/>
    <n v="24"/>
    <x v="2"/>
    <n v="187429"/>
    <n v="300000"/>
    <n v="240"/>
    <n v="20.57"/>
    <s v="Business Expansion"/>
    <n v="320"/>
    <x v="651"/>
    <s v="2023-03-06"/>
    <x v="2"/>
    <n v="5231.0200000000004"/>
    <x v="2"/>
    <x v="20"/>
    <x v="0"/>
    <n v="0"/>
    <n v="0"/>
    <x v="0"/>
  </r>
  <r>
    <x v="1018"/>
    <s v="Nisha Tiwari"/>
    <n v="64"/>
    <x v="4"/>
    <n v="97143"/>
    <n v="150000"/>
    <n v="120"/>
    <n v="13.33"/>
    <s v="Agriculture"/>
    <n v="860"/>
    <x v="652"/>
    <s v="2023-12-24"/>
    <x v="2"/>
    <n v="2268.9499999999998"/>
    <x v="0"/>
    <x v="8"/>
    <x v="2"/>
    <n v="10"/>
    <n v="0"/>
    <x v="1"/>
  </r>
  <r>
    <x v="1019"/>
    <s v="Divya Kapoor"/>
    <n v="35"/>
    <x v="2"/>
    <n v="85237"/>
    <n v="1000000"/>
    <n v="240"/>
    <n v="19.23"/>
    <s v="Debt Consolidation"/>
    <n v="879"/>
    <x v="524"/>
    <s v="2023-08-13"/>
    <x v="0"/>
    <n v="16385.919999999998"/>
    <x v="3"/>
    <x v="7"/>
    <x v="3"/>
    <n v="0"/>
    <n v="0"/>
    <x v="1"/>
  </r>
  <r>
    <x v="1020"/>
    <s v="Shweta Mehta"/>
    <n v="65"/>
    <x v="1"/>
    <n v="236281"/>
    <n v="300000"/>
    <n v="120"/>
    <n v="12.12"/>
    <s v="Vehicle Loan"/>
    <n v="508"/>
    <x v="111"/>
    <s v="2021-12-06"/>
    <x v="0"/>
    <n v="4324.97"/>
    <x v="2"/>
    <x v="6"/>
    <x v="0"/>
    <n v="1"/>
    <n v="0"/>
    <x v="0"/>
  </r>
  <r>
    <x v="1021"/>
    <s v="Kiran Mishra"/>
    <n v="30"/>
    <x v="3"/>
    <n v="82737"/>
    <n v="2000000"/>
    <n v="60"/>
    <n v="17.05"/>
    <s v="Education"/>
    <n v="343"/>
    <x v="653"/>
    <s v="2021-07-04"/>
    <x v="1"/>
    <n v="49758.94"/>
    <x v="2"/>
    <x v="19"/>
    <x v="0"/>
    <n v="0"/>
    <n v="0"/>
    <x v="0"/>
  </r>
  <r>
    <x v="1022"/>
    <s v="Siddharth Das"/>
    <n v="53"/>
    <x v="3"/>
    <n v="77410"/>
    <n v="750000"/>
    <n v="24"/>
    <n v="18.71"/>
    <s v="Medical"/>
    <n v="637"/>
    <x v="606"/>
    <s v="2022-05-15"/>
    <x v="0"/>
    <n v="37700.870000000003"/>
    <x v="1"/>
    <x v="10"/>
    <x v="2"/>
    <n v="12"/>
    <n v="0"/>
    <x v="3"/>
  </r>
  <r>
    <x v="1023"/>
    <s v="Shweta Chatterjee"/>
    <n v="35"/>
    <x v="0"/>
    <n v="130040"/>
    <n v="1000000"/>
    <n v="84"/>
    <n v="20.25"/>
    <s v="Debt Consolidation"/>
    <n v="334"/>
    <x v="192"/>
    <s v="2023-05-25"/>
    <x v="3"/>
    <n v="22356.98"/>
    <x v="4"/>
    <x v="21"/>
    <x v="0"/>
    <n v="1"/>
    <n v="0"/>
    <x v="0"/>
  </r>
  <r>
    <x v="1024"/>
    <s v="Rani Yadav"/>
    <n v="27"/>
    <x v="3"/>
    <n v="137914"/>
    <n v="100000"/>
    <n v="84"/>
    <n v="21.63"/>
    <s v="Debt Consolidation"/>
    <n v="517"/>
    <x v="654"/>
    <s v="2022-06-14"/>
    <x v="0"/>
    <n v="2319.8000000000002"/>
    <x v="2"/>
    <x v="4"/>
    <x v="1"/>
    <n v="11"/>
    <n v="0"/>
    <x v="0"/>
  </r>
  <r>
    <x v="1025"/>
    <s v="Suresh Reddy"/>
    <n v="25"/>
    <x v="1"/>
    <n v="76562"/>
    <n v="400000"/>
    <n v="84"/>
    <n v="21.95"/>
    <s v="Home Purchase"/>
    <n v="305"/>
    <x v="399"/>
    <s v="2022-09-27"/>
    <x v="0"/>
    <n v="9358.0300000000007"/>
    <x v="4"/>
    <x v="24"/>
    <x v="2"/>
    <n v="9"/>
    <n v="0"/>
    <x v="0"/>
  </r>
  <r>
    <x v="1026"/>
    <s v="Meena Das"/>
    <n v="29"/>
    <x v="1"/>
    <n v="26576"/>
    <n v="100000"/>
    <n v="180"/>
    <n v="20.14"/>
    <s v="Business Expansion"/>
    <n v="669"/>
    <x v="655"/>
    <s v="2022-07-14"/>
    <x v="0"/>
    <n v="1766.65"/>
    <x v="2"/>
    <x v="6"/>
    <x v="0"/>
    <n v="1"/>
    <n v="0"/>
    <x v="2"/>
  </r>
  <r>
    <x v="1027"/>
    <s v="Ashok Nair"/>
    <n v="35"/>
    <x v="1"/>
    <n v="62357"/>
    <n v="100000"/>
    <n v="240"/>
    <n v="19.43"/>
    <s v="Personal"/>
    <n v="897"/>
    <x v="442"/>
    <s v="2022-01-21"/>
    <x v="1"/>
    <n v="1654.2"/>
    <x v="3"/>
    <x v="7"/>
    <x v="1"/>
    <n v="12"/>
    <n v="0"/>
    <x v="1"/>
  </r>
  <r>
    <x v="1028"/>
    <s v="Priya Menon"/>
    <n v="32"/>
    <x v="2"/>
    <n v="219339"/>
    <n v="300000"/>
    <n v="60"/>
    <n v="16.88"/>
    <s v="Education"/>
    <n v="423"/>
    <x v="307"/>
    <s v="2022-10-22"/>
    <x v="2"/>
    <n v="7436.43"/>
    <x v="4"/>
    <x v="16"/>
    <x v="4"/>
    <n v="1"/>
    <n v="0"/>
    <x v="0"/>
  </r>
  <r>
    <x v="1029"/>
    <s v="Naveen Joshi"/>
    <n v="44"/>
    <x v="3"/>
    <n v="233117"/>
    <n v="250000"/>
    <n v="240"/>
    <n v="10.4"/>
    <s v="Agriculture"/>
    <n v="697"/>
    <x v="656"/>
    <s v="2023-05-22"/>
    <x v="2"/>
    <n v="2479.1799999999998"/>
    <x v="2"/>
    <x v="6"/>
    <x v="0"/>
    <n v="2"/>
    <n v="0"/>
    <x v="2"/>
  </r>
  <r>
    <x v="1030"/>
    <s v="Vikram Singh"/>
    <n v="54"/>
    <x v="3"/>
    <n v="148864"/>
    <n v="300000"/>
    <n v="120"/>
    <n v="8.8699999999999992"/>
    <s v="Business Expansion"/>
    <n v="663"/>
    <x v="6"/>
    <s v="2023-11-01"/>
    <x v="0"/>
    <n v="3779.2"/>
    <x v="4"/>
    <x v="24"/>
    <x v="0"/>
    <n v="0"/>
    <n v="0"/>
    <x v="2"/>
  </r>
  <r>
    <x v="1031"/>
    <s v="Abhishek Tiwari"/>
    <n v="23"/>
    <x v="0"/>
    <n v="90500"/>
    <n v="1500000"/>
    <n v="48"/>
    <n v="14.3"/>
    <s v="Agriculture"/>
    <n v="537"/>
    <x v="229"/>
    <s v="2022-12-18"/>
    <x v="1"/>
    <n v="41215.81"/>
    <x v="1"/>
    <x v="3"/>
    <x v="0"/>
    <n v="2"/>
    <n v="0"/>
    <x v="0"/>
  </r>
  <r>
    <x v="1032"/>
    <s v="Ganesh Joshi"/>
    <n v="33"/>
    <x v="0"/>
    <n v="55976"/>
    <n v="750000"/>
    <n v="180"/>
    <n v="8.9600000000000009"/>
    <s v="Debt Consolidation"/>
    <n v="805"/>
    <x v="583"/>
    <s v="2021-04-10"/>
    <x v="1"/>
    <n v="7589.16"/>
    <x v="4"/>
    <x v="9"/>
    <x v="0"/>
    <n v="0"/>
    <n v="0"/>
    <x v="1"/>
  </r>
  <r>
    <x v="1033"/>
    <s v="Komal Shetty"/>
    <n v="43"/>
    <x v="0"/>
    <n v="47239"/>
    <n v="150000"/>
    <n v="180"/>
    <n v="21.56"/>
    <s v="Home Purchase"/>
    <n v="551"/>
    <x v="657"/>
    <s v="2021-12-22"/>
    <x v="0"/>
    <n v="2808.89"/>
    <x v="2"/>
    <x v="6"/>
    <x v="0"/>
    <n v="1"/>
    <n v="0"/>
    <x v="3"/>
  </r>
  <r>
    <x v="1034"/>
    <s v="Sunita Kaur"/>
    <n v="24"/>
    <x v="0"/>
    <n v="165616"/>
    <n v="50000"/>
    <n v="240"/>
    <n v="21.6"/>
    <s v="Debt Consolidation"/>
    <n v="711"/>
    <x v="129"/>
    <s v="2022-10-19"/>
    <x v="2"/>
    <n v="912.61"/>
    <x v="1"/>
    <x v="11"/>
    <x v="3"/>
    <n v="2"/>
    <n v="0"/>
    <x v="2"/>
  </r>
  <r>
    <x v="1035"/>
    <s v="Nisha Kulkarni"/>
    <n v="62"/>
    <x v="0"/>
    <n v="21139"/>
    <n v="50000"/>
    <n v="240"/>
    <n v="16.09"/>
    <s v="Personal"/>
    <n v="611"/>
    <x v="230"/>
    <s v="2021-06-01"/>
    <x v="0"/>
    <n v="699.01"/>
    <x v="2"/>
    <x v="20"/>
    <x v="0"/>
    <n v="0"/>
    <n v="0"/>
    <x v="3"/>
  </r>
  <r>
    <x v="1036"/>
    <s v="Rohit Deshpande"/>
    <n v="27"/>
    <x v="4"/>
    <n v="189195"/>
    <n v="750000"/>
    <n v="120"/>
    <n v="13.11"/>
    <s v="Debt Consolidation"/>
    <n v="647"/>
    <x v="374"/>
    <s v="2023-07-23"/>
    <x v="0"/>
    <n v="11247.02"/>
    <x v="1"/>
    <x v="1"/>
    <x v="0"/>
    <n v="2"/>
    <n v="0"/>
    <x v="3"/>
  </r>
  <r>
    <x v="1037"/>
    <s v="Madhuri Pillai"/>
    <n v="52"/>
    <x v="4"/>
    <n v="19892"/>
    <n v="75000"/>
    <n v="240"/>
    <n v="10.11"/>
    <s v="Home Purchase"/>
    <n v="581"/>
    <x v="70"/>
    <s v="2023-07-04"/>
    <x v="2"/>
    <n v="729.24"/>
    <x v="0"/>
    <x v="0"/>
    <x v="0"/>
    <n v="2"/>
    <n v="0"/>
    <x v="3"/>
  </r>
  <r>
    <x v="1038"/>
    <s v="Varsha Shah"/>
    <n v="48"/>
    <x v="4"/>
    <n v="249689"/>
    <n v="1500000"/>
    <n v="180"/>
    <n v="18.559999999999999"/>
    <s v="Vehicle Loan"/>
    <n v="379"/>
    <x v="658"/>
    <s v="2021-09-24"/>
    <x v="0"/>
    <n v="24763.09"/>
    <x v="1"/>
    <x v="1"/>
    <x v="1"/>
    <n v="10"/>
    <n v="0"/>
    <x v="0"/>
  </r>
  <r>
    <x v="1039"/>
    <s v="Tarun Kulkarni"/>
    <n v="38"/>
    <x v="0"/>
    <n v="43269"/>
    <n v="400000"/>
    <n v="48"/>
    <n v="21.4"/>
    <s v="Home Purchase"/>
    <n v="641"/>
    <x v="426"/>
    <s v="2023-07-15"/>
    <x v="3"/>
    <n v="12472.5"/>
    <x v="1"/>
    <x v="3"/>
    <x v="0"/>
    <n v="0"/>
    <n v="0"/>
    <x v="3"/>
  </r>
  <r>
    <x v="1040"/>
    <s v="Arjun Das"/>
    <n v="44"/>
    <x v="2"/>
    <n v="141195"/>
    <n v="1500000"/>
    <n v="180"/>
    <n v="10.199999999999999"/>
    <s v="Education"/>
    <n v="345"/>
    <x v="659"/>
    <s v="2023-07-01"/>
    <x v="0"/>
    <n v="16303.1"/>
    <x v="3"/>
    <x v="17"/>
    <x v="2"/>
    <n v="4"/>
    <n v="0"/>
    <x v="0"/>
  </r>
  <r>
    <x v="1041"/>
    <s v="Shweta Reddy"/>
    <n v="49"/>
    <x v="1"/>
    <n v="66224"/>
    <n v="150000"/>
    <n v="48"/>
    <n v="18.89"/>
    <s v="Medical"/>
    <n v="493"/>
    <x v="322"/>
    <s v="2022-12-10"/>
    <x v="2"/>
    <n v="4476.32"/>
    <x v="2"/>
    <x v="4"/>
    <x v="2"/>
    <n v="9"/>
    <n v="0"/>
    <x v="0"/>
  </r>
  <r>
    <x v="1042"/>
    <s v="Pooja Joshi"/>
    <n v="54"/>
    <x v="4"/>
    <n v="247216"/>
    <n v="400000"/>
    <n v="48"/>
    <n v="18.05"/>
    <s v="Agriculture"/>
    <n v="366"/>
    <x v="660"/>
    <s v="2023-11-23"/>
    <x v="0"/>
    <n v="11760.45"/>
    <x v="0"/>
    <x v="18"/>
    <x v="2"/>
    <n v="6"/>
    <n v="0"/>
    <x v="0"/>
  </r>
  <r>
    <x v="1043"/>
    <s v="Jyoti Yadav"/>
    <n v="33"/>
    <x v="1"/>
    <n v="201774"/>
    <n v="250000"/>
    <n v="240"/>
    <n v="17.57"/>
    <s v="Agriculture"/>
    <n v="785"/>
    <x v="366"/>
    <s v="2021-03-25"/>
    <x v="0"/>
    <n v="3775.75"/>
    <x v="4"/>
    <x v="24"/>
    <x v="3"/>
    <n v="1"/>
    <n v="0"/>
    <x v="1"/>
  </r>
  <r>
    <x v="1044"/>
    <s v="Jyoti Deshpande"/>
    <n v="39"/>
    <x v="2"/>
    <n v="21479"/>
    <n v="100000"/>
    <n v="180"/>
    <n v="10.89"/>
    <s v="Vehicle Loan"/>
    <s v="Not Available"/>
    <x v="456"/>
    <s v="2021-07-08"/>
    <x v="2"/>
    <n v="1129.7"/>
    <x v="3"/>
    <x v="12"/>
    <x v="0"/>
    <n v="2"/>
    <n v="0"/>
    <x v="4"/>
  </r>
  <r>
    <x v="1045"/>
    <s v="Rekha Kaur"/>
    <n v="26"/>
    <x v="4"/>
    <n v="116301"/>
    <n v="150000"/>
    <n v="180"/>
    <n v="9.08"/>
    <s v="Agriculture"/>
    <n v="611"/>
    <x v="402"/>
    <s v="2022-01-03"/>
    <x v="0"/>
    <n v="1528.55"/>
    <x v="3"/>
    <x v="17"/>
    <x v="1"/>
    <n v="1"/>
    <n v="0"/>
    <x v="3"/>
  </r>
  <r>
    <x v="1046"/>
    <s v="Usha Verma"/>
    <n v="55"/>
    <x v="1"/>
    <n v="164219"/>
    <n v="400000"/>
    <n v="180"/>
    <n v="14.21"/>
    <s v="Home Purchase"/>
    <n v="393"/>
    <x v="661"/>
    <s v="2022-09-17"/>
    <x v="1"/>
    <n v="5383.52"/>
    <x v="4"/>
    <x v="16"/>
    <x v="0"/>
    <n v="1"/>
    <n v="0"/>
    <x v="0"/>
  </r>
  <r>
    <x v="1047"/>
    <s v="Mohan Kaur"/>
    <n v="24"/>
    <x v="3"/>
    <n v="80694"/>
    <n v="75000"/>
    <n v="36"/>
    <n v="12.24"/>
    <s v="Agriculture"/>
    <n v="796"/>
    <x v="529"/>
    <s v="2022-06-06"/>
    <x v="1"/>
    <n v="2499.6799999999998"/>
    <x v="2"/>
    <x v="19"/>
    <x v="0"/>
    <n v="0"/>
    <n v="0"/>
    <x v="1"/>
  </r>
  <r>
    <x v="1048"/>
    <s v="Rekha Reddy"/>
    <n v="64"/>
    <x v="0"/>
    <n v="225095"/>
    <n v="1000000"/>
    <n v="48"/>
    <n v="16.32"/>
    <s v="Debt Consolidation"/>
    <n v="833"/>
    <x v="449"/>
    <s v="2021-01-18"/>
    <x v="2"/>
    <n v="28504.44"/>
    <x v="4"/>
    <x v="9"/>
    <x v="0"/>
    <n v="1"/>
    <n v="0"/>
    <x v="1"/>
  </r>
  <r>
    <x v="1049"/>
    <s v="Ganesh Nair"/>
    <n v="45"/>
    <x v="2"/>
    <n v="114016"/>
    <n v="100000"/>
    <n v="180"/>
    <n v="13.9"/>
    <s v="Debt Consolidation"/>
    <n v="459"/>
    <x v="662"/>
    <s v="2021-07-17"/>
    <x v="0"/>
    <n v="1325.03"/>
    <x v="2"/>
    <x v="19"/>
    <x v="0"/>
    <n v="1"/>
    <n v="0"/>
    <x v="0"/>
  </r>
  <r>
    <x v="1050"/>
    <s v="Jyoti Chatterjee"/>
    <n v="63"/>
    <x v="4"/>
    <n v="33673"/>
    <n v="300000"/>
    <n v="12"/>
    <n v="21.89"/>
    <s v="Vehicle Loan"/>
    <n v="694"/>
    <x v="383"/>
    <s v="2023-06-24"/>
    <x v="0"/>
    <n v="28062.43"/>
    <x v="1"/>
    <x v="3"/>
    <x v="0"/>
    <n v="0"/>
    <n v="0"/>
    <x v="2"/>
  </r>
  <r>
    <x v="1051"/>
    <s v="Pallavi Patel"/>
    <n v="64"/>
    <x v="0"/>
    <n v="83506"/>
    <n v="750000"/>
    <n v="180"/>
    <n v="21.19"/>
    <s v="Education"/>
    <n v="560"/>
    <x v="434"/>
    <s v="2021-11-30"/>
    <x v="0"/>
    <n v="13836.21"/>
    <x v="0"/>
    <x v="18"/>
    <x v="0"/>
    <n v="2"/>
    <n v="0"/>
    <x v="3"/>
  </r>
  <r>
    <x v="1052"/>
    <s v="Manoj Pillai"/>
    <n v="22"/>
    <x v="1"/>
    <n v="19359"/>
    <n v="1000000"/>
    <n v="84"/>
    <n v="20.16"/>
    <s v="Medical"/>
    <n v="754"/>
    <x v="663"/>
    <s v="2021-06-30"/>
    <x v="0"/>
    <n v="22302.639999999999"/>
    <x v="0"/>
    <x v="18"/>
    <x v="0"/>
    <n v="1"/>
    <n v="0"/>
    <x v="1"/>
  </r>
  <r>
    <x v="1053"/>
    <s v="Kavitha Joshi"/>
    <n v="56"/>
    <x v="2"/>
    <n v="38708"/>
    <n v="2000000"/>
    <n v="84"/>
    <n v="20.14"/>
    <s v="Vehicle Loan"/>
    <n v="651"/>
    <x v="452"/>
    <s v="2023-07-12"/>
    <x v="0"/>
    <n v="44581.15"/>
    <x v="2"/>
    <x v="4"/>
    <x v="2"/>
    <n v="10"/>
    <n v="0"/>
    <x v="2"/>
  </r>
  <r>
    <x v="1054"/>
    <s v="Chetna Sharma"/>
    <n v="41"/>
    <x v="3"/>
    <n v="169680"/>
    <n v="500000"/>
    <n v="48"/>
    <n v="19.78"/>
    <s v="Debt Consolidation"/>
    <n v="627"/>
    <x v="368"/>
    <s v="2022-04-06"/>
    <x v="0"/>
    <n v="15156.64"/>
    <x v="4"/>
    <x v="9"/>
    <x v="0"/>
    <n v="2"/>
    <n v="0"/>
    <x v="3"/>
  </r>
  <r>
    <x v="1055"/>
    <s v="Vinod Chatterjee"/>
    <n v="54"/>
    <x v="3"/>
    <n v="86683"/>
    <n v="1500000"/>
    <n v="180"/>
    <n v="16.649999999999999"/>
    <s v="Personal"/>
    <n v="806"/>
    <x v="289"/>
    <s v="2021-12-08"/>
    <x v="0"/>
    <n v="22714.01"/>
    <x v="4"/>
    <x v="16"/>
    <x v="3"/>
    <n v="0"/>
    <n v="0"/>
    <x v="1"/>
  </r>
  <r>
    <x v="1056"/>
    <s v="Abhishek Nair"/>
    <n v="51"/>
    <x v="2"/>
    <n v="87146"/>
    <n v="1000000"/>
    <n v="180"/>
    <n v="12.83"/>
    <s v="Vehicle Loan"/>
    <n v="419"/>
    <x v="587"/>
    <s v="2023-11-20"/>
    <x v="0"/>
    <n v="12540.77"/>
    <x v="3"/>
    <x v="5"/>
    <x v="1"/>
    <n v="7"/>
    <n v="0"/>
    <x v="0"/>
  </r>
  <r>
    <x v="1057"/>
    <s v="Dinesh Shah"/>
    <n v="47"/>
    <x v="3"/>
    <n v="118231"/>
    <n v="500000"/>
    <n v="240"/>
    <n v="18.86"/>
    <s v="Agriculture"/>
    <s v="Not Available"/>
    <x v="117"/>
    <s v="2021-10-09"/>
    <x v="0"/>
    <n v="8049.02"/>
    <x v="1"/>
    <x v="15"/>
    <x v="2"/>
    <n v="8"/>
    <n v="0"/>
    <x v="4"/>
  </r>
  <r>
    <x v="1058"/>
    <s v="Pooja Rao"/>
    <n v="56"/>
    <x v="3"/>
    <n v="194301"/>
    <n v="500000"/>
    <n v="120"/>
    <n v="8.4600000000000009"/>
    <s v="Vehicle Loan"/>
    <n v="671"/>
    <x v="664"/>
    <s v="2022-04-19"/>
    <x v="0"/>
    <n v="6188.59"/>
    <x v="4"/>
    <x v="23"/>
    <x v="2"/>
    <n v="2"/>
    <n v="0"/>
    <x v="2"/>
  </r>
  <r>
    <x v="1059"/>
    <s v="Ashok Yadav"/>
    <n v="54"/>
    <x v="1"/>
    <n v="87305"/>
    <n v="300000"/>
    <n v="240"/>
    <n v="21.15"/>
    <s v="Personal"/>
    <n v="612"/>
    <x v="624"/>
    <s v="2022-11-02"/>
    <x v="0"/>
    <n v="5368.56"/>
    <x v="3"/>
    <x v="12"/>
    <x v="0"/>
    <n v="1"/>
    <n v="0"/>
    <x v="3"/>
  </r>
  <r>
    <x v="1060"/>
    <s v="Smita Kulkarni"/>
    <n v="41"/>
    <x v="1"/>
    <n v="43092"/>
    <n v="50000"/>
    <n v="84"/>
    <n v="20.41"/>
    <s v="Education"/>
    <n v="711"/>
    <x v="312"/>
    <s v="2023-10-14"/>
    <x v="2"/>
    <n v="1122.69"/>
    <x v="4"/>
    <x v="21"/>
    <x v="2"/>
    <n v="1"/>
    <n v="0"/>
    <x v="2"/>
  </r>
  <r>
    <x v="1061"/>
    <s v="Naveen Sharma"/>
    <n v="49"/>
    <x v="2"/>
    <n v="90881"/>
    <n v="200000"/>
    <n v="180"/>
    <n v="8.6999999999999993"/>
    <s v="Debt Consolidation"/>
    <n v="553"/>
    <x v="586"/>
    <s v="2022-01-28"/>
    <x v="2"/>
    <n v="1993"/>
    <x v="1"/>
    <x v="3"/>
    <x v="0"/>
    <n v="2"/>
    <n v="0"/>
    <x v="3"/>
  </r>
  <r>
    <x v="1062"/>
    <s v="Kavitha Joshi"/>
    <n v="47"/>
    <x v="3"/>
    <n v="86791"/>
    <n v="150000"/>
    <n v="36"/>
    <n v="13.68"/>
    <s v="Personal"/>
    <n v="393"/>
    <x v="665"/>
    <s v="2022-10-15"/>
    <x v="2"/>
    <n v="5103.3599999999997"/>
    <x v="3"/>
    <x v="14"/>
    <x v="0"/>
    <n v="1"/>
    <n v="0"/>
    <x v="0"/>
  </r>
  <r>
    <x v="1063"/>
    <s v="Sarala Das"/>
    <n v="57"/>
    <x v="1"/>
    <n v="249596"/>
    <n v="250000"/>
    <n v="180"/>
    <n v="16.63"/>
    <s v="Vehicle Loan"/>
    <n v="746"/>
    <x v="6"/>
    <s v="2023-11-26"/>
    <x v="0"/>
    <n v="3782.15"/>
    <x v="3"/>
    <x v="14"/>
    <x v="0"/>
    <n v="1"/>
    <n v="0"/>
    <x v="2"/>
  </r>
  <r>
    <x v="1064"/>
    <s v="Ashok Shetty"/>
    <n v="42"/>
    <x v="3"/>
    <n v="199932"/>
    <n v="500000"/>
    <n v="60"/>
    <n v="17.97"/>
    <s v="Debt Consolidation"/>
    <n v="601"/>
    <x v="477"/>
    <s v="2021-02-20"/>
    <x v="2"/>
    <n v="12688.56"/>
    <x v="4"/>
    <x v="21"/>
    <x v="0"/>
    <n v="2"/>
    <n v="0"/>
    <x v="3"/>
  </r>
  <r>
    <x v="1065"/>
    <s v="Arjun Rao"/>
    <n v="31"/>
    <x v="2"/>
    <n v="207172"/>
    <n v="50000"/>
    <n v="120"/>
    <n v="12.89"/>
    <s v="Vehicle Loan"/>
    <n v="895"/>
    <x v="22"/>
    <s v="2021-11-23"/>
    <x v="0"/>
    <n v="743.31"/>
    <x v="3"/>
    <x v="14"/>
    <x v="0"/>
    <n v="2"/>
    <n v="0"/>
    <x v="1"/>
  </r>
  <r>
    <x v="1066"/>
    <s v="Ganesh Singh"/>
    <n v="25"/>
    <x v="1"/>
    <n v="39434"/>
    <n v="200000"/>
    <n v="12"/>
    <n v="21.72"/>
    <s v="Business Expansion"/>
    <n v="707"/>
    <x v="176"/>
    <s v="2023-04-07"/>
    <x v="0"/>
    <n v="18691.939999999999"/>
    <x v="1"/>
    <x v="3"/>
    <x v="0"/>
    <n v="1"/>
    <n v="0"/>
    <x v="2"/>
  </r>
  <r>
    <x v="1067"/>
    <s v="Ashok Joshi"/>
    <n v="65"/>
    <x v="3"/>
    <n v="101853"/>
    <n v="300000"/>
    <n v="240"/>
    <n v="8.9600000000000009"/>
    <s v="Education"/>
    <n v="324"/>
    <x v="376"/>
    <s v="2021-03-30"/>
    <x v="0"/>
    <n v="2691.47"/>
    <x v="1"/>
    <x v="10"/>
    <x v="2"/>
    <n v="7"/>
    <n v="0"/>
    <x v="0"/>
  </r>
  <r>
    <x v="1068"/>
    <s v="Anita Pillai"/>
    <n v="47"/>
    <x v="1"/>
    <n v="31900"/>
    <n v="250000"/>
    <n v="84"/>
    <n v="21.95"/>
    <s v="Agriculture"/>
    <n v="517"/>
    <x v="666"/>
    <s v="2021-04-09"/>
    <x v="1"/>
    <n v="5848.77"/>
    <x v="2"/>
    <x v="19"/>
    <x v="2"/>
    <n v="4"/>
    <n v="0"/>
    <x v="0"/>
  </r>
  <r>
    <x v="1069"/>
    <s v="Rekha Das"/>
    <n v="33"/>
    <x v="3"/>
    <n v="39232"/>
    <n v="300000"/>
    <n v="84"/>
    <n v="21.47"/>
    <s v="Business Expansion"/>
    <n v="468"/>
    <x v="556"/>
    <s v="2023-09-21"/>
    <x v="0"/>
    <n v="6929.92"/>
    <x v="0"/>
    <x v="22"/>
    <x v="3"/>
    <n v="1"/>
    <n v="0"/>
    <x v="0"/>
  </r>
  <r>
    <x v="1070"/>
    <s v="Geeta Patel"/>
    <n v="41"/>
    <x v="1"/>
    <n v="146618"/>
    <n v="75000"/>
    <n v="180"/>
    <n v="16.91"/>
    <s v="Agriculture"/>
    <n v="723"/>
    <x v="403"/>
    <s v="2023-06-11"/>
    <x v="0"/>
    <n v="1149.47"/>
    <x v="2"/>
    <x v="6"/>
    <x v="2"/>
    <n v="5"/>
    <n v="0"/>
    <x v="2"/>
  </r>
  <r>
    <x v="1071"/>
    <s v="Bhavna Kaur"/>
    <n v="25"/>
    <x v="4"/>
    <n v="127486"/>
    <n v="100000"/>
    <n v="120"/>
    <n v="21.67"/>
    <s v="Education"/>
    <n v="712"/>
    <x v="621"/>
    <s v="2022-04-25"/>
    <x v="0"/>
    <n v="2044.55"/>
    <x v="4"/>
    <x v="24"/>
    <x v="2"/>
    <n v="2"/>
    <n v="0"/>
    <x v="2"/>
  </r>
  <r>
    <x v="1072"/>
    <s v="Anita Sharma"/>
    <n v="62"/>
    <x v="4"/>
    <n v="55120"/>
    <n v="50000"/>
    <n v="240"/>
    <n v="20.85"/>
    <s v="Vehicle Loan"/>
    <n v="885"/>
    <x v="96"/>
    <s v="2021-10-12"/>
    <x v="2"/>
    <n v="882.89"/>
    <x v="2"/>
    <x v="19"/>
    <x v="0"/>
    <n v="2"/>
    <n v="0"/>
    <x v="1"/>
  </r>
  <r>
    <x v="1073"/>
    <s v="Vikram Dubey"/>
    <n v="32"/>
    <x v="3"/>
    <n v="149049"/>
    <n v="200000"/>
    <n v="120"/>
    <n v="11.76"/>
    <s v="Medical"/>
    <n v="707"/>
    <x v="356"/>
    <s v="2022-11-08"/>
    <x v="0"/>
    <n v="2841.74"/>
    <x v="3"/>
    <x v="5"/>
    <x v="2"/>
    <n v="2"/>
    <n v="0"/>
    <x v="2"/>
  </r>
  <r>
    <x v="1074"/>
    <s v="Rajesh Joshi"/>
    <n v="28"/>
    <x v="1"/>
    <n v="240807"/>
    <n v="1500000"/>
    <n v="120"/>
    <n v="10.78"/>
    <s v="Vehicle Loan"/>
    <s v="Not Available"/>
    <x v="667"/>
    <s v="2021-04-29"/>
    <x v="0"/>
    <n v="20476.150000000001"/>
    <x v="4"/>
    <x v="24"/>
    <x v="1"/>
    <n v="0"/>
    <n v="0"/>
    <x v="4"/>
  </r>
  <r>
    <x v="1075"/>
    <s v="Amit Rao"/>
    <n v="25"/>
    <x v="1"/>
    <n v="34671"/>
    <n v="200000"/>
    <n v="84"/>
    <n v="17.47"/>
    <s v="Debt Consolidation"/>
    <n v="576"/>
    <x v="173"/>
    <s v="2021-09-10"/>
    <x v="2"/>
    <n v="4141.67"/>
    <x v="0"/>
    <x v="0"/>
    <x v="2"/>
    <n v="9"/>
    <n v="0"/>
    <x v="3"/>
  </r>
  <r>
    <x v="1076"/>
    <s v="Anita Menon"/>
    <n v="31"/>
    <x v="2"/>
    <n v="146646"/>
    <n v="300000"/>
    <n v="240"/>
    <n v="12.34"/>
    <s v="Agriculture"/>
    <n v="579"/>
    <x v="537"/>
    <s v="2023-03-21"/>
    <x v="0"/>
    <n v="3374.64"/>
    <x v="4"/>
    <x v="21"/>
    <x v="0"/>
    <n v="0"/>
    <n v="0"/>
    <x v="3"/>
  </r>
  <r>
    <x v="1077"/>
    <s v="Naveen Chatterjee"/>
    <n v="33"/>
    <x v="4"/>
    <n v="129246"/>
    <n v="1000000"/>
    <n v="84"/>
    <n v="19.16"/>
    <s v="Education"/>
    <n v="504"/>
    <x v="98"/>
    <s v="2022-02-25"/>
    <x v="1"/>
    <n v="21703.19"/>
    <x v="4"/>
    <x v="9"/>
    <x v="2"/>
    <n v="6"/>
    <n v="0"/>
    <x v="0"/>
  </r>
  <r>
    <x v="1078"/>
    <s v="Nisha Nair"/>
    <n v="41"/>
    <x v="4"/>
    <n v="179710"/>
    <n v="400000"/>
    <n v="240"/>
    <n v="10.16"/>
    <s v="Debt Consolidation"/>
    <n v="398"/>
    <x v="668"/>
    <s v="2022-10-23"/>
    <x v="2"/>
    <n v="3902.58"/>
    <x v="0"/>
    <x v="18"/>
    <x v="3"/>
    <n v="1"/>
    <n v="0"/>
    <x v="0"/>
  </r>
  <r>
    <x v="1079"/>
    <s v="Nisha Verma"/>
    <n v="59"/>
    <x v="4"/>
    <n v="112808"/>
    <n v="100000"/>
    <n v="240"/>
    <n v="20.55"/>
    <s v="Business Expansion"/>
    <n v="354"/>
    <x v="449"/>
    <s v="2021-01-30"/>
    <x v="0"/>
    <n v="1742.1"/>
    <x v="2"/>
    <x v="13"/>
    <x v="0"/>
    <n v="1"/>
    <n v="0"/>
    <x v="0"/>
  </r>
  <r>
    <x v="1080"/>
    <s v="Chetna Reddy"/>
    <n v="35"/>
    <x v="4"/>
    <n v="52788"/>
    <n v="500000"/>
    <n v="180"/>
    <n v="9.48"/>
    <s v="Education"/>
    <n v="608"/>
    <x v="669"/>
    <s v="2022-02-22"/>
    <x v="0"/>
    <n v="5215.09"/>
    <x v="4"/>
    <x v="21"/>
    <x v="0"/>
    <n v="1"/>
    <n v="0"/>
    <x v="3"/>
  </r>
  <r>
    <x v="1081"/>
    <s v="Chetna Verma"/>
    <n v="32"/>
    <x v="4"/>
    <n v="209422"/>
    <n v="1500000"/>
    <n v="240"/>
    <n v="10.41"/>
    <s v="Agriculture"/>
    <n v="596"/>
    <x v="427"/>
    <s v="2023-02-16"/>
    <x v="0"/>
    <n v="14885.12"/>
    <x v="4"/>
    <x v="21"/>
    <x v="0"/>
    <n v="2"/>
    <n v="0"/>
    <x v="3"/>
  </r>
  <r>
    <x v="1082"/>
    <s v="Sunil Kumar"/>
    <n v="33"/>
    <x v="0"/>
    <n v="107239"/>
    <n v="1000000"/>
    <n v="84"/>
    <n v="14.16"/>
    <s v="Education"/>
    <n v="585"/>
    <x v="645"/>
    <s v="2023-10-03"/>
    <x v="2"/>
    <n v="18828.509999999998"/>
    <x v="4"/>
    <x v="16"/>
    <x v="3"/>
    <n v="0"/>
    <n v="0"/>
    <x v="3"/>
  </r>
  <r>
    <x v="1083"/>
    <s v="Ganesh Shah"/>
    <n v="58"/>
    <x v="4"/>
    <m/>
    <n v="1000000"/>
    <n v="240"/>
    <n v="11.26"/>
    <s v="Medical"/>
    <n v="894"/>
    <x v="16"/>
    <s v="2023-04-12"/>
    <x v="0"/>
    <n v="10499.41"/>
    <x v="4"/>
    <x v="24"/>
    <x v="0"/>
    <n v="2"/>
    <n v="0"/>
    <x v="1"/>
  </r>
  <r>
    <x v="1084"/>
    <s v="Deepa Joshi"/>
    <n v="55"/>
    <x v="1"/>
    <n v="41453"/>
    <n v="75000"/>
    <n v="180"/>
    <n v="10.84"/>
    <s v="Medical"/>
    <n v="323"/>
    <x v="670"/>
    <s v="2023-01-08"/>
    <x v="0"/>
    <n v="844.93"/>
    <x v="0"/>
    <x v="22"/>
    <x v="0"/>
    <n v="1"/>
    <n v="0"/>
    <x v="0"/>
  </r>
  <r>
    <x v="1085"/>
    <s v="Kiran Banerjee"/>
    <n v="26"/>
    <x v="4"/>
    <n v="165826"/>
    <n v="150000"/>
    <n v="240"/>
    <n v="21.01"/>
    <s v="Business Expansion"/>
    <n v="708"/>
    <x v="574"/>
    <s v="2021-09-06"/>
    <x v="0"/>
    <n v="2667.65"/>
    <x v="1"/>
    <x v="1"/>
    <x v="2"/>
    <n v="8"/>
    <n v="0"/>
    <x v="2"/>
  </r>
  <r>
    <x v="1086"/>
    <s v="Ganesh Das"/>
    <n v="63"/>
    <x v="3"/>
    <n v="23460"/>
    <n v="250000"/>
    <n v="120"/>
    <n v="11.28"/>
    <s v="Medical"/>
    <n v="360"/>
    <x v="671"/>
    <s v="2022-12-04"/>
    <x v="0"/>
    <n v="3483.49"/>
    <x v="0"/>
    <x v="0"/>
    <x v="4"/>
    <n v="2"/>
    <n v="0"/>
    <x v="0"/>
  </r>
  <r>
    <x v="1087"/>
    <s v="Sarala Banerjee"/>
    <n v="63"/>
    <x v="0"/>
    <n v="153109"/>
    <n v="200000"/>
    <n v="84"/>
    <n v="17.62"/>
    <s v="Vehicle Loan"/>
    <n v="355"/>
    <x v="209"/>
    <s v="2023-10-04"/>
    <x v="0"/>
    <n v="4159.1400000000003"/>
    <x v="4"/>
    <x v="16"/>
    <x v="0"/>
    <n v="2"/>
    <n v="0"/>
    <x v="0"/>
  </r>
  <r>
    <x v="1088"/>
    <s v="Deepa Menon"/>
    <n v="30"/>
    <x v="4"/>
    <n v="75433"/>
    <n v="200000"/>
    <n v="240"/>
    <n v="10.56"/>
    <s v="Medical"/>
    <n v="445"/>
    <x v="197"/>
    <s v="2023-07-25"/>
    <x v="0"/>
    <n v="2004.83"/>
    <x v="3"/>
    <x v="17"/>
    <x v="1"/>
    <n v="11"/>
    <n v="0"/>
    <x v="0"/>
  </r>
  <r>
    <x v="1089"/>
    <s v="Bhavna Deshpande"/>
    <n v="26"/>
    <x v="2"/>
    <n v="62134"/>
    <n v="200000"/>
    <n v="60"/>
    <n v="11.26"/>
    <s v="Agriculture"/>
    <n v="430"/>
    <x v="672"/>
    <s v="2021-04-22"/>
    <x v="3"/>
    <n v="4374.46"/>
    <x v="0"/>
    <x v="0"/>
    <x v="0"/>
    <n v="0"/>
    <n v="0"/>
    <x v="0"/>
  </r>
  <r>
    <x v="1090"/>
    <s v="Amit Banerjee"/>
    <n v="31"/>
    <x v="4"/>
    <n v="21693"/>
    <n v="75000"/>
    <n v="48"/>
    <n v="19.22"/>
    <s v="Medical"/>
    <n v="520"/>
    <x v="673"/>
    <s v="2021-11-19"/>
    <x v="0"/>
    <n v="2251.23"/>
    <x v="2"/>
    <x v="20"/>
    <x v="0"/>
    <n v="0"/>
    <n v="0"/>
    <x v="0"/>
  </r>
  <r>
    <x v="1091"/>
    <s v="Komal Nair"/>
    <n v="26"/>
    <x v="0"/>
    <n v="163216"/>
    <n v="500000"/>
    <n v="240"/>
    <n v="18.14"/>
    <s v="Vehicle Loan"/>
    <n v="840"/>
    <x v="222"/>
    <s v="2023-12-30"/>
    <x v="2"/>
    <n v="7770.47"/>
    <x v="3"/>
    <x v="7"/>
    <x v="5"/>
    <n v="1"/>
    <n v="0"/>
    <x v="1"/>
  </r>
  <r>
    <x v="1092"/>
    <s v="Shweta Dubey"/>
    <n v="48"/>
    <x v="1"/>
    <n v="35890"/>
    <n v="250000"/>
    <n v="240"/>
    <n v="14.83"/>
    <s v="Medical"/>
    <n v="795"/>
    <x v="674"/>
    <s v="2023-05-18"/>
    <x v="1"/>
    <n v="3260.62"/>
    <x v="1"/>
    <x v="3"/>
    <x v="0"/>
    <n v="1"/>
    <n v="0"/>
    <x v="1"/>
  </r>
  <r>
    <x v="1093"/>
    <s v="Amit Tiwari"/>
    <n v="23"/>
    <x v="0"/>
    <n v="34140"/>
    <n v="100000"/>
    <n v="240"/>
    <n v="20.07"/>
    <s v="Debt Consolidation"/>
    <n v="732"/>
    <x v="329"/>
    <s v="2022-06-04"/>
    <x v="0"/>
    <n v="1704.32"/>
    <x v="4"/>
    <x v="9"/>
    <x v="3"/>
    <n v="1"/>
    <n v="0"/>
    <x v="2"/>
  </r>
  <r>
    <x v="1094"/>
    <s v="Kiran Banerjee"/>
    <n v="38"/>
    <x v="4"/>
    <m/>
    <n v="75000"/>
    <n v="48"/>
    <n v="17.16"/>
    <s v="Education"/>
    <n v="398"/>
    <x v="675"/>
    <s v="2021-12-15"/>
    <x v="0"/>
    <n v="2170.34"/>
    <x v="0"/>
    <x v="18"/>
    <x v="0"/>
    <n v="2"/>
    <n v="0"/>
    <x v="0"/>
  </r>
  <r>
    <x v="1095"/>
    <s v="Deepa Chaudhary"/>
    <n v="26"/>
    <x v="1"/>
    <n v="56085"/>
    <n v="500000"/>
    <n v="84"/>
    <n v="11.5"/>
    <s v="Vehicle Loan"/>
    <n v="622"/>
    <x v="284"/>
    <s v="2022-10-22"/>
    <x v="0"/>
    <n v="8693.23"/>
    <x v="3"/>
    <x v="14"/>
    <x v="0"/>
    <n v="0"/>
    <n v="0"/>
    <x v="3"/>
  </r>
  <r>
    <x v="1096"/>
    <s v="Sarala Singh"/>
    <n v="62"/>
    <x v="3"/>
    <n v="79464"/>
    <n v="100000"/>
    <n v="120"/>
    <n v="20.149999999999999"/>
    <s v="Personal"/>
    <n v="500"/>
    <x v="389"/>
    <s v="2022-02-14"/>
    <x v="0"/>
    <n v="1942.51"/>
    <x v="4"/>
    <x v="16"/>
    <x v="0"/>
    <n v="0"/>
    <n v="0"/>
    <x v="0"/>
  </r>
  <r>
    <x v="1097"/>
    <s v="Jyoti Banerjee"/>
    <n v="30"/>
    <x v="0"/>
    <n v="181401"/>
    <n v="75000"/>
    <n v="240"/>
    <n v="19.93"/>
    <s v="Personal"/>
    <n v="303"/>
    <x v="340"/>
    <s v="2022-03-29"/>
    <x v="0"/>
    <n v="1270"/>
    <x v="2"/>
    <x v="19"/>
    <x v="0"/>
    <n v="1"/>
    <n v="0"/>
    <x v="0"/>
  </r>
  <r>
    <x v="1098"/>
    <s v="Pooja Kapoor"/>
    <n v="36"/>
    <x v="1"/>
    <n v="181793"/>
    <n v="50000"/>
    <n v="60"/>
    <n v="13.99"/>
    <s v="Personal"/>
    <s v="Not Available"/>
    <x v="676"/>
    <s v="2021-09-05"/>
    <x v="0"/>
    <n v="1163.1500000000001"/>
    <x v="0"/>
    <x v="18"/>
    <x v="3"/>
    <n v="0"/>
    <n v="0"/>
    <x v="4"/>
  </r>
  <r>
    <x v="1099"/>
    <s v="Tarun Verma"/>
    <n v="24"/>
    <x v="1"/>
    <n v="211585"/>
    <n v="75000"/>
    <n v="120"/>
    <n v="17"/>
    <s v="Education"/>
    <n v="576"/>
    <x v="677"/>
    <s v="2023-05-04"/>
    <x v="0"/>
    <n v="1303.48"/>
    <x v="3"/>
    <x v="5"/>
    <x v="2"/>
    <n v="1"/>
    <n v="0"/>
    <x v="3"/>
  </r>
  <r>
    <x v="1100"/>
    <s v="Vinod Malhotra"/>
    <n v="22"/>
    <x v="1"/>
    <n v="195983"/>
    <n v="150000"/>
    <n v="240"/>
    <n v="19.02"/>
    <s v="Agriculture"/>
    <n v="620"/>
    <x v="355"/>
    <s v="2023-10-06"/>
    <x v="0"/>
    <n v="2433.36"/>
    <x v="0"/>
    <x v="22"/>
    <x v="0"/>
    <n v="1"/>
    <n v="0"/>
    <x v="3"/>
  </r>
  <r>
    <x v="1101"/>
    <s v="Kavitha Singh"/>
    <n v="49"/>
    <x v="2"/>
    <n v="59753"/>
    <n v="1000000"/>
    <n v="240"/>
    <n v="14.56"/>
    <s v="Debt Consolidation"/>
    <n v="708"/>
    <x v="167"/>
    <s v="2022-09-21"/>
    <x v="0"/>
    <n v="12843.96"/>
    <x v="3"/>
    <x v="12"/>
    <x v="0"/>
    <n v="0"/>
    <n v="0"/>
    <x v="2"/>
  </r>
  <r>
    <x v="1102"/>
    <s v="Pooja Banerjee"/>
    <n v="49"/>
    <x v="4"/>
    <n v="206187"/>
    <n v="200000"/>
    <n v="84"/>
    <n v="16.559999999999999"/>
    <s v="Debt Consolidation"/>
    <n v="560"/>
    <x v="249"/>
    <s v="2022-02-24"/>
    <x v="0"/>
    <n v="4036.47"/>
    <x v="1"/>
    <x v="15"/>
    <x v="0"/>
    <n v="2"/>
    <n v="0"/>
    <x v="3"/>
  </r>
  <r>
    <x v="1103"/>
    <s v="Sunita Joshi"/>
    <n v="54"/>
    <x v="2"/>
    <n v="126517"/>
    <n v="1000000"/>
    <n v="180"/>
    <n v="12.24"/>
    <s v="Vehicle Loan"/>
    <n v="546"/>
    <x v="282"/>
    <s v="2023-09-13"/>
    <x v="0"/>
    <n v="12156.52"/>
    <x v="1"/>
    <x v="10"/>
    <x v="2"/>
    <n v="6"/>
    <n v="0"/>
    <x v="0"/>
  </r>
  <r>
    <x v="1104"/>
    <s v="Pooja Singh"/>
    <n v="63"/>
    <x v="1"/>
    <n v="183211"/>
    <n v="400000"/>
    <n v="120"/>
    <n v="8.14"/>
    <s v="Business Expansion"/>
    <n v="580"/>
    <x v="492"/>
    <s v="2023-09-14"/>
    <x v="0"/>
    <n v="4882.74"/>
    <x v="3"/>
    <x v="7"/>
    <x v="2"/>
    <n v="0"/>
    <n v="0"/>
    <x v="3"/>
  </r>
  <r>
    <x v="1105"/>
    <s v="Kiran Shetty"/>
    <n v="55"/>
    <x v="3"/>
    <n v="189193"/>
    <n v="300000"/>
    <n v="120"/>
    <n v="19.649999999999999"/>
    <s v="Home Purchase"/>
    <n v="366"/>
    <x v="678"/>
    <s v="2022-07-06"/>
    <x v="0"/>
    <n v="5728.22"/>
    <x v="0"/>
    <x v="18"/>
    <x v="0"/>
    <n v="0"/>
    <n v="0"/>
    <x v="0"/>
  </r>
  <r>
    <x v="1106"/>
    <s v="Rajesh Menon"/>
    <n v="62"/>
    <x v="1"/>
    <n v="135677"/>
    <n v="75000"/>
    <n v="48"/>
    <n v="11.96"/>
    <s v="Personal"/>
    <n v="435"/>
    <x v="550"/>
    <s v="2022-08-19"/>
    <x v="2"/>
    <n v="1973.57"/>
    <x v="4"/>
    <x v="21"/>
    <x v="2"/>
    <n v="6"/>
    <n v="0"/>
    <x v="0"/>
  </r>
  <r>
    <x v="1107"/>
    <s v="Jyoti Jain"/>
    <n v="59"/>
    <x v="1"/>
    <n v="106451"/>
    <n v="2000000"/>
    <n v="240"/>
    <n v="14.02"/>
    <s v="Education"/>
    <n v="337"/>
    <x v="679"/>
    <s v="2022-04-02"/>
    <x v="0"/>
    <n v="24899.47"/>
    <x v="1"/>
    <x v="10"/>
    <x v="0"/>
    <n v="0"/>
    <n v="0"/>
    <x v="0"/>
  </r>
  <r>
    <x v="1108"/>
    <s v="Amit Rao"/>
    <n v="55"/>
    <x v="0"/>
    <n v="139573"/>
    <n v="100000"/>
    <n v="180"/>
    <n v="16.010000000000002"/>
    <s v="Medical"/>
    <n v="877"/>
    <x v="122"/>
    <s v="2021-08-26"/>
    <x v="0"/>
    <n v="1469.4"/>
    <x v="2"/>
    <x v="20"/>
    <x v="0"/>
    <n v="0"/>
    <n v="0"/>
    <x v="1"/>
  </r>
  <r>
    <x v="1109"/>
    <s v="Ashok Sharma"/>
    <n v="32"/>
    <x v="2"/>
    <n v="139648"/>
    <n v="250000"/>
    <n v="84"/>
    <n v="16.89"/>
    <s v="Vehicle Loan"/>
    <n v="491"/>
    <x v="315"/>
    <s v="2022-02-13"/>
    <x v="0"/>
    <n v="5093.07"/>
    <x v="4"/>
    <x v="23"/>
    <x v="0"/>
    <n v="0"/>
    <n v="0"/>
    <x v="0"/>
  </r>
  <r>
    <x v="1110"/>
    <s v="Nisha Pillai"/>
    <n v="58"/>
    <x v="0"/>
    <n v="49050"/>
    <n v="1000000"/>
    <n v="84"/>
    <n v="18.93"/>
    <s v="Home Purchase"/>
    <n v="392"/>
    <x v="158"/>
    <s v="2023-03-30"/>
    <x v="0"/>
    <n v="21566.44"/>
    <x v="4"/>
    <x v="9"/>
    <x v="0"/>
    <n v="1"/>
    <n v="0"/>
    <x v="0"/>
  </r>
  <r>
    <x v="1111"/>
    <s v="Siddharth Patel"/>
    <n v="36"/>
    <x v="4"/>
    <n v="61703"/>
    <n v="2000000"/>
    <n v="48"/>
    <n v="12.85"/>
    <s v="Medical"/>
    <n v="813"/>
    <x v="516"/>
    <s v="2023-04-01"/>
    <x v="0"/>
    <n v="53506.21"/>
    <x v="3"/>
    <x v="7"/>
    <x v="0"/>
    <n v="2"/>
    <n v="0"/>
    <x v="1"/>
  </r>
  <r>
    <x v="1112"/>
    <s v="Ravi Rao"/>
    <n v="60"/>
    <x v="2"/>
    <n v="146612"/>
    <n v="250000"/>
    <n v="180"/>
    <n v="17.82"/>
    <s v="Medical"/>
    <n v="414"/>
    <x v="320"/>
    <s v="2021-06-20"/>
    <x v="0"/>
    <n v="3993.72"/>
    <x v="0"/>
    <x v="2"/>
    <x v="3"/>
    <n v="2"/>
    <n v="0"/>
    <x v="0"/>
  </r>
  <r>
    <x v="1113"/>
    <s v="Rajesh Kulkarni"/>
    <n v="59"/>
    <x v="1"/>
    <n v="66803"/>
    <n v="500000"/>
    <n v="180"/>
    <n v="13.81"/>
    <s v="Agriculture"/>
    <n v="588"/>
    <x v="102"/>
    <s v="2023-01-26"/>
    <x v="0"/>
    <n v="6595"/>
    <x v="3"/>
    <x v="5"/>
    <x v="0"/>
    <n v="1"/>
    <n v="0"/>
    <x v="3"/>
  </r>
  <r>
    <x v="1114"/>
    <s v="Arjun Mishra"/>
    <n v="39"/>
    <x v="2"/>
    <n v="172045"/>
    <n v="2000000"/>
    <n v="84"/>
    <n v="8.91"/>
    <s v="Personal"/>
    <n v="318"/>
    <x v="135"/>
    <s v="2022-09-08"/>
    <x v="0"/>
    <n v="32086.880000000001"/>
    <x v="4"/>
    <x v="9"/>
    <x v="0"/>
    <n v="0"/>
    <n v="0"/>
    <x v="0"/>
  </r>
  <r>
    <x v="1115"/>
    <s v="Rekha Shetty"/>
    <n v="41"/>
    <x v="1"/>
    <n v="211832"/>
    <n v="250000"/>
    <n v="180"/>
    <n v="17.28"/>
    <s v="Home Purchase"/>
    <n v="459"/>
    <x v="640"/>
    <s v="2023-01-12"/>
    <x v="0"/>
    <n v="3897.23"/>
    <x v="1"/>
    <x v="15"/>
    <x v="2"/>
    <n v="2"/>
    <n v="0"/>
    <x v="0"/>
  </r>
  <r>
    <x v="1116"/>
    <s v="Divya Kaur"/>
    <n v="40"/>
    <x v="3"/>
    <n v="154635"/>
    <n v="250000"/>
    <n v="180"/>
    <n v="17.010000000000002"/>
    <s v="Vehicle Loan"/>
    <n v="692"/>
    <x v="680"/>
    <s v="2022-02-14"/>
    <x v="0"/>
    <n v="3849.28"/>
    <x v="1"/>
    <x v="10"/>
    <x v="2"/>
    <n v="6"/>
    <n v="0"/>
    <x v="2"/>
  </r>
  <r>
    <x v="1117"/>
    <s v="Deepa Shetty"/>
    <n v="23"/>
    <x v="4"/>
    <n v="246607"/>
    <n v="2000000"/>
    <n v="120"/>
    <n v="15.5"/>
    <s v="Personal"/>
    <n v="465"/>
    <x v="7"/>
    <s v="2022-05-14"/>
    <x v="0"/>
    <n v="32882.11"/>
    <x v="2"/>
    <x v="6"/>
    <x v="0"/>
    <n v="2"/>
    <n v="0"/>
    <x v="0"/>
  </r>
  <r>
    <x v="1118"/>
    <s v="Manoj Das"/>
    <n v="56"/>
    <x v="3"/>
    <n v="202641"/>
    <n v="2000000"/>
    <n v="240"/>
    <n v="17.86"/>
    <s v="Agriculture"/>
    <n v="792"/>
    <x v="208"/>
    <s v="2021-04-06"/>
    <x v="1"/>
    <n v="30650.92"/>
    <x v="3"/>
    <x v="12"/>
    <x v="2"/>
    <n v="12"/>
    <n v="0"/>
    <x v="1"/>
  </r>
  <r>
    <x v="1119"/>
    <s v="Pallavi Gupta"/>
    <n v="58"/>
    <x v="1"/>
    <n v="139593"/>
    <n v="1500000"/>
    <n v="180"/>
    <n v="17.260000000000002"/>
    <s v="Education"/>
    <n v="431"/>
    <x v="305"/>
    <s v="2022-07-04"/>
    <x v="0"/>
    <n v="23362.03"/>
    <x v="0"/>
    <x v="18"/>
    <x v="0"/>
    <n v="1"/>
    <n v="0"/>
    <x v="0"/>
  </r>
  <r>
    <x v="1120"/>
    <s v="Ajay Sharma"/>
    <n v="59"/>
    <x v="2"/>
    <n v="240742"/>
    <n v="75000"/>
    <n v="180"/>
    <n v="18.77"/>
    <s v="Personal"/>
    <n v="767"/>
    <x v="681"/>
    <s v="2022-07-27"/>
    <x v="0"/>
    <n v="1249.5899999999999"/>
    <x v="3"/>
    <x v="12"/>
    <x v="2"/>
    <n v="12"/>
    <n v="0"/>
    <x v="1"/>
  </r>
  <r>
    <x v="1121"/>
    <s v="Tarun Dubey"/>
    <n v="29"/>
    <x v="0"/>
    <n v="142816"/>
    <n v="50000"/>
    <n v="84"/>
    <n v="20.45"/>
    <s v="Agriculture"/>
    <n v="807"/>
    <x v="31"/>
    <s v="2022-09-22"/>
    <x v="2"/>
    <n v="1123.9000000000001"/>
    <x v="0"/>
    <x v="0"/>
    <x v="0"/>
    <n v="0"/>
    <n v="0"/>
    <x v="1"/>
  </r>
  <r>
    <x v="1122"/>
    <s v="Pallavi Das"/>
    <n v="40"/>
    <x v="1"/>
    <m/>
    <n v="250000"/>
    <n v="120"/>
    <n v="18.97"/>
    <s v="Medical"/>
    <n v="871"/>
    <x v="243"/>
    <s v="2023-11-14"/>
    <x v="1"/>
    <n v="4661.91"/>
    <x v="1"/>
    <x v="3"/>
    <x v="0"/>
    <n v="0"/>
    <n v="0"/>
    <x v="1"/>
  </r>
  <r>
    <x v="1123"/>
    <s v="Pooja Iyer"/>
    <n v="26"/>
    <x v="0"/>
    <n v="57052"/>
    <n v="250000"/>
    <n v="180"/>
    <n v="21.15"/>
    <s v="Agriculture"/>
    <n v="347"/>
    <x v="12"/>
    <s v="2023-02-12"/>
    <x v="0"/>
    <n v="4604.58"/>
    <x v="2"/>
    <x v="4"/>
    <x v="0"/>
    <n v="0"/>
    <n v="0"/>
    <x v="0"/>
  </r>
  <r>
    <x v="1124"/>
    <s v="Rohit Malhotra"/>
    <n v="31"/>
    <x v="0"/>
    <n v="169614"/>
    <n v="200000"/>
    <n v="48"/>
    <n v="15.65"/>
    <s v="Agriculture"/>
    <n v="551"/>
    <x v="193"/>
    <s v="2022-07-08"/>
    <x v="1"/>
    <n v="5632.27"/>
    <x v="4"/>
    <x v="24"/>
    <x v="0"/>
    <n v="2"/>
    <n v="0"/>
    <x v="3"/>
  </r>
  <r>
    <x v="1125"/>
    <s v="Varsha Tiwari"/>
    <n v="39"/>
    <x v="2"/>
    <n v="133302"/>
    <n v="1500000"/>
    <n v="36"/>
    <n v="16.93"/>
    <s v="Vehicle Loan"/>
    <n v="486"/>
    <x v="618"/>
    <s v="2023-06-08"/>
    <x v="2"/>
    <n v="53426.85"/>
    <x v="1"/>
    <x v="11"/>
    <x v="0"/>
    <n v="1"/>
    <n v="0"/>
    <x v="0"/>
  </r>
  <r>
    <x v="1126"/>
    <s v="Harish Rao"/>
    <n v="27"/>
    <x v="0"/>
    <n v="147829"/>
    <n v="750000"/>
    <n v="240"/>
    <n v="9.26"/>
    <s v="Personal"/>
    <n v="423"/>
    <x v="288"/>
    <s v="2022-10-27"/>
    <x v="1"/>
    <n v="6873.86"/>
    <x v="2"/>
    <x v="20"/>
    <x v="3"/>
    <n v="1"/>
    <n v="0"/>
    <x v="0"/>
  </r>
  <r>
    <x v="1127"/>
    <s v="Meena Verma"/>
    <n v="33"/>
    <x v="4"/>
    <n v="17431"/>
    <n v="100000"/>
    <n v="240"/>
    <n v="9.76"/>
    <s v="Agriculture"/>
    <n v="339"/>
    <x v="443"/>
    <s v="2022-09-07"/>
    <x v="2"/>
    <n v="949.17"/>
    <x v="3"/>
    <x v="7"/>
    <x v="0"/>
    <n v="0"/>
    <n v="0"/>
    <x v="0"/>
  </r>
  <r>
    <x v="1128"/>
    <s v="Bhavna Malhotra"/>
    <n v="32"/>
    <x v="2"/>
    <n v="60198"/>
    <n v="100000"/>
    <n v="240"/>
    <n v="21.5"/>
    <s v="Education"/>
    <n v="673"/>
    <x v="682"/>
    <s v="2022-03-06"/>
    <x v="0"/>
    <n v="1817.28"/>
    <x v="3"/>
    <x v="17"/>
    <x v="3"/>
    <n v="0"/>
    <n v="0"/>
    <x v="2"/>
  </r>
  <r>
    <x v="1129"/>
    <s v="Naveen Sharma"/>
    <n v="41"/>
    <x v="2"/>
    <n v="138073"/>
    <n v="200000"/>
    <n v="36"/>
    <n v="12.18"/>
    <s v="Medical"/>
    <n v="398"/>
    <x v="683"/>
    <s v="2022-02-13"/>
    <x v="0"/>
    <n v="6660.07"/>
    <x v="2"/>
    <x v="4"/>
    <x v="2"/>
    <n v="11"/>
    <n v="0"/>
    <x v="0"/>
  </r>
  <r>
    <x v="1130"/>
    <s v="Lakshmi Shah"/>
    <n v="38"/>
    <x v="1"/>
    <n v="226547"/>
    <n v="400000"/>
    <n v="240"/>
    <n v="14.12"/>
    <s v="Vehicle Loan"/>
    <n v="650"/>
    <x v="684"/>
    <s v="2023-02-04"/>
    <x v="2"/>
    <n v="5008.9799999999996"/>
    <x v="1"/>
    <x v="11"/>
    <x v="4"/>
    <n v="0"/>
    <n v="0"/>
    <x v="2"/>
  </r>
  <r>
    <x v="1131"/>
    <s v="Komal Patel"/>
    <n v="56"/>
    <x v="0"/>
    <n v="39794"/>
    <n v="150000"/>
    <n v="180"/>
    <n v="19.54"/>
    <s v="Vehicle Loan"/>
    <n v="863"/>
    <x v="685"/>
    <s v="2023-08-01"/>
    <x v="0"/>
    <n v="2583.61"/>
    <x v="4"/>
    <x v="9"/>
    <x v="0"/>
    <n v="1"/>
    <n v="0"/>
    <x v="1"/>
  </r>
  <r>
    <x v="1132"/>
    <s v="Madhuri Reddy"/>
    <n v="56"/>
    <x v="1"/>
    <n v="156415"/>
    <n v="150000"/>
    <n v="240"/>
    <n v="9.92"/>
    <s v="Education"/>
    <n v="402"/>
    <x v="686"/>
    <s v="2021-11-28"/>
    <x v="0"/>
    <n v="1439.59"/>
    <x v="0"/>
    <x v="18"/>
    <x v="2"/>
    <n v="3"/>
    <n v="0"/>
    <x v="0"/>
  </r>
  <r>
    <x v="1133"/>
    <s v="Kiran Malhotra"/>
    <n v="47"/>
    <x v="4"/>
    <n v="65691"/>
    <n v="150000"/>
    <n v="84"/>
    <n v="8.52"/>
    <s v="Business Expansion"/>
    <n v="443"/>
    <x v="448"/>
    <s v="2021-11-16"/>
    <x v="0"/>
    <n v="2376.98"/>
    <x v="2"/>
    <x v="19"/>
    <x v="0"/>
    <n v="2"/>
    <n v="0"/>
    <x v="0"/>
  </r>
  <r>
    <x v="1134"/>
    <s v="Kavitha Yadav"/>
    <n v="31"/>
    <x v="3"/>
    <n v="245746"/>
    <n v="2000000"/>
    <n v="84"/>
    <n v="20.190000000000001"/>
    <s v="Home Purchase"/>
    <n v="690"/>
    <x v="403"/>
    <s v="2023-06-13"/>
    <x v="2"/>
    <n v="44641.49"/>
    <x v="4"/>
    <x v="21"/>
    <x v="0"/>
    <n v="2"/>
    <n v="0"/>
    <x v="2"/>
  </r>
  <r>
    <x v="1135"/>
    <s v="Suresh Rao"/>
    <n v="37"/>
    <x v="1"/>
    <n v="167075"/>
    <n v="1000000"/>
    <n v="120"/>
    <n v="19.32"/>
    <s v="Home Purchase"/>
    <n v="655"/>
    <x v="215"/>
    <s v="2023-12-11"/>
    <x v="1"/>
    <n v="18876.87"/>
    <x v="2"/>
    <x v="4"/>
    <x v="0"/>
    <n v="2"/>
    <n v="0"/>
    <x v="2"/>
  </r>
  <r>
    <x v="1136"/>
    <s v="Ravi Jain"/>
    <n v="65"/>
    <x v="1"/>
    <n v="107373"/>
    <n v="150000"/>
    <n v="60"/>
    <n v="13.97"/>
    <s v="Home Purchase"/>
    <n v="632"/>
    <x v="111"/>
    <s v="2021-12-04"/>
    <x v="2"/>
    <n v="3487.91"/>
    <x v="2"/>
    <x v="6"/>
    <x v="2"/>
    <n v="12"/>
    <n v="0"/>
    <x v="3"/>
  </r>
  <r>
    <x v="1137"/>
    <s v="Nisha Iyer"/>
    <n v="27"/>
    <x v="2"/>
    <n v="97031"/>
    <n v="750000"/>
    <n v="180"/>
    <n v="16.77"/>
    <s v="Debt Consolidation"/>
    <n v="507"/>
    <x v="468"/>
    <s v="2023-06-30"/>
    <x v="0"/>
    <n v="11420.5"/>
    <x v="4"/>
    <x v="16"/>
    <x v="0"/>
    <n v="1"/>
    <n v="0"/>
    <x v="0"/>
  </r>
  <r>
    <x v="1138"/>
    <s v="Rajesh Banerjee"/>
    <n v="37"/>
    <x v="3"/>
    <n v="239796"/>
    <n v="750000"/>
    <n v="180"/>
    <n v="19.649999999999999"/>
    <s v="Debt Consolidation"/>
    <n v="869"/>
    <x v="315"/>
    <s v="2022-02-16"/>
    <x v="0"/>
    <n v="12978.7"/>
    <x v="1"/>
    <x v="15"/>
    <x v="0"/>
    <n v="0"/>
    <n v="0"/>
    <x v="1"/>
  </r>
  <r>
    <x v="1139"/>
    <s v="Madhuri Kaur"/>
    <n v="62"/>
    <x v="4"/>
    <n v="247942"/>
    <n v="300000"/>
    <n v="60"/>
    <n v="17.75"/>
    <s v="Medical"/>
    <n v="569"/>
    <x v="308"/>
    <s v="2022-05-09"/>
    <x v="0"/>
    <n v="7577.29"/>
    <x v="2"/>
    <x v="6"/>
    <x v="2"/>
    <n v="5"/>
    <n v="0"/>
    <x v="3"/>
  </r>
  <r>
    <x v="1140"/>
    <s v="Naveen Chaudhary"/>
    <n v="44"/>
    <x v="4"/>
    <n v="230240"/>
    <n v="150000"/>
    <n v="180"/>
    <n v="11.4"/>
    <s v="Home Purchase"/>
    <n v="771"/>
    <x v="383"/>
    <s v="2023-06-18"/>
    <x v="0"/>
    <n v="1742.76"/>
    <x v="1"/>
    <x v="10"/>
    <x v="1"/>
    <n v="7"/>
    <n v="0"/>
    <x v="1"/>
  </r>
  <r>
    <x v="1141"/>
    <s v="Ajay Malhotra"/>
    <n v="31"/>
    <x v="4"/>
    <n v="193604"/>
    <n v="750000"/>
    <n v="84"/>
    <n v="20.010000000000002"/>
    <s v="Home Purchase"/>
    <n v="666"/>
    <x v="40"/>
    <s v="2021-05-30"/>
    <x v="0"/>
    <n v="16659.169999999998"/>
    <x v="1"/>
    <x v="1"/>
    <x v="0"/>
    <n v="0"/>
    <n v="0"/>
    <x v="2"/>
  </r>
  <r>
    <x v="1142"/>
    <s v="Vikram Shah"/>
    <n v="34"/>
    <x v="4"/>
    <n v="145600"/>
    <n v="100000"/>
    <n v="240"/>
    <n v="10.67"/>
    <s v="Medical"/>
    <n v="399"/>
    <x v="132"/>
    <s v="2022-01-15"/>
    <x v="0"/>
    <n v="1009.83"/>
    <x v="0"/>
    <x v="18"/>
    <x v="0"/>
    <n v="1"/>
    <n v="0"/>
    <x v="0"/>
  </r>
  <r>
    <x v="1143"/>
    <s v="Shweta Shetty"/>
    <n v="31"/>
    <x v="0"/>
    <n v="229325"/>
    <n v="400000"/>
    <n v="48"/>
    <n v="19.010000000000002"/>
    <s v="Home Purchase"/>
    <n v="666"/>
    <x v="687"/>
    <s v="2021-08-21"/>
    <x v="0"/>
    <n v="11962.16"/>
    <x v="3"/>
    <x v="14"/>
    <x v="0"/>
    <n v="2"/>
    <n v="0"/>
    <x v="2"/>
  </r>
  <r>
    <x v="1144"/>
    <s v="Madhuri Nair"/>
    <n v="64"/>
    <x v="0"/>
    <n v="153238"/>
    <n v="750000"/>
    <n v="240"/>
    <n v="15.06"/>
    <s v="Personal"/>
    <n v="589"/>
    <x v="248"/>
    <s v="2022-02-22"/>
    <x v="0"/>
    <n v="9909.19"/>
    <x v="4"/>
    <x v="9"/>
    <x v="1"/>
    <n v="7"/>
    <n v="0"/>
    <x v="3"/>
  </r>
  <r>
    <x v="1145"/>
    <s v="Rajesh Malhotra"/>
    <n v="48"/>
    <x v="2"/>
    <n v="87898"/>
    <n v="150000"/>
    <n v="180"/>
    <n v="11.17"/>
    <s v="Home Purchase"/>
    <n v="704"/>
    <x v="331"/>
    <s v="2022-04-07"/>
    <x v="0"/>
    <n v="1720.94"/>
    <x v="3"/>
    <x v="14"/>
    <x v="1"/>
    <n v="2"/>
    <n v="0"/>
    <x v="2"/>
  </r>
  <r>
    <x v="1146"/>
    <s v="Kavitha Chaudhary"/>
    <n v="24"/>
    <x v="2"/>
    <n v="63359"/>
    <n v="75000"/>
    <n v="24"/>
    <n v="11.01"/>
    <s v="Medical"/>
    <n v="748"/>
    <x v="688"/>
    <s v="2021-04-19"/>
    <x v="0"/>
    <n v="3495.94"/>
    <x v="0"/>
    <x v="2"/>
    <x v="0"/>
    <n v="2"/>
    <n v="0"/>
    <x v="2"/>
  </r>
  <r>
    <x v="1147"/>
    <s v="Sarala Gupta"/>
    <n v="31"/>
    <x v="4"/>
    <n v="98244"/>
    <n v="50000"/>
    <n v="24"/>
    <n v="17.43"/>
    <s v="Debt Consolidation"/>
    <n v="830"/>
    <x v="429"/>
    <s v="2022-01-09"/>
    <x v="0"/>
    <n v="2482.46"/>
    <x v="1"/>
    <x v="1"/>
    <x v="0"/>
    <n v="2"/>
    <n v="0"/>
    <x v="1"/>
  </r>
  <r>
    <x v="1148"/>
    <s v="Suresh Gupta"/>
    <n v="31"/>
    <x v="0"/>
    <n v="123838"/>
    <n v="75000"/>
    <n v="240"/>
    <n v="20.7"/>
    <s v="Debt Consolidation"/>
    <n v="462"/>
    <x v="689"/>
    <s v="2022-08-24"/>
    <x v="0"/>
    <n v="1315.45"/>
    <x v="1"/>
    <x v="15"/>
    <x v="1"/>
    <n v="10"/>
    <n v="0"/>
    <x v="0"/>
  </r>
  <r>
    <x v="1149"/>
    <s v="Abhishek Shetty"/>
    <n v="50"/>
    <x v="4"/>
    <n v="164922"/>
    <n v="100000"/>
    <n v="180"/>
    <n v="20.46"/>
    <s v="Agriculture"/>
    <n v="880"/>
    <x v="390"/>
    <s v="2021-05-30"/>
    <x v="0"/>
    <n v="1790.37"/>
    <x v="4"/>
    <x v="23"/>
    <x v="0"/>
    <n v="0"/>
    <n v="0"/>
    <x v="1"/>
  </r>
  <r>
    <x v="1150"/>
    <s v="Rani Malhotra"/>
    <n v="32"/>
    <x v="1"/>
    <n v="238150"/>
    <n v="200000"/>
    <n v="48"/>
    <n v="14.94"/>
    <s v="Home Purchase"/>
    <n v="801"/>
    <x v="690"/>
    <s v="2022-05-30"/>
    <x v="2"/>
    <n v="5560.07"/>
    <x v="4"/>
    <x v="9"/>
    <x v="0"/>
    <n v="0"/>
    <n v="0"/>
    <x v="1"/>
  </r>
  <r>
    <x v="1151"/>
    <s v="Ajay Patel"/>
    <n v="41"/>
    <x v="2"/>
    <n v="67335"/>
    <n v="400000"/>
    <n v="120"/>
    <n v="13.13"/>
    <s v="Business Expansion"/>
    <n v="684"/>
    <x v="691"/>
    <s v="2023-06-05"/>
    <x v="0"/>
    <n v="6003.14"/>
    <x v="4"/>
    <x v="23"/>
    <x v="3"/>
    <n v="2"/>
    <n v="0"/>
    <x v="2"/>
  </r>
  <r>
    <x v="1152"/>
    <s v="Priya Dubey"/>
    <n v="45"/>
    <x v="2"/>
    <n v="79516"/>
    <n v="150000"/>
    <n v="84"/>
    <n v="17.48"/>
    <s v="Medical"/>
    <n v="787"/>
    <x v="322"/>
    <s v="2022-12-05"/>
    <x v="0"/>
    <n v="3107.12"/>
    <x v="4"/>
    <x v="24"/>
    <x v="0"/>
    <n v="1"/>
    <n v="0"/>
    <x v="1"/>
  </r>
  <r>
    <x v="1153"/>
    <s v="Sunita Saxena"/>
    <n v="37"/>
    <x v="0"/>
    <n v="180955"/>
    <n v="50000"/>
    <n v="84"/>
    <n v="12.66"/>
    <s v="Agriculture"/>
    <n v="875"/>
    <x v="692"/>
    <s v="2022-10-28"/>
    <x v="2"/>
    <n v="900.38"/>
    <x v="0"/>
    <x v="22"/>
    <x v="2"/>
    <n v="5"/>
    <n v="0"/>
    <x v="1"/>
  </r>
  <r>
    <x v="1154"/>
    <s v="Abhishek Sharma"/>
    <n v="41"/>
    <x v="1"/>
    <n v="68540"/>
    <n v="100000"/>
    <n v="60"/>
    <n v="7.87"/>
    <s v="Debt Consolidation"/>
    <n v="380"/>
    <x v="693"/>
    <s v="2021-11-16"/>
    <x v="0"/>
    <n v="2021.42"/>
    <x v="4"/>
    <x v="16"/>
    <x v="2"/>
    <n v="12"/>
    <n v="0"/>
    <x v="0"/>
  </r>
  <r>
    <x v="1155"/>
    <s v="Tarun Nayak"/>
    <n v="57"/>
    <x v="0"/>
    <n v="170672"/>
    <n v="400000"/>
    <n v="84"/>
    <n v="9.06"/>
    <s v="Business Expansion"/>
    <n v="766"/>
    <x v="397"/>
    <s v="2023-07-30"/>
    <x v="0"/>
    <n v="6447.82"/>
    <x v="4"/>
    <x v="9"/>
    <x v="0"/>
    <n v="2"/>
    <n v="0"/>
    <x v="1"/>
  </r>
  <r>
    <x v="1156"/>
    <s v="Ravi Chaudhary"/>
    <n v="37"/>
    <x v="3"/>
    <n v="184019"/>
    <n v="1000000"/>
    <n v="240"/>
    <n v="7.85"/>
    <s v="Personal"/>
    <n v="790"/>
    <x v="410"/>
    <s v="2022-04-29"/>
    <x v="2"/>
    <n v="8271.2900000000009"/>
    <x v="3"/>
    <x v="5"/>
    <x v="0"/>
    <n v="0"/>
    <n v="0"/>
    <x v="1"/>
  </r>
  <r>
    <x v="1157"/>
    <s v="Ravi Kaur"/>
    <n v="29"/>
    <x v="1"/>
    <n v="133397"/>
    <n v="50000"/>
    <n v="180"/>
    <n v="16.25"/>
    <s v="Debt Consolidation"/>
    <n v="509"/>
    <x v="694"/>
    <s v="2021-09-02"/>
    <x v="1"/>
    <n v="743.08"/>
    <x v="0"/>
    <x v="8"/>
    <x v="1"/>
    <n v="0"/>
    <n v="0"/>
    <x v="0"/>
  </r>
  <r>
    <x v="1158"/>
    <s v="Rekha Pillai"/>
    <n v="58"/>
    <x v="1"/>
    <n v="233347"/>
    <n v="1500000"/>
    <n v="48"/>
    <n v="20.36"/>
    <s v="Business Expansion"/>
    <n v="669"/>
    <x v="695"/>
    <s v="2022-05-07"/>
    <x v="0"/>
    <n v="45933.75"/>
    <x v="2"/>
    <x v="19"/>
    <x v="0"/>
    <n v="2"/>
    <n v="0"/>
    <x v="2"/>
  </r>
  <r>
    <x v="1159"/>
    <s v="Naveen Gupta"/>
    <n v="53"/>
    <x v="0"/>
    <n v="162018"/>
    <n v="750000"/>
    <n v="60"/>
    <n v="19.03"/>
    <s v="Personal"/>
    <n v="379"/>
    <x v="696"/>
    <s v="2021-03-27"/>
    <x v="0"/>
    <n v="19467.8"/>
    <x v="1"/>
    <x v="1"/>
    <x v="0"/>
    <n v="0"/>
    <n v="0"/>
    <x v="0"/>
  </r>
  <r>
    <x v="1160"/>
    <s v="Sunita Sharma"/>
    <n v="39"/>
    <x v="3"/>
    <n v="94546"/>
    <n v="400000"/>
    <n v="120"/>
    <n v="18.07"/>
    <s v="Education"/>
    <n v="399"/>
    <x v="378"/>
    <s v="2022-02-11"/>
    <x v="0"/>
    <n v="7225.44"/>
    <x v="3"/>
    <x v="12"/>
    <x v="2"/>
    <n v="3"/>
    <n v="0"/>
    <x v="0"/>
  </r>
  <r>
    <x v="1161"/>
    <s v="Siddharth Kaur"/>
    <n v="36"/>
    <x v="4"/>
    <n v="107047"/>
    <n v="1500000"/>
    <n v="120"/>
    <n v="17.47"/>
    <s v="Vehicle Loan"/>
    <n v="531"/>
    <x v="409"/>
    <s v="2022-02-15"/>
    <x v="2"/>
    <n v="26518.080000000002"/>
    <x v="2"/>
    <x v="13"/>
    <x v="3"/>
    <n v="2"/>
    <n v="0"/>
    <x v="0"/>
  </r>
  <r>
    <x v="1162"/>
    <s v="Anil Kulkarni"/>
    <n v="65"/>
    <x v="4"/>
    <n v="236652"/>
    <n v="400000"/>
    <n v="48"/>
    <n v="17.850000000000001"/>
    <s v="Vehicle Loan"/>
    <n v="403"/>
    <x v="558"/>
    <s v="2021-03-07"/>
    <x v="1"/>
    <n v="11718.67"/>
    <x v="0"/>
    <x v="0"/>
    <x v="2"/>
    <n v="2"/>
    <n v="0"/>
    <x v="0"/>
  </r>
  <r>
    <x v="1163"/>
    <s v="Jyoti Shetty"/>
    <n v="49"/>
    <x v="3"/>
    <n v="200705"/>
    <n v="500000"/>
    <n v="84"/>
    <n v="16.71"/>
    <s v="Vehicle Loan"/>
    <n v="728"/>
    <x v="697"/>
    <s v="2023-05-20"/>
    <x v="0"/>
    <n v="10134.280000000001"/>
    <x v="2"/>
    <x v="19"/>
    <x v="0"/>
    <n v="1"/>
    <n v="0"/>
    <x v="2"/>
  </r>
  <r>
    <x v="1164"/>
    <s v="Vikram Nair"/>
    <n v="38"/>
    <x v="1"/>
    <n v="139420"/>
    <n v="300000"/>
    <n v="240"/>
    <n v="20.83"/>
    <s v="Education"/>
    <n v="423"/>
    <x v="586"/>
    <s v="2022-02-11"/>
    <x v="2"/>
    <n v="5292.6"/>
    <x v="3"/>
    <x v="17"/>
    <x v="0"/>
    <n v="0"/>
    <n v="0"/>
    <x v="0"/>
  </r>
  <r>
    <x v="1165"/>
    <s v="Siddharth Joshi"/>
    <n v="54"/>
    <x v="0"/>
    <n v="240754"/>
    <n v="2000000"/>
    <n v="24"/>
    <n v="14.43"/>
    <s v="Vehicle Loan"/>
    <s v="Not Available"/>
    <x v="392"/>
    <s v="2023-05-26"/>
    <x v="0"/>
    <n v="96432.54"/>
    <x v="0"/>
    <x v="0"/>
    <x v="2"/>
    <n v="10"/>
    <n v="0"/>
    <x v="4"/>
  </r>
  <r>
    <x v="1166"/>
    <s v="Tarun Shetty"/>
    <n v="36"/>
    <x v="1"/>
    <n v="121533"/>
    <n v="50000"/>
    <n v="120"/>
    <n v="8.1199999999999992"/>
    <s v="Medical"/>
    <n v="704"/>
    <x v="218"/>
    <s v="2023-02-20"/>
    <x v="0"/>
    <n v="609.80999999999995"/>
    <x v="3"/>
    <x v="17"/>
    <x v="3"/>
    <n v="2"/>
    <n v="0"/>
    <x v="2"/>
  </r>
  <r>
    <x v="1167"/>
    <s v="Ramesh Chaudhary"/>
    <n v="30"/>
    <x v="2"/>
    <n v="176191"/>
    <n v="2000000"/>
    <n v="240"/>
    <n v="20.39"/>
    <s v="Education"/>
    <n v="547"/>
    <x v="483"/>
    <s v="2021-06-19"/>
    <x v="2"/>
    <n v="34589.75"/>
    <x v="1"/>
    <x v="15"/>
    <x v="2"/>
    <n v="4"/>
    <n v="0"/>
    <x v="0"/>
  </r>
  <r>
    <x v="1168"/>
    <s v="Dinesh Deshpande"/>
    <n v="41"/>
    <x v="2"/>
    <n v="149070"/>
    <n v="400000"/>
    <n v="120"/>
    <n v="18.48"/>
    <s v="Education"/>
    <n v="780"/>
    <x v="89"/>
    <s v="2022-12-23"/>
    <x v="0"/>
    <n v="7331.47"/>
    <x v="4"/>
    <x v="21"/>
    <x v="1"/>
    <n v="11"/>
    <n v="0"/>
    <x v="1"/>
  </r>
  <r>
    <x v="1169"/>
    <s v="Pooja Verma"/>
    <n v="40"/>
    <x v="0"/>
    <n v="114468"/>
    <n v="750000"/>
    <n v="180"/>
    <n v="21.43"/>
    <s v="Personal"/>
    <n v="366"/>
    <x v="698"/>
    <s v="2022-12-22"/>
    <x v="0"/>
    <n v="13971.2"/>
    <x v="2"/>
    <x v="19"/>
    <x v="0"/>
    <n v="1"/>
    <n v="0"/>
    <x v="0"/>
  </r>
  <r>
    <x v="1170"/>
    <s v="Harish Patel"/>
    <n v="53"/>
    <x v="2"/>
    <n v="204839"/>
    <n v="400000"/>
    <n v="120"/>
    <n v="8.8000000000000007"/>
    <s v="Business Expansion"/>
    <n v="656"/>
    <x v="381"/>
    <s v="2022-07-05"/>
    <x v="0"/>
    <n v="5023.84"/>
    <x v="0"/>
    <x v="22"/>
    <x v="3"/>
    <n v="1"/>
    <n v="0"/>
    <x v="2"/>
  </r>
  <r>
    <x v="1171"/>
    <s v="Dinesh Kaur"/>
    <n v="55"/>
    <x v="2"/>
    <n v="184699"/>
    <n v="500000"/>
    <n v="84"/>
    <n v="18.899999999999999"/>
    <s v="Debt Consolidation"/>
    <n v="557"/>
    <x v="699"/>
    <s v="2023-10-28"/>
    <x v="2"/>
    <n v="10774.32"/>
    <x v="1"/>
    <x v="10"/>
    <x v="5"/>
    <n v="2"/>
    <n v="0"/>
    <x v="3"/>
  </r>
  <r>
    <x v="1172"/>
    <s v="Madhuri Shetty"/>
    <n v="23"/>
    <x v="2"/>
    <n v="120752"/>
    <n v="250000"/>
    <n v="180"/>
    <n v="12.53"/>
    <s v="Medical"/>
    <n v="591"/>
    <x v="658"/>
    <s v="2021-09-27"/>
    <x v="1"/>
    <n v="3086.19"/>
    <x v="4"/>
    <x v="21"/>
    <x v="0"/>
    <n v="2"/>
    <n v="0"/>
    <x v="3"/>
  </r>
  <r>
    <x v="1173"/>
    <s v="Jyoti Tiwari"/>
    <n v="54"/>
    <x v="3"/>
    <n v="189671"/>
    <n v="2000000"/>
    <n v="240"/>
    <n v="18.07"/>
    <s v="Vehicle Loan"/>
    <n v="457"/>
    <x v="700"/>
    <s v="2023-07-16"/>
    <x v="0"/>
    <n v="30974.01"/>
    <x v="2"/>
    <x v="6"/>
    <x v="0"/>
    <n v="2"/>
    <n v="0"/>
    <x v="0"/>
  </r>
  <r>
    <x v="1174"/>
    <s v="Komal Iyer"/>
    <n v="53"/>
    <x v="4"/>
    <n v="73665"/>
    <n v="1500000"/>
    <n v="60"/>
    <n v="7.96"/>
    <s v="Medical"/>
    <n v="466"/>
    <x v="660"/>
    <s v="2023-11-21"/>
    <x v="0"/>
    <n v="30385.88"/>
    <x v="2"/>
    <x v="4"/>
    <x v="2"/>
    <n v="5"/>
    <n v="0"/>
    <x v="0"/>
  </r>
  <r>
    <x v="1175"/>
    <s v="Divya Malhotra"/>
    <n v="24"/>
    <x v="3"/>
    <n v="180553"/>
    <n v="250000"/>
    <n v="84"/>
    <n v="19.100000000000001"/>
    <s v="Medical"/>
    <n v="645"/>
    <x v="701"/>
    <s v="2022-02-27"/>
    <x v="0"/>
    <n v="5416.87"/>
    <x v="3"/>
    <x v="5"/>
    <x v="0"/>
    <n v="1"/>
    <n v="0"/>
    <x v="3"/>
  </r>
  <r>
    <x v="1176"/>
    <s v="Meena Kulkarni"/>
    <n v="65"/>
    <x v="4"/>
    <n v="86682"/>
    <n v="500000"/>
    <n v="120"/>
    <n v="20.399999999999999"/>
    <s v="Personal"/>
    <n v="745"/>
    <x v="115"/>
    <s v="2022-09-07"/>
    <x v="2"/>
    <n v="9795.76"/>
    <x v="3"/>
    <x v="14"/>
    <x v="0"/>
    <n v="2"/>
    <n v="0"/>
    <x v="2"/>
  </r>
  <r>
    <x v="1177"/>
    <s v="Ravi Chatterjee"/>
    <n v="63"/>
    <x v="3"/>
    <n v="229102"/>
    <n v="150000"/>
    <n v="60"/>
    <n v="13.22"/>
    <s v="Home Purchase"/>
    <n v="843"/>
    <x v="87"/>
    <s v="2023-07-20"/>
    <x v="2"/>
    <n v="3429.88"/>
    <x v="0"/>
    <x v="8"/>
    <x v="2"/>
    <n v="3"/>
    <n v="0"/>
    <x v="1"/>
  </r>
  <r>
    <x v="1178"/>
    <s v="Pooja Shah"/>
    <n v="29"/>
    <x v="2"/>
    <n v="103481"/>
    <n v="75000"/>
    <n v="240"/>
    <n v="18.61"/>
    <s v="Agriculture"/>
    <n v="823"/>
    <x v="530"/>
    <s v="2022-08-21"/>
    <x v="2"/>
    <n v="1192.81"/>
    <x v="3"/>
    <x v="14"/>
    <x v="2"/>
    <n v="10"/>
    <n v="0"/>
    <x v="1"/>
  </r>
  <r>
    <x v="1179"/>
    <s v="Madhuri Rao"/>
    <n v="59"/>
    <x v="0"/>
    <n v="139106"/>
    <n v="400000"/>
    <n v="240"/>
    <n v="21.94"/>
    <s v="Medical"/>
    <n v="422"/>
    <x v="702"/>
    <s v="2022-10-22"/>
    <x v="0"/>
    <n v="7409.12"/>
    <x v="1"/>
    <x v="1"/>
    <x v="2"/>
    <n v="12"/>
    <n v="0"/>
    <x v="0"/>
  </r>
  <r>
    <x v="1180"/>
    <s v="Pooja Chatterjee"/>
    <n v="57"/>
    <x v="4"/>
    <n v="240247"/>
    <n v="75000"/>
    <n v="240"/>
    <n v="21.06"/>
    <s v="Business Expansion"/>
    <n v="865"/>
    <x v="220"/>
    <s v="2021-04-06"/>
    <x v="0"/>
    <n v="1336.79"/>
    <x v="4"/>
    <x v="21"/>
    <x v="2"/>
    <n v="6"/>
    <n v="0"/>
    <x v="1"/>
  </r>
  <r>
    <x v="1181"/>
    <s v="Komal Kapoor"/>
    <n v="22"/>
    <x v="3"/>
    <n v="121311"/>
    <n v="750000"/>
    <n v="48"/>
    <n v="18.329999999999998"/>
    <s v="Education"/>
    <n v="890"/>
    <x v="219"/>
    <s v="2022-06-01"/>
    <x v="0"/>
    <n v="22160.79"/>
    <x v="0"/>
    <x v="18"/>
    <x v="0"/>
    <n v="0"/>
    <n v="0"/>
    <x v="1"/>
  </r>
  <r>
    <x v="1182"/>
    <s v="Kavitha Sharma"/>
    <n v="48"/>
    <x v="3"/>
    <n v="104484"/>
    <n v="150000"/>
    <n v="180"/>
    <n v="9.59"/>
    <s v="Vehicle Loan"/>
    <n v="677"/>
    <x v="703"/>
    <s v="2023-12-23"/>
    <x v="1"/>
    <n v="1574.49"/>
    <x v="4"/>
    <x v="16"/>
    <x v="0"/>
    <n v="1"/>
    <n v="0"/>
    <x v="2"/>
  </r>
  <r>
    <x v="1183"/>
    <s v="Ganesh Nayak"/>
    <n v="39"/>
    <x v="0"/>
    <n v="140920"/>
    <n v="150000"/>
    <n v="180"/>
    <n v="20.62"/>
    <s v="Home Purchase"/>
    <n v="540"/>
    <x v="587"/>
    <s v="2023-12-03"/>
    <x v="0"/>
    <n v="2703.41"/>
    <x v="2"/>
    <x v="4"/>
    <x v="0"/>
    <n v="0"/>
    <n v="0"/>
    <x v="0"/>
  </r>
  <r>
    <x v="1184"/>
    <s v="Ravi Verma"/>
    <n v="64"/>
    <x v="4"/>
    <n v="239355"/>
    <n v="750000"/>
    <n v="240"/>
    <n v="20.87"/>
    <s v="Agriculture"/>
    <n v="841"/>
    <x v="269"/>
    <s v="2023-05-31"/>
    <x v="0"/>
    <n v="13255.21"/>
    <x v="3"/>
    <x v="17"/>
    <x v="0"/>
    <n v="0"/>
    <n v="0"/>
    <x v="1"/>
  </r>
  <r>
    <x v="1185"/>
    <s v="Naveen Jain"/>
    <n v="28"/>
    <x v="2"/>
    <n v="138693"/>
    <n v="750000"/>
    <n v="48"/>
    <n v="20.41"/>
    <s v="Medical"/>
    <n v="346"/>
    <x v="393"/>
    <s v="2022-05-29"/>
    <x v="0"/>
    <n v="22986.93"/>
    <x v="4"/>
    <x v="23"/>
    <x v="0"/>
    <n v="1"/>
    <n v="0"/>
    <x v="0"/>
  </r>
  <r>
    <x v="1186"/>
    <s v="Madhuri Kulkarni"/>
    <n v="50"/>
    <x v="0"/>
    <n v="232258"/>
    <n v="750000"/>
    <n v="240"/>
    <n v="17.079999999999998"/>
    <s v="Personal"/>
    <n v="759"/>
    <x v="428"/>
    <s v="2023-07-12"/>
    <x v="2"/>
    <n v="11046.65"/>
    <x v="2"/>
    <x v="13"/>
    <x v="2"/>
    <n v="9"/>
    <n v="0"/>
    <x v="1"/>
  </r>
  <r>
    <x v="1187"/>
    <s v="Abhishek Joshi"/>
    <n v="25"/>
    <x v="0"/>
    <n v="208201"/>
    <n v="1500000"/>
    <n v="240"/>
    <n v="21.27"/>
    <s v="Vehicle Loan"/>
    <n v="873"/>
    <x v="704"/>
    <s v="2021-10-08"/>
    <x v="2"/>
    <n v="26985.45"/>
    <x v="2"/>
    <x v="4"/>
    <x v="3"/>
    <n v="2"/>
    <n v="0"/>
    <x v="1"/>
  </r>
  <r>
    <x v="1188"/>
    <s v="Sanjay Das"/>
    <n v="32"/>
    <x v="3"/>
    <n v="158071"/>
    <n v="100000"/>
    <n v="240"/>
    <n v="14.41"/>
    <s v="Agriculture"/>
    <n v="834"/>
    <x v="385"/>
    <s v="2022-09-03"/>
    <x v="0"/>
    <n v="1273.4100000000001"/>
    <x v="3"/>
    <x v="17"/>
    <x v="0"/>
    <n v="0"/>
    <n v="0"/>
    <x v="1"/>
  </r>
  <r>
    <x v="1189"/>
    <s v="Bhavna Singh"/>
    <n v="42"/>
    <x v="2"/>
    <n v="137912"/>
    <n v="50000"/>
    <n v="240"/>
    <n v="13.8"/>
    <s v="Home Purchase"/>
    <n v="345"/>
    <x v="80"/>
    <s v="2022-06-30"/>
    <x v="0"/>
    <n v="614.51"/>
    <x v="1"/>
    <x v="1"/>
    <x v="0"/>
    <n v="0"/>
    <n v="0"/>
    <x v="0"/>
  </r>
  <r>
    <x v="1190"/>
    <s v="Ravi Nair"/>
    <n v="51"/>
    <x v="3"/>
    <n v="230492"/>
    <n v="300000"/>
    <n v="60"/>
    <n v="21.21"/>
    <s v="Debt Consolidation"/>
    <n v="460"/>
    <x v="642"/>
    <s v="2021-04-05"/>
    <x v="0"/>
    <n v="8151.49"/>
    <x v="4"/>
    <x v="23"/>
    <x v="3"/>
    <n v="1"/>
    <n v="0"/>
    <x v="0"/>
  </r>
  <r>
    <x v="1191"/>
    <s v="Sanjay Patel"/>
    <n v="36"/>
    <x v="3"/>
    <n v="111566"/>
    <n v="150000"/>
    <n v="240"/>
    <n v="17.61"/>
    <s v="Education"/>
    <n v="582"/>
    <x v="14"/>
    <s v="2021-05-31"/>
    <x v="2"/>
    <n v="2270.0500000000002"/>
    <x v="4"/>
    <x v="9"/>
    <x v="0"/>
    <n v="1"/>
    <n v="0"/>
    <x v="3"/>
  </r>
  <r>
    <x v="1192"/>
    <s v="Abhishek Kulkarni"/>
    <n v="24"/>
    <x v="1"/>
    <n v="195047"/>
    <n v="1000000"/>
    <n v="12"/>
    <n v="21.9"/>
    <s v="Business Expansion"/>
    <n v="544"/>
    <x v="705"/>
    <s v="2023-01-07"/>
    <x v="0"/>
    <n v="93546.26"/>
    <x v="0"/>
    <x v="0"/>
    <x v="0"/>
    <n v="0"/>
    <n v="0"/>
    <x v="0"/>
  </r>
  <r>
    <x v="1193"/>
    <s v="Smita Rao"/>
    <n v="56"/>
    <x v="3"/>
    <n v="173978"/>
    <n v="150000"/>
    <n v="48"/>
    <n v="16.100000000000001"/>
    <s v="Personal"/>
    <n v="804"/>
    <x v="706"/>
    <s v="2022-11-03"/>
    <x v="0"/>
    <n v="4258.7299999999996"/>
    <x v="0"/>
    <x v="0"/>
    <x v="0"/>
    <n v="1"/>
    <n v="0"/>
    <x v="1"/>
  </r>
  <r>
    <x v="1194"/>
    <s v="Amit Malhotra"/>
    <n v="24"/>
    <x v="3"/>
    <n v="36984"/>
    <n v="2000000"/>
    <n v="240"/>
    <n v="14.7"/>
    <s v="Medical"/>
    <n v="698"/>
    <x v="573"/>
    <s v="2023-05-11"/>
    <x v="0"/>
    <n v="25893.55"/>
    <x v="3"/>
    <x v="14"/>
    <x v="0"/>
    <n v="2"/>
    <n v="0"/>
    <x v="2"/>
  </r>
  <r>
    <x v="1195"/>
    <s v="Shweta Nayak"/>
    <n v="43"/>
    <x v="2"/>
    <n v="181942"/>
    <n v="1500000"/>
    <n v="180"/>
    <n v="11.33"/>
    <s v="Business Expansion"/>
    <n v="422"/>
    <x v="707"/>
    <s v="2022-03-29"/>
    <x v="0"/>
    <n v="17361.07"/>
    <x v="2"/>
    <x v="19"/>
    <x v="2"/>
    <n v="9"/>
    <n v="0"/>
    <x v="0"/>
  </r>
  <r>
    <x v="1196"/>
    <s v="Suresh Kapoor"/>
    <n v="62"/>
    <x v="2"/>
    <n v="126273"/>
    <n v="2000000"/>
    <n v="240"/>
    <n v="16.84"/>
    <s v="Education"/>
    <n v="515"/>
    <x v="73"/>
    <s v="2021-03-30"/>
    <x v="2"/>
    <n v="29092.91"/>
    <x v="1"/>
    <x v="11"/>
    <x v="0"/>
    <n v="1"/>
    <n v="0"/>
    <x v="0"/>
  </r>
  <r>
    <x v="1197"/>
    <s v="Shweta Chatterjee"/>
    <n v="57"/>
    <x v="3"/>
    <n v="223092"/>
    <n v="500000"/>
    <n v="180"/>
    <n v="18.809999999999999"/>
    <s v="Medical"/>
    <s v="Not Available"/>
    <x v="425"/>
    <s v="2023-12-26"/>
    <x v="0"/>
    <n v="8345.17"/>
    <x v="0"/>
    <x v="2"/>
    <x v="2"/>
    <n v="10"/>
    <n v="0"/>
    <x v="4"/>
  </r>
  <r>
    <x v="1198"/>
    <s v="Lakshmi Iyer"/>
    <n v="40"/>
    <x v="3"/>
    <n v="217453"/>
    <n v="500000"/>
    <n v="60"/>
    <n v="15.76"/>
    <s v="Personal"/>
    <n v="479"/>
    <x v="331"/>
    <s v="2022-04-14"/>
    <x v="0"/>
    <n v="12095.36"/>
    <x v="0"/>
    <x v="8"/>
    <x v="0"/>
    <n v="0"/>
    <n v="0"/>
    <x v="0"/>
  </r>
  <r>
    <x v="1199"/>
    <s v="Meena Tiwari"/>
    <n v="47"/>
    <x v="4"/>
    <n v="161760"/>
    <n v="50000"/>
    <n v="120"/>
    <n v="16.52"/>
    <s v="Home Purchase"/>
    <n v="871"/>
    <x v="324"/>
    <s v="2021-09-16"/>
    <x v="2"/>
    <n v="853.84"/>
    <x v="2"/>
    <x v="13"/>
    <x v="0"/>
    <n v="1"/>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04375E-F63A-40DB-AABB-2FBCAA5C526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pplication_Date">
  <location ref="B57:D70" firstHeaderRow="0" firstDataRow="1" firstDataCol="1" rowPageCount="1" colPageCount="1"/>
  <pivotFields count="23">
    <pivotField dataField="1" showAll="0">
      <items count="1201">
        <item x="534"/>
        <item x="884"/>
        <item x="302"/>
        <item x="358"/>
        <item x="642"/>
        <item x="21"/>
        <item x="604"/>
        <item x="853"/>
        <item x="406"/>
        <item x="885"/>
        <item x="500"/>
        <item x="615"/>
        <item x="825"/>
        <item x="886"/>
        <item x="256"/>
        <item x="887"/>
        <item x="888"/>
        <item x="889"/>
        <item x="890"/>
        <item x="172"/>
        <item x="644"/>
        <item x="721"/>
        <item x="462"/>
        <item x="531"/>
        <item x="891"/>
        <item x="69"/>
        <item x="98"/>
        <item x="892"/>
        <item x="682"/>
        <item x="893"/>
        <item x="894"/>
        <item x="895"/>
        <item x="364"/>
        <item x="253"/>
        <item x="896"/>
        <item x="897"/>
        <item x="898"/>
        <item x="479"/>
        <item x="738"/>
        <item x="899"/>
        <item x="410"/>
        <item x="103"/>
        <item x="404"/>
        <item x="900"/>
        <item x="901"/>
        <item x="902"/>
        <item x="96"/>
        <item x="388"/>
        <item x="729"/>
        <item x="416"/>
        <item x="299"/>
        <item x="272"/>
        <item x="794"/>
        <item x="359"/>
        <item x="447"/>
        <item x="866"/>
        <item x="684"/>
        <item x="236"/>
        <item x="871"/>
        <item x="827"/>
        <item x="273"/>
        <item x="851"/>
        <item x="842"/>
        <item x="903"/>
        <item x="904"/>
        <item x="436"/>
        <item x="353"/>
        <item x="365"/>
        <item x="581"/>
        <item x="346"/>
        <item x="905"/>
        <item x="659"/>
        <item x="906"/>
        <item x="217"/>
        <item x="519"/>
        <item x="62"/>
        <item x="907"/>
        <item x="908"/>
        <item x="909"/>
        <item x="910"/>
        <item x="554"/>
        <item x="593"/>
        <item x="911"/>
        <item x="912"/>
        <item x="662"/>
        <item x="913"/>
        <item x="78"/>
        <item x="144"/>
        <item x="472"/>
        <item x="914"/>
        <item x="214"/>
        <item x="134"/>
        <item x="650"/>
        <item x="190"/>
        <item x="177"/>
        <item x="306"/>
        <item x="372"/>
        <item x="45"/>
        <item x="915"/>
        <item x="189"/>
        <item x="14"/>
        <item x="543"/>
        <item x="458"/>
        <item x="87"/>
        <item x="229"/>
        <item x="65"/>
        <item x="471"/>
        <item x="916"/>
        <item x="917"/>
        <item x="330"/>
        <item x="498"/>
        <item x="309"/>
        <item x="918"/>
        <item x="480"/>
        <item x="550"/>
        <item x="577"/>
        <item x="789"/>
        <item x="919"/>
        <item x="63"/>
        <item x="920"/>
        <item x="555"/>
        <item x="646"/>
        <item x="815"/>
        <item x="465"/>
        <item x="921"/>
        <item x="674"/>
        <item x="635"/>
        <item x="536"/>
        <item x="542"/>
        <item x="196"/>
        <item x="90"/>
        <item x="922"/>
        <item x="660"/>
        <item x="727"/>
        <item x="760"/>
        <item x="712"/>
        <item x="923"/>
        <item x="170"/>
        <item x="280"/>
        <item x="924"/>
        <item x="925"/>
        <item x="926"/>
        <item x="211"/>
        <item x="104"/>
        <item x="315"/>
        <item x="470"/>
        <item x="927"/>
        <item x="793"/>
        <item x="811"/>
        <item x="166"/>
        <item x="515"/>
        <item x="701"/>
        <item x="928"/>
        <item x="476"/>
        <item x="817"/>
        <item x="60"/>
        <item x="929"/>
        <item x="157"/>
        <item x="930"/>
        <item x="247"/>
        <item x="356"/>
        <item x="535"/>
        <item x="647"/>
        <item x="345"/>
        <item x="790"/>
        <item x="931"/>
        <item x="197"/>
        <item x="814"/>
        <item x="854"/>
        <item x="412"/>
        <item x="803"/>
        <item x="932"/>
        <item x="709"/>
        <item x="341"/>
        <item x="850"/>
        <item x="933"/>
        <item x="772"/>
        <item x="636"/>
        <item x="76"/>
        <item x="836"/>
        <item x="934"/>
        <item x="451"/>
        <item x="83"/>
        <item x="707"/>
        <item x="935"/>
        <item x="936"/>
        <item x="334"/>
        <item x="937"/>
        <item x="938"/>
        <item x="864"/>
        <item x="143"/>
        <item x="153"/>
        <item x="485"/>
        <item x="488"/>
        <item x="755"/>
        <item x="161"/>
        <item x="939"/>
        <item x="940"/>
        <item x="207"/>
        <item x="735"/>
        <item x="711"/>
        <item x="391"/>
        <item x="805"/>
        <item x="88"/>
        <item x="204"/>
        <item x="369"/>
        <item x="941"/>
        <item x="865"/>
        <item x="244"/>
        <item x="322"/>
        <item x="942"/>
        <item x="265"/>
        <item x="110"/>
        <item x="235"/>
        <item x="599"/>
        <item x="943"/>
        <item x="783"/>
        <item x="396"/>
        <item x="856"/>
        <item x="944"/>
        <item x="724"/>
        <item x="945"/>
        <item x="305"/>
        <item x="477"/>
        <item x="40"/>
        <item x="321"/>
        <item x="835"/>
        <item x="685"/>
        <item x="946"/>
        <item x="829"/>
        <item x="208"/>
        <item x="278"/>
        <item x="523"/>
        <item x="44"/>
        <item x="947"/>
        <item x="751"/>
        <item x="432"/>
        <item x="728"/>
        <item x="12"/>
        <item x="145"/>
        <item x="575"/>
        <item x="948"/>
        <item x="81"/>
        <item x="743"/>
        <item x="949"/>
        <item x="549"/>
        <item x="950"/>
        <item x="42"/>
        <item x="417"/>
        <item x="468"/>
        <item x="802"/>
        <item x="111"/>
        <item x="326"/>
        <item x="429"/>
        <item x="718"/>
        <item x="951"/>
        <item x="483"/>
        <item x="286"/>
        <item x="91"/>
        <item x="598"/>
        <item x="713"/>
        <item x="952"/>
        <item x="250"/>
        <item x="648"/>
        <item x="608"/>
        <item x="289"/>
        <item x="55"/>
        <item x="456"/>
        <item x="564"/>
        <item x="953"/>
        <item x="954"/>
        <item x="883"/>
        <item x="415"/>
        <item x="288"/>
        <item x="82"/>
        <item x="242"/>
        <item x="131"/>
        <item x="955"/>
        <item x="32"/>
        <item x="493"/>
        <item x="383"/>
        <item x="222"/>
        <item x="11"/>
        <item x="304"/>
        <item x="956"/>
        <item x="434"/>
        <item x="123"/>
        <item x="957"/>
        <item x="958"/>
        <item x="182"/>
        <item x="218"/>
        <item x="331"/>
        <item x="390"/>
        <item x="227"/>
        <item x="181"/>
        <item x="708"/>
        <item x="576"/>
        <item x="830"/>
        <item x="4"/>
        <item x="959"/>
        <item x="960"/>
        <item x="467"/>
        <item x="422"/>
        <item x="290"/>
        <item x="961"/>
        <item x="176"/>
        <item x="962"/>
        <item x="714"/>
        <item x="67"/>
        <item x="722"/>
        <item x="963"/>
        <item x="964"/>
        <item x="148"/>
        <item x="595"/>
        <item x="511"/>
        <item x="700"/>
        <item x="965"/>
        <item x="240"/>
        <item x="630"/>
        <item x="966"/>
        <item x="441"/>
        <item x="715"/>
        <item x="169"/>
        <item x="38"/>
        <item x="510"/>
        <item x="487"/>
        <item x="967"/>
        <item x="342"/>
        <item x="968"/>
        <item x="150"/>
        <item x="969"/>
        <item x="287"/>
        <item x="237"/>
        <item x="486"/>
        <item x="838"/>
        <item x="970"/>
        <item x="971"/>
        <item x="384"/>
        <item x="972"/>
        <item x="973"/>
        <item x="41"/>
        <item x="27"/>
        <item x="594"/>
        <item x="974"/>
        <item x="370"/>
        <item x="603"/>
        <item x="663"/>
        <item x="232"/>
        <item x="267"/>
        <item x="120"/>
        <item x="975"/>
        <item x="784"/>
        <item x="976"/>
        <item x="257"/>
        <item x="398"/>
        <item x="633"/>
        <item x="569"/>
        <item x="977"/>
        <item x="379"/>
        <item x="328"/>
        <item x="243"/>
        <item x="640"/>
        <item x="978"/>
        <item x="592"/>
        <item x="979"/>
        <item x="980"/>
        <item x="981"/>
        <item x="982"/>
        <item x="584"/>
        <item x="457"/>
        <item x="983"/>
        <item x="683"/>
        <item x="984"/>
        <item x="985"/>
        <item x="665"/>
        <item x="986"/>
        <item x="800"/>
        <item x="378"/>
        <item x="987"/>
        <item x="15"/>
        <item x="260"/>
        <item x="22"/>
        <item x="795"/>
        <item x="8"/>
        <item x="281"/>
        <item x="988"/>
        <item x="989"/>
        <item x="206"/>
        <item x="503"/>
        <item x="990"/>
        <item x="991"/>
        <item x="13"/>
        <item x="992"/>
        <item x="993"/>
        <item x="149"/>
        <item x="779"/>
        <item x="994"/>
        <item x="578"/>
        <item x="570"/>
        <item x="995"/>
        <item x="873"/>
        <item x="413"/>
        <item x="494"/>
        <item x="514"/>
        <item x="996"/>
        <item x="997"/>
        <item x="998"/>
        <item x="613"/>
        <item x="376"/>
        <item x="452"/>
        <item x="466"/>
        <item x="758"/>
        <item x="999"/>
        <item x="294"/>
        <item x="1000"/>
        <item x="349"/>
        <item x="454"/>
        <item x="139"/>
        <item x="797"/>
        <item x="312"/>
        <item x="655"/>
        <item x="1001"/>
        <item x="538"/>
        <item x="351"/>
        <item x="539"/>
        <item x="297"/>
        <item x="179"/>
        <item x="1002"/>
        <item x="862"/>
        <item x="186"/>
        <item x="491"/>
        <item x="401"/>
        <item x="687"/>
        <item x="1003"/>
        <item x="1004"/>
        <item x="525"/>
        <item x="759"/>
        <item x="224"/>
        <item x="114"/>
        <item x="84"/>
        <item x="285"/>
        <item x="1005"/>
        <item x="489"/>
        <item x="142"/>
        <item x="726"/>
        <item x="10"/>
        <item x="64"/>
        <item x="394"/>
        <item x="588"/>
        <item x="1006"/>
        <item x="355"/>
        <item x="317"/>
        <item x="766"/>
        <item x="47"/>
        <item x="440"/>
        <item x="870"/>
        <item x="782"/>
        <item x="347"/>
        <item x="490"/>
        <item x="672"/>
        <item x="1007"/>
        <item x="193"/>
        <item x="1008"/>
        <item x="521"/>
        <item x="849"/>
        <item x="518"/>
        <item x="1009"/>
        <item x="155"/>
        <item x="23"/>
        <item x="845"/>
        <item x="822"/>
        <item x="1010"/>
        <item x="377"/>
        <item x="1011"/>
        <item x="654"/>
        <item x="115"/>
        <item x="637"/>
        <item x="1012"/>
        <item x="1013"/>
        <item x="532"/>
        <item x="861"/>
        <item x="609"/>
        <item x="445"/>
        <item x="597"/>
        <item x="1014"/>
        <item x="706"/>
        <item x="310"/>
        <item x="875"/>
        <item x="670"/>
        <item x="352"/>
        <item x="202"/>
        <item x="1015"/>
        <item x="318"/>
        <item x="89"/>
        <item x="48"/>
        <item x="1016"/>
        <item x="696"/>
        <item x="562"/>
        <item x="1017"/>
        <item x="348"/>
        <item x="393"/>
        <item x="329"/>
        <item x="1018"/>
        <item x="1019"/>
        <item x="1020"/>
        <item x="693"/>
        <item x="1021"/>
        <item x="263"/>
        <item x="1022"/>
        <item x="450"/>
        <item x="7"/>
        <item x="138"/>
        <item x="1023"/>
        <item x="380"/>
        <item x="94"/>
        <item x="731"/>
        <item x="484"/>
        <item x="679"/>
        <item x="710"/>
        <item x="857"/>
        <item x="1024"/>
        <item x="1025"/>
        <item x="266"/>
        <item x="1026"/>
        <item x="343"/>
        <item x="626"/>
        <item x="1027"/>
        <item x="425"/>
        <item x="159"/>
        <item x="879"/>
        <item x="1028"/>
        <item x="1029"/>
        <item x="320"/>
        <item x="300"/>
        <item x="1030"/>
        <item x="449"/>
        <item x="268"/>
        <item x="141"/>
        <item x="736"/>
        <item x="354"/>
        <item x="70"/>
        <item x="867"/>
        <item x="1031"/>
        <item x="165"/>
        <item x="1032"/>
        <item x="188"/>
        <item x="201"/>
        <item x="264"/>
        <item x="1033"/>
        <item x="212"/>
        <item x="778"/>
        <item x="1034"/>
        <item x="255"/>
        <item x="702"/>
        <item x="1035"/>
        <item x="571"/>
        <item x="146"/>
        <item x="675"/>
        <item x="126"/>
        <item x="505"/>
        <item x="178"/>
        <item x="386"/>
        <item x="226"/>
        <item x="1036"/>
        <item x="301"/>
        <item x="1037"/>
        <item x="362"/>
        <item x="586"/>
        <item x="284"/>
        <item x="737"/>
        <item x="824"/>
        <item x="744"/>
        <item x="198"/>
        <item x="92"/>
        <item x="769"/>
        <item x="1038"/>
        <item x="298"/>
        <item x="192"/>
        <item x="373"/>
        <item x="24"/>
        <item x="403"/>
        <item x="135"/>
        <item x="621"/>
        <item x="1039"/>
        <item x="717"/>
        <item x="496"/>
        <item x="199"/>
        <item x="1040"/>
        <item x="762"/>
        <item x="1041"/>
        <item x="427"/>
        <item x="368"/>
        <item x="617"/>
        <item x="826"/>
        <item x="50"/>
        <item x="152"/>
        <item x="1042"/>
        <item x="1043"/>
        <item x="691"/>
        <item x="560"/>
        <item x="1044"/>
        <item x="746"/>
        <item x="231"/>
        <item x="52"/>
        <item x="269"/>
        <item x="246"/>
        <item x="1045"/>
        <item x="596"/>
        <item x="544"/>
        <item x="610"/>
        <item x="1046"/>
        <item x="129"/>
        <item x="167"/>
        <item x="506"/>
        <item x="1047"/>
        <item x="799"/>
        <item x="238"/>
        <item x="703"/>
        <item x="651"/>
        <item x="859"/>
        <item x="293"/>
        <item x="168"/>
        <item x="124"/>
        <item x="664"/>
        <item x="430"/>
        <item x="1048"/>
        <item x="524"/>
        <item x="385"/>
        <item x="1049"/>
        <item x="319"/>
        <item x="858"/>
        <item x="1050"/>
        <item x="31"/>
        <item x="1051"/>
        <item x="614"/>
        <item x="423"/>
        <item x="35"/>
        <item x="296"/>
        <item x="481"/>
        <item x="787"/>
        <item x="734"/>
        <item x="788"/>
        <item x="1052"/>
        <item x="311"/>
        <item x="339"/>
        <item x="764"/>
        <item x="1053"/>
        <item x="678"/>
        <item x="1054"/>
        <item x="557"/>
        <item x="1055"/>
        <item x="254"/>
        <item x="695"/>
        <item x="605"/>
        <item x="332"/>
        <item x="872"/>
        <item x="1056"/>
        <item x="274"/>
        <item x="1057"/>
        <item x="568"/>
        <item x="183"/>
        <item x="46"/>
        <item x="774"/>
        <item x="732"/>
        <item x="71"/>
        <item x="1058"/>
        <item x="848"/>
        <item x="3"/>
        <item x="127"/>
        <item x="1059"/>
        <item x="775"/>
        <item x="57"/>
        <item x="194"/>
        <item x="777"/>
        <item x="590"/>
        <item x="1060"/>
        <item x="786"/>
        <item x="303"/>
        <item x="813"/>
        <item x="205"/>
        <item x="1061"/>
        <item x="756"/>
        <item x="1062"/>
        <item x="295"/>
        <item x="808"/>
        <item x="823"/>
        <item x="473"/>
        <item x="162"/>
        <item x="1063"/>
        <item x="705"/>
        <item x="809"/>
        <item x="79"/>
        <item x="546"/>
        <item x="1064"/>
        <item x="804"/>
        <item x="9"/>
        <item x="314"/>
        <item x="442"/>
        <item x="874"/>
        <item x="17"/>
        <item x="233"/>
        <item x="99"/>
        <item x="768"/>
        <item x="116"/>
        <item x="763"/>
        <item x="245"/>
        <item x="151"/>
        <item x="49"/>
        <item x="1065"/>
        <item x="606"/>
        <item x="118"/>
        <item x="37"/>
        <item x="868"/>
        <item x="275"/>
        <item x="806"/>
        <item x="1066"/>
        <item x="1067"/>
        <item x="307"/>
        <item x="336"/>
        <item x="18"/>
        <item x="816"/>
        <item x="517"/>
        <item x="73"/>
        <item x="262"/>
        <item x="1068"/>
        <item x="160"/>
        <item x="686"/>
        <item x="1069"/>
        <item x="335"/>
        <item x="366"/>
        <item x="509"/>
        <item x="1070"/>
        <item x="704"/>
        <item x="72"/>
        <item x="512"/>
        <item x="418"/>
        <item x="761"/>
        <item x="1071"/>
        <item x="147"/>
        <item x="1072"/>
        <item x="448"/>
        <item x="692"/>
        <item x="261"/>
        <item x="880"/>
        <item x="602"/>
        <item x="225"/>
        <item x="241"/>
        <item x="1073"/>
        <item x="58"/>
        <item x="653"/>
        <item x="360"/>
        <item x="112"/>
        <item x="387"/>
        <item x="616"/>
        <item x="1074"/>
        <item x="1075"/>
        <item x="337"/>
        <item x="252"/>
        <item x="612"/>
        <item x="869"/>
        <item x="259"/>
        <item x="1076"/>
        <item x="508"/>
        <item x="881"/>
        <item x="426"/>
        <item x="507"/>
        <item x="200"/>
        <item x="739"/>
        <item x="767"/>
        <item x="361"/>
        <item x="77"/>
        <item x="29"/>
        <item x="585"/>
        <item x="502"/>
        <item x="443"/>
        <item x="1077"/>
        <item x="1078"/>
        <item x="258"/>
        <item x="1079"/>
        <item x="474"/>
        <item x="1080"/>
        <item x="844"/>
        <item x="439"/>
        <item x="1081"/>
        <item x="270"/>
        <item x="754"/>
        <item x="1082"/>
        <item x="1083"/>
        <item x="100"/>
        <item x="572"/>
        <item x="213"/>
        <item x="279"/>
        <item x="855"/>
        <item x="1084"/>
        <item x="1085"/>
        <item x="1086"/>
        <item x="121"/>
        <item x="187"/>
        <item x="251"/>
        <item x="810"/>
        <item x="698"/>
        <item x="852"/>
        <item x="1087"/>
        <item x="1088"/>
        <item x="437"/>
        <item x="748"/>
        <item x="53"/>
        <item x="313"/>
        <item x="840"/>
        <item x="215"/>
        <item x="1089"/>
        <item x="431"/>
        <item x="719"/>
        <item x="323"/>
        <item x="1090"/>
        <item x="1091"/>
        <item x="223"/>
        <item x="1092"/>
        <item x="634"/>
        <item x="234"/>
        <item x="1093"/>
        <item x="645"/>
        <item x="821"/>
        <item x="291"/>
        <item x="559"/>
        <item x="1094"/>
        <item x="561"/>
        <item x="59"/>
        <item x="1095"/>
        <item x="1096"/>
        <item x="1097"/>
        <item x="414"/>
        <item x="283"/>
        <item x="102"/>
        <item x="210"/>
        <item x="1098"/>
        <item x="833"/>
        <item x="656"/>
        <item x="785"/>
        <item x="1099"/>
        <item x="276"/>
        <item x="433"/>
        <item x="444"/>
        <item x="796"/>
        <item x="95"/>
        <item x="1100"/>
        <item x="631"/>
        <item x="1101"/>
        <item x="720"/>
        <item x="292"/>
        <item x="677"/>
        <item x="1102"/>
        <item x="771"/>
        <item x="0"/>
        <item x="1103"/>
        <item x="501"/>
        <item x="747"/>
        <item x="424"/>
        <item x="1104"/>
        <item x="140"/>
        <item x="553"/>
        <item x="1105"/>
        <item x="497"/>
        <item x="573"/>
        <item x="1106"/>
        <item x="639"/>
        <item x="1107"/>
        <item x="548"/>
        <item x="1108"/>
        <item x="1109"/>
        <item x="338"/>
        <item x="219"/>
        <item x="1110"/>
        <item x="834"/>
        <item x="820"/>
        <item x="540"/>
        <item x="1111"/>
        <item x="699"/>
        <item x="551"/>
        <item x="191"/>
        <item x="1112"/>
        <item x="1113"/>
        <item x="173"/>
        <item x="620"/>
        <item x="230"/>
        <item x="750"/>
        <item x="600"/>
        <item x="657"/>
        <item x="1114"/>
        <item x="344"/>
        <item x="878"/>
        <item x="1115"/>
        <item x="125"/>
        <item x="622"/>
        <item x="228"/>
        <item x="1116"/>
        <item x="221"/>
        <item x="1117"/>
        <item x="624"/>
        <item x="749"/>
        <item x="1118"/>
        <item x="638"/>
        <item x="658"/>
        <item x="798"/>
        <item x="1119"/>
        <item x="781"/>
        <item x="249"/>
        <item x="113"/>
        <item x="357"/>
        <item x="438"/>
        <item x="325"/>
        <item x="271"/>
        <item x="1120"/>
        <item x="277"/>
        <item x="1121"/>
        <item x="667"/>
        <item x="128"/>
        <item x="316"/>
        <item x="409"/>
        <item x="1122"/>
        <item x="1123"/>
        <item x="203"/>
        <item x="1124"/>
        <item x="51"/>
        <item x="108"/>
        <item x="405"/>
        <item x="741"/>
        <item x="1125"/>
        <item x="522"/>
        <item x="26"/>
        <item x="567"/>
        <item x="420"/>
        <item x="1126"/>
        <item x="382"/>
        <item x="495"/>
        <item x="1127"/>
        <item x="1128"/>
        <item x="791"/>
        <item x="611"/>
        <item x="1129"/>
        <item x="618"/>
        <item x="216"/>
        <item x="757"/>
        <item x="327"/>
        <item x="1130"/>
        <item x="1131"/>
        <item x="589"/>
        <item x="1132"/>
        <item x="801"/>
        <item x="733"/>
        <item x="1133"/>
        <item x="381"/>
        <item x="1134"/>
        <item x="582"/>
        <item x="752"/>
        <item x="39"/>
        <item x="1135"/>
        <item x="117"/>
        <item x="1136"/>
        <item x="831"/>
        <item x="1137"/>
        <item x="832"/>
        <item x="545"/>
        <item x="753"/>
        <item x="1138"/>
        <item x="1139"/>
        <item x="130"/>
        <item x="1140"/>
        <item x="552"/>
        <item x="164"/>
        <item x="1141"/>
        <item x="16"/>
        <item x="697"/>
        <item x="652"/>
        <item x="499"/>
        <item x="1142"/>
        <item x="579"/>
        <item x="156"/>
        <item x="1143"/>
        <item x="1144"/>
        <item x="819"/>
        <item x="591"/>
        <item x="93"/>
        <item x="475"/>
        <item x="668"/>
        <item x="1145"/>
        <item x="469"/>
        <item x="641"/>
        <item x="1146"/>
        <item x="158"/>
        <item x="558"/>
        <item x="1147"/>
        <item x="86"/>
        <item x="882"/>
        <item x="680"/>
        <item x="565"/>
        <item x="516"/>
        <item x="389"/>
        <item x="792"/>
        <item x="101"/>
        <item x="80"/>
        <item x="673"/>
        <item x="1148"/>
        <item x="860"/>
        <item x="1149"/>
        <item x="828"/>
        <item x="1150"/>
        <item x="694"/>
        <item x="1151"/>
        <item x="408"/>
        <item x="28"/>
        <item x="119"/>
        <item x="676"/>
        <item x="556"/>
        <item x="54"/>
        <item x="367"/>
        <item x="671"/>
        <item x="770"/>
        <item x="350"/>
        <item x="25"/>
        <item x="282"/>
        <item x="374"/>
        <item x="526"/>
        <item x="421"/>
        <item x="1152"/>
        <item x="132"/>
        <item x="563"/>
        <item x="1153"/>
        <item x="163"/>
        <item x="1154"/>
        <item x="1155"/>
        <item x="661"/>
        <item x="1"/>
        <item x="209"/>
        <item x="623"/>
        <item x="1156"/>
        <item x="75"/>
        <item x="363"/>
        <item x="773"/>
        <item x="1157"/>
        <item x="1158"/>
        <item x="765"/>
        <item x="1159"/>
        <item x="1160"/>
        <item x="195"/>
        <item x="574"/>
        <item x="56"/>
        <item x="2"/>
        <item x="461"/>
        <item x="837"/>
        <item x="818"/>
        <item x="105"/>
        <item x="463"/>
        <item x="1161"/>
        <item x="36"/>
        <item x="643"/>
        <item x="529"/>
        <item x="877"/>
        <item x="85"/>
        <item x="607"/>
        <item x="122"/>
        <item x="583"/>
        <item x="1162"/>
        <item x="1163"/>
        <item x="1164"/>
        <item x="184"/>
        <item x="528"/>
        <item x="627"/>
        <item x="1165"/>
        <item x="1166"/>
        <item x="1167"/>
        <item x="863"/>
        <item x="1168"/>
        <item x="625"/>
        <item x="742"/>
        <item x="628"/>
        <item x="428"/>
        <item x="566"/>
        <item x="33"/>
        <item x="106"/>
        <item x="846"/>
        <item x="460"/>
        <item x="407"/>
        <item x="174"/>
        <item x="527"/>
        <item x="1169"/>
        <item x="1170"/>
        <item x="580"/>
        <item x="533"/>
        <item x="435"/>
        <item x="740"/>
        <item x="629"/>
        <item x="780"/>
        <item x="807"/>
        <item x="1171"/>
        <item x="371"/>
        <item x="61"/>
        <item x="308"/>
        <item x="68"/>
        <item x="723"/>
        <item x="1172"/>
        <item x="1173"/>
        <item x="520"/>
        <item x="5"/>
        <item x="220"/>
        <item x="587"/>
        <item x="513"/>
        <item x="137"/>
        <item x="395"/>
        <item x="459"/>
        <item x="107"/>
        <item x="666"/>
        <item x="725"/>
        <item x="1174"/>
        <item x="392"/>
        <item x="730"/>
        <item x="745"/>
        <item x="74"/>
        <item x="455"/>
        <item x="1175"/>
        <item x="1176"/>
        <item x="399"/>
        <item x="1177"/>
        <item x="239"/>
        <item x="400"/>
        <item x="601"/>
        <item x="30"/>
        <item x="1178"/>
        <item x="340"/>
        <item x="411"/>
        <item x="453"/>
        <item x="133"/>
        <item x="1179"/>
        <item x="681"/>
        <item x="34"/>
        <item x="402"/>
        <item x="1180"/>
        <item x="136"/>
        <item x="175"/>
        <item x="333"/>
        <item x="375"/>
        <item x="1181"/>
        <item x="649"/>
        <item x="1182"/>
        <item x="171"/>
        <item x="690"/>
        <item x="43"/>
        <item x="1183"/>
        <item x="397"/>
        <item x="1184"/>
        <item x="847"/>
        <item x="1185"/>
        <item x="776"/>
        <item x="97"/>
        <item x="504"/>
        <item x="6"/>
        <item x="547"/>
        <item x="464"/>
        <item x="109"/>
        <item x="632"/>
        <item x="1186"/>
        <item x="154"/>
        <item x="1187"/>
        <item x="688"/>
        <item x="537"/>
        <item x="66"/>
        <item x="20"/>
        <item x="248"/>
        <item x="1188"/>
        <item x="1189"/>
        <item x="492"/>
        <item x="669"/>
        <item x="185"/>
        <item x="419"/>
        <item x="180"/>
        <item x="689"/>
        <item x="1190"/>
        <item x="478"/>
        <item x="1191"/>
        <item x="1192"/>
        <item x="541"/>
        <item x="1193"/>
        <item x="1194"/>
        <item x="812"/>
        <item x="1195"/>
        <item x="446"/>
        <item x="19"/>
        <item x="716"/>
        <item x="324"/>
        <item x="843"/>
        <item x="482"/>
        <item x="1196"/>
        <item x="1197"/>
        <item x="530"/>
        <item x="876"/>
        <item x="619"/>
        <item x="1198"/>
        <item x="1199"/>
        <item x="841"/>
        <item x="839"/>
        <item t="default"/>
      </items>
    </pivotField>
    <pivotField showAll="0"/>
    <pivotField showAll="0"/>
    <pivotField showAll="0"/>
    <pivotField showAll="0"/>
    <pivotField dataField="1" showAll="0"/>
    <pivotField showAll="0"/>
    <pivotField showAll="0"/>
    <pivotField showAll="0"/>
    <pivotField showAll="0"/>
    <pivotField axis="axisRow"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axis="axisPage" showAll="0">
      <items count="5">
        <item x="0"/>
        <item x="1"/>
        <item x="2"/>
        <item x="3"/>
        <item t="default"/>
      </items>
    </pivotField>
    <pivotField showAll="0"/>
    <pivotField showAll="0">
      <items count="6">
        <item x="1"/>
        <item sd="0" x="4"/>
        <item sd="0" x="3"/>
        <item sd="0" x="0"/>
        <item sd="0" x="2"/>
        <item t="default" sd="0"/>
      </items>
    </pivotField>
    <pivotField showAll="0">
      <items count="26">
        <item x="4"/>
        <item x="8"/>
        <item x="0"/>
        <item x="3"/>
        <item x="23"/>
        <item x="7"/>
        <item x="22"/>
        <item x="5"/>
        <item x="17"/>
        <item x="14"/>
        <item x="24"/>
        <item x="2"/>
        <item x="1"/>
        <item x="18"/>
        <item x="21"/>
        <item x="9"/>
        <item x="15"/>
        <item x="19"/>
        <item x="13"/>
        <item x="11"/>
        <item x="12"/>
        <item x="16"/>
        <item x="6"/>
        <item x="10"/>
        <item x="20"/>
        <item t="default"/>
      </items>
    </pivotField>
    <pivotField showAll="0"/>
    <pivotField showAll="0"/>
    <pivotField showAll="0"/>
    <pivotField showAll="0">
      <items count="6">
        <item x="3"/>
        <item x="1"/>
        <item x="2"/>
        <item x="4"/>
        <item x="0"/>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sd="0"/>
      </items>
    </pivotField>
  </pivotFields>
  <rowFields count="3">
    <field x="20"/>
    <field x="22"/>
    <field x="10"/>
  </rowFields>
  <rowItems count="13">
    <i>
      <x v="1"/>
    </i>
    <i>
      <x v="2"/>
    </i>
    <i>
      <x v="3"/>
    </i>
    <i>
      <x v="4"/>
    </i>
    <i>
      <x v="5"/>
    </i>
    <i>
      <x v="6"/>
    </i>
    <i>
      <x v="7"/>
    </i>
    <i>
      <x v="8"/>
    </i>
    <i>
      <x v="9"/>
    </i>
    <i>
      <x v="10"/>
    </i>
    <i>
      <x v="11"/>
    </i>
    <i>
      <x v="12"/>
    </i>
    <i t="grand">
      <x/>
    </i>
  </rowItems>
  <colFields count="1">
    <field x="-2"/>
  </colFields>
  <colItems count="2">
    <i>
      <x/>
    </i>
    <i i="1">
      <x v="1"/>
    </i>
  </colItems>
  <pageFields count="1">
    <pageField fld="12" item="0" hier="-1"/>
  </pageFields>
  <dataFields count="2">
    <dataField name="Count of Loan_ID" fld="0" subtotal="count" baseField="0" baseItem="0"/>
    <dataField name="Sum of Loan_Amount" fld="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73E0D5-CEB5-42EA-9967-88B71AAD955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Drill-Down">
  <location ref="B38:B49" firstHeaderRow="1" firstDataRow="1" firstDataCol="1"/>
  <pivotFields count="23">
    <pivotField showAll="0"/>
    <pivotField showAll="0"/>
    <pivotField showAll="0"/>
    <pivotField showAll="0"/>
    <pivotField showAll="0"/>
    <pivotField showAll="0"/>
    <pivotField showAll="0"/>
    <pivotField showAll="0"/>
    <pivotField showAll="0"/>
    <pivotField showAll="0"/>
    <pivotField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showAll="0"/>
    <pivotField showAll="0"/>
    <pivotField axis="axisRow" showAll="0">
      <items count="6">
        <item x="1"/>
        <item sd="0" x="4"/>
        <item sd="0" x="3"/>
        <item sd="0" x="0"/>
        <item sd="0" x="2"/>
        <item t="default" sd="0"/>
      </items>
    </pivotField>
    <pivotField axis="axisRow" showAll="0">
      <items count="26">
        <item x="4"/>
        <item x="8"/>
        <item x="0"/>
        <item x="3"/>
        <item x="23"/>
        <item x="7"/>
        <item x="22"/>
        <item x="5"/>
        <item x="17"/>
        <item x="14"/>
        <item x="24"/>
        <item x="2"/>
        <item x="1"/>
        <item x="18"/>
        <item x="21"/>
        <item x="9"/>
        <item x="15"/>
        <item x="19"/>
        <item x="13"/>
        <item x="11"/>
        <item x="12"/>
        <item x="16"/>
        <item x="6"/>
        <item x="10"/>
        <item x="20"/>
        <item t="default"/>
      </items>
    </pivotField>
    <pivotField showAll="0"/>
    <pivotField showAll="0"/>
    <pivotField showAll="0"/>
    <pivotField showAll="0">
      <items count="6">
        <item x="3"/>
        <item x="1"/>
        <item x="2"/>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11">
    <i>
      <x/>
    </i>
    <i r="1">
      <x v="3"/>
    </i>
    <i r="1">
      <x v="12"/>
    </i>
    <i r="1">
      <x v="16"/>
    </i>
    <i r="1">
      <x v="19"/>
    </i>
    <i r="1">
      <x v="23"/>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BBDE89-C3B6-4A54-997C-5576BD26BDC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Emplyoment_Type" colHeaderCaption="Repayment_Status">
  <location ref="B25:I34" firstHeaderRow="1" firstDataRow="2" firstDataCol="1"/>
  <pivotFields count="23">
    <pivotField dataField="1" showAll="0">
      <items count="1201">
        <item x="534"/>
        <item x="884"/>
        <item x="302"/>
        <item x="358"/>
        <item x="642"/>
        <item x="21"/>
        <item x="604"/>
        <item x="853"/>
        <item x="406"/>
        <item x="885"/>
        <item x="500"/>
        <item x="615"/>
        <item x="825"/>
        <item x="886"/>
        <item x="256"/>
        <item x="887"/>
        <item x="888"/>
        <item x="889"/>
        <item x="890"/>
        <item x="172"/>
        <item x="644"/>
        <item x="721"/>
        <item x="462"/>
        <item x="531"/>
        <item x="891"/>
        <item x="69"/>
        <item x="98"/>
        <item x="892"/>
        <item x="682"/>
        <item x="893"/>
        <item x="894"/>
        <item x="895"/>
        <item x="364"/>
        <item x="253"/>
        <item x="896"/>
        <item x="897"/>
        <item x="898"/>
        <item x="479"/>
        <item x="738"/>
        <item x="899"/>
        <item x="410"/>
        <item x="103"/>
        <item x="404"/>
        <item x="900"/>
        <item x="901"/>
        <item x="902"/>
        <item x="96"/>
        <item x="388"/>
        <item x="729"/>
        <item x="416"/>
        <item x="299"/>
        <item x="272"/>
        <item x="794"/>
        <item x="359"/>
        <item x="447"/>
        <item x="866"/>
        <item x="684"/>
        <item x="236"/>
        <item x="871"/>
        <item x="827"/>
        <item x="273"/>
        <item x="851"/>
        <item x="842"/>
        <item x="903"/>
        <item x="904"/>
        <item x="436"/>
        <item x="353"/>
        <item x="365"/>
        <item x="581"/>
        <item x="346"/>
        <item x="905"/>
        <item x="659"/>
        <item x="906"/>
        <item x="217"/>
        <item x="519"/>
        <item x="62"/>
        <item x="907"/>
        <item x="908"/>
        <item x="909"/>
        <item x="910"/>
        <item x="554"/>
        <item x="593"/>
        <item x="911"/>
        <item x="912"/>
        <item x="662"/>
        <item x="913"/>
        <item x="78"/>
        <item x="144"/>
        <item x="472"/>
        <item x="914"/>
        <item x="214"/>
        <item x="134"/>
        <item x="650"/>
        <item x="190"/>
        <item x="177"/>
        <item x="306"/>
        <item x="372"/>
        <item x="45"/>
        <item x="915"/>
        <item x="189"/>
        <item x="14"/>
        <item x="543"/>
        <item x="458"/>
        <item x="87"/>
        <item x="229"/>
        <item x="65"/>
        <item x="471"/>
        <item x="916"/>
        <item x="917"/>
        <item x="330"/>
        <item x="498"/>
        <item x="309"/>
        <item x="918"/>
        <item x="480"/>
        <item x="550"/>
        <item x="577"/>
        <item x="789"/>
        <item x="919"/>
        <item x="63"/>
        <item x="920"/>
        <item x="555"/>
        <item x="646"/>
        <item x="815"/>
        <item x="465"/>
        <item x="921"/>
        <item x="674"/>
        <item x="635"/>
        <item x="536"/>
        <item x="542"/>
        <item x="196"/>
        <item x="90"/>
        <item x="922"/>
        <item x="660"/>
        <item x="727"/>
        <item x="760"/>
        <item x="712"/>
        <item x="923"/>
        <item x="170"/>
        <item x="280"/>
        <item x="924"/>
        <item x="925"/>
        <item x="926"/>
        <item x="211"/>
        <item x="104"/>
        <item x="315"/>
        <item x="470"/>
        <item x="927"/>
        <item x="793"/>
        <item x="811"/>
        <item x="166"/>
        <item x="515"/>
        <item x="701"/>
        <item x="928"/>
        <item x="476"/>
        <item x="817"/>
        <item x="60"/>
        <item x="929"/>
        <item x="157"/>
        <item x="930"/>
        <item x="247"/>
        <item x="356"/>
        <item x="535"/>
        <item x="647"/>
        <item x="345"/>
        <item x="790"/>
        <item x="931"/>
        <item x="197"/>
        <item x="814"/>
        <item x="854"/>
        <item x="412"/>
        <item x="803"/>
        <item x="932"/>
        <item x="709"/>
        <item x="341"/>
        <item x="850"/>
        <item x="933"/>
        <item x="772"/>
        <item x="636"/>
        <item x="76"/>
        <item x="836"/>
        <item x="934"/>
        <item x="451"/>
        <item x="83"/>
        <item x="707"/>
        <item x="935"/>
        <item x="936"/>
        <item x="334"/>
        <item x="937"/>
        <item x="938"/>
        <item x="864"/>
        <item x="143"/>
        <item x="153"/>
        <item x="485"/>
        <item x="488"/>
        <item x="755"/>
        <item x="161"/>
        <item x="939"/>
        <item x="940"/>
        <item x="207"/>
        <item x="735"/>
        <item x="711"/>
        <item x="391"/>
        <item x="805"/>
        <item x="88"/>
        <item x="204"/>
        <item x="369"/>
        <item x="941"/>
        <item x="865"/>
        <item x="244"/>
        <item x="322"/>
        <item x="942"/>
        <item x="265"/>
        <item x="110"/>
        <item x="235"/>
        <item x="599"/>
        <item x="943"/>
        <item x="783"/>
        <item x="396"/>
        <item x="856"/>
        <item x="944"/>
        <item x="724"/>
        <item x="945"/>
        <item x="305"/>
        <item x="477"/>
        <item x="40"/>
        <item x="321"/>
        <item x="835"/>
        <item x="685"/>
        <item x="946"/>
        <item x="829"/>
        <item x="208"/>
        <item x="278"/>
        <item x="523"/>
        <item x="44"/>
        <item x="947"/>
        <item x="751"/>
        <item x="432"/>
        <item x="728"/>
        <item x="12"/>
        <item x="145"/>
        <item x="575"/>
        <item x="948"/>
        <item x="81"/>
        <item x="743"/>
        <item x="949"/>
        <item x="549"/>
        <item x="950"/>
        <item x="42"/>
        <item x="417"/>
        <item x="468"/>
        <item x="802"/>
        <item x="111"/>
        <item x="326"/>
        <item x="429"/>
        <item x="718"/>
        <item x="951"/>
        <item x="483"/>
        <item x="286"/>
        <item x="91"/>
        <item x="598"/>
        <item x="713"/>
        <item x="952"/>
        <item x="250"/>
        <item x="648"/>
        <item x="608"/>
        <item x="289"/>
        <item x="55"/>
        <item x="456"/>
        <item x="564"/>
        <item x="953"/>
        <item x="954"/>
        <item x="883"/>
        <item x="415"/>
        <item x="288"/>
        <item x="82"/>
        <item x="242"/>
        <item x="131"/>
        <item x="955"/>
        <item x="32"/>
        <item x="493"/>
        <item x="383"/>
        <item x="222"/>
        <item x="11"/>
        <item x="304"/>
        <item x="956"/>
        <item x="434"/>
        <item x="123"/>
        <item x="957"/>
        <item x="958"/>
        <item x="182"/>
        <item x="218"/>
        <item x="331"/>
        <item x="390"/>
        <item x="227"/>
        <item x="181"/>
        <item x="708"/>
        <item x="576"/>
        <item x="830"/>
        <item x="4"/>
        <item x="959"/>
        <item x="960"/>
        <item x="467"/>
        <item x="422"/>
        <item x="290"/>
        <item x="961"/>
        <item x="176"/>
        <item x="962"/>
        <item x="714"/>
        <item x="67"/>
        <item x="722"/>
        <item x="963"/>
        <item x="964"/>
        <item x="148"/>
        <item x="595"/>
        <item x="511"/>
        <item x="700"/>
        <item x="965"/>
        <item x="240"/>
        <item x="630"/>
        <item x="966"/>
        <item x="441"/>
        <item x="715"/>
        <item x="169"/>
        <item x="38"/>
        <item x="510"/>
        <item x="487"/>
        <item x="967"/>
        <item x="342"/>
        <item x="968"/>
        <item x="150"/>
        <item x="969"/>
        <item x="287"/>
        <item x="237"/>
        <item x="486"/>
        <item x="838"/>
        <item x="970"/>
        <item x="971"/>
        <item x="384"/>
        <item x="972"/>
        <item x="973"/>
        <item x="41"/>
        <item x="27"/>
        <item x="594"/>
        <item x="974"/>
        <item x="370"/>
        <item x="603"/>
        <item x="663"/>
        <item x="232"/>
        <item x="267"/>
        <item x="120"/>
        <item x="975"/>
        <item x="784"/>
        <item x="976"/>
        <item x="257"/>
        <item x="398"/>
        <item x="633"/>
        <item x="569"/>
        <item x="977"/>
        <item x="379"/>
        <item x="328"/>
        <item x="243"/>
        <item x="640"/>
        <item x="978"/>
        <item x="592"/>
        <item x="979"/>
        <item x="980"/>
        <item x="981"/>
        <item x="982"/>
        <item x="584"/>
        <item x="457"/>
        <item x="983"/>
        <item x="683"/>
        <item x="984"/>
        <item x="985"/>
        <item x="665"/>
        <item x="986"/>
        <item x="800"/>
        <item x="378"/>
        <item x="987"/>
        <item x="15"/>
        <item x="260"/>
        <item x="22"/>
        <item x="795"/>
        <item x="8"/>
        <item x="281"/>
        <item x="988"/>
        <item x="989"/>
        <item x="206"/>
        <item x="503"/>
        <item x="990"/>
        <item x="991"/>
        <item x="13"/>
        <item x="992"/>
        <item x="993"/>
        <item x="149"/>
        <item x="779"/>
        <item x="994"/>
        <item x="578"/>
        <item x="570"/>
        <item x="995"/>
        <item x="873"/>
        <item x="413"/>
        <item x="494"/>
        <item x="514"/>
        <item x="996"/>
        <item x="997"/>
        <item x="998"/>
        <item x="613"/>
        <item x="376"/>
        <item x="452"/>
        <item x="466"/>
        <item x="758"/>
        <item x="999"/>
        <item x="294"/>
        <item x="1000"/>
        <item x="349"/>
        <item x="454"/>
        <item x="139"/>
        <item x="797"/>
        <item x="312"/>
        <item x="655"/>
        <item x="1001"/>
        <item x="538"/>
        <item x="351"/>
        <item x="539"/>
        <item x="297"/>
        <item x="179"/>
        <item x="1002"/>
        <item x="862"/>
        <item x="186"/>
        <item x="491"/>
        <item x="401"/>
        <item x="687"/>
        <item x="1003"/>
        <item x="1004"/>
        <item x="525"/>
        <item x="759"/>
        <item x="224"/>
        <item x="114"/>
        <item x="84"/>
        <item x="285"/>
        <item x="1005"/>
        <item x="489"/>
        <item x="142"/>
        <item x="726"/>
        <item x="10"/>
        <item x="64"/>
        <item x="394"/>
        <item x="588"/>
        <item x="1006"/>
        <item x="355"/>
        <item x="317"/>
        <item x="766"/>
        <item x="47"/>
        <item x="440"/>
        <item x="870"/>
        <item x="782"/>
        <item x="347"/>
        <item x="490"/>
        <item x="672"/>
        <item x="1007"/>
        <item x="193"/>
        <item x="1008"/>
        <item x="521"/>
        <item x="849"/>
        <item x="518"/>
        <item x="1009"/>
        <item x="155"/>
        <item x="23"/>
        <item x="845"/>
        <item x="822"/>
        <item x="1010"/>
        <item x="377"/>
        <item x="1011"/>
        <item x="654"/>
        <item x="115"/>
        <item x="637"/>
        <item x="1012"/>
        <item x="1013"/>
        <item x="532"/>
        <item x="861"/>
        <item x="609"/>
        <item x="445"/>
        <item x="597"/>
        <item x="1014"/>
        <item x="706"/>
        <item x="310"/>
        <item x="875"/>
        <item x="670"/>
        <item x="352"/>
        <item x="202"/>
        <item x="1015"/>
        <item x="318"/>
        <item x="89"/>
        <item x="48"/>
        <item x="1016"/>
        <item x="696"/>
        <item x="562"/>
        <item x="1017"/>
        <item x="348"/>
        <item x="393"/>
        <item x="329"/>
        <item x="1018"/>
        <item x="1019"/>
        <item x="1020"/>
        <item x="693"/>
        <item x="1021"/>
        <item x="263"/>
        <item x="1022"/>
        <item x="450"/>
        <item x="7"/>
        <item x="138"/>
        <item x="1023"/>
        <item x="380"/>
        <item x="94"/>
        <item x="731"/>
        <item x="484"/>
        <item x="679"/>
        <item x="710"/>
        <item x="857"/>
        <item x="1024"/>
        <item x="1025"/>
        <item x="266"/>
        <item x="1026"/>
        <item x="343"/>
        <item x="626"/>
        <item x="1027"/>
        <item x="425"/>
        <item x="159"/>
        <item x="879"/>
        <item x="1028"/>
        <item x="1029"/>
        <item x="320"/>
        <item x="300"/>
        <item x="1030"/>
        <item x="449"/>
        <item x="268"/>
        <item x="141"/>
        <item x="736"/>
        <item x="354"/>
        <item x="70"/>
        <item x="867"/>
        <item x="1031"/>
        <item x="165"/>
        <item x="1032"/>
        <item x="188"/>
        <item x="201"/>
        <item x="264"/>
        <item x="1033"/>
        <item x="212"/>
        <item x="778"/>
        <item x="1034"/>
        <item x="255"/>
        <item x="702"/>
        <item x="1035"/>
        <item x="571"/>
        <item x="146"/>
        <item x="675"/>
        <item x="126"/>
        <item x="505"/>
        <item x="178"/>
        <item x="386"/>
        <item x="226"/>
        <item x="1036"/>
        <item x="301"/>
        <item x="1037"/>
        <item x="362"/>
        <item x="586"/>
        <item x="284"/>
        <item x="737"/>
        <item x="824"/>
        <item x="744"/>
        <item x="198"/>
        <item x="92"/>
        <item x="769"/>
        <item x="1038"/>
        <item x="298"/>
        <item x="192"/>
        <item x="373"/>
        <item x="24"/>
        <item x="403"/>
        <item x="135"/>
        <item x="621"/>
        <item x="1039"/>
        <item x="717"/>
        <item x="496"/>
        <item x="199"/>
        <item x="1040"/>
        <item x="762"/>
        <item x="1041"/>
        <item x="427"/>
        <item x="368"/>
        <item x="617"/>
        <item x="826"/>
        <item x="50"/>
        <item x="152"/>
        <item x="1042"/>
        <item x="1043"/>
        <item x="691"/>
        <item x="560"/>
        <item x="1044"/>
        <item x="746"/>
        <item x="231"/>
        <item x="52"/>
        <item x="269"/>
        <item x="246"/>
        <item x="1045"/>
        <item x="596"/>
        <item x="544"/>
        <item x="610"/>
        <item x="1046"/>
        <item x="129"/>
        <item x="167"/>
        <item x="506"/>
        <item x="1047"/>
        <item x="799"/>
        <item x="238"/>
        <item x="703"/>
        <item x="651"/>
        <item x="859"/>
        <item x="293"/>
        <item x="168"/>
        <item x="124"/>
        <item x="664"/>
        <item x="430"/>
        <item x="1048"/>
        <item x="524"/>
        <item x="385"/>
        <item x="1049"/>
        <item x="319"/>
        <item x="858"/>
        <item x="1050"/>
        <item x="31"/>
        <item x="1051"/>
        <item x="614"/>
        <item x="423"/>
        <item x="35"/>
        <item x="296"/>
        <item x="481"/>
        <item x="787"/>
        <item x="734"/>
        <item x="788"/>
        <item x="1052"/>
        <item x="311"/>
        <item x="339"/>
        <item x="764"/>
        <item x="1053"/>
        <item x="678"/>
        <item x="1054"/>
        <item x="557"/>
        <item x="1055"/>
        <item x="254"/>
        <item x="695"/>
        <item x="605"/>
        <item x="332"/>
        <item x="872"/>
        <item x="1056"/>
        <item x="274"/>
        <item x="1057"/>
        <item x="568"/>
        <item x="183"/>
        <item x="46"/>
        <item x="774"/>
        <item x="732"/>
        <item x="71"/>
        <item x="1058"/>
        <item x="848"/>
        <item x="3"/>
        <item x="127"/>
        <item x="1059"/>
        <item x="775"/>
        <item x="57"/>
        <item x="194"/>
        <item x="777"/>
        <item x="590"/>
        <item x="1060"/>
        <item x="786"/>
        <item x="303"/>
        <item x="813"/>
        <item x="205"/>
        <item x="1061"/>
        <item x="756"/>
        <item x="1062"/>
        <item x="295"/>
        <item x="808"/>
        <item x="823"/>
        <item x="473"/>
        <item x="162"/>
        <item x="1063"/>
        <item x="705"/>
        <item x="809"/>
        <item x="79"/>
        <item x="546"/>
        <item x="1064"/>
        <item x="804"/>
        <item x="9"/>
        <item x="314"/>
        <item x="442"/>
        <item x="874"/>
        <item x="17"/>
        <item x="233"/>
        <item x="99"/>
        <item x="768"/>
        <item x="116"/>
        <item x="763"/>
        <item x="245"/>
        <item x="151"/>
        <item x="49"/>
        <item x="1065"/>
        <item x="606"/>
        <item x="118"/>
        <item x="37"/>
        <item x="868"/>
        <item x="275"/>
        <item x="806"/>
        <item x="1066"/>
        <item x="1067"/>
        <item x="307"/>
        <item x="336"/>
        <item x="18"/>
        <item x="816"/>
        <item x="517"/>
        <item x="73"/>
        <item x="262"/>
        <item x="1068"/>
        <item x="160"/>
        <item x="686"/>
        <item x="1069"/>
        <item x="335"/>
        <item x="366"/>
        <item x="509"/>
        <item x="1070"/>
        <item x="704"/>
        <item x="72"/>
        <item x="512"/>
        <item x="418"/>
        <item x="761"/>
        <item x="1071"/>
        <item x="147"/>
        <item x="1072"/>
        <item x="448"/>
        <item x="692"/>
        <item x="261"/>
        <item x="880"/>
        <item x="602"/>
        <item x="225"/>
        <item x="241"/>
        <item x="1073"/>
        <item x="58"/>
        <item x="653"/>
        <item x="360"/>
        <item x="112"/>
        <item x="387"/>
        <item x="616"/>
        <item x="1074"/>
        <item x="1075"/>
        <item x="337"/>
        <item x="252"/>
        <item x="612"/>
        <item x="869"/>
        <item x="259"/>
        <item x="1076"/>
        <item x="508"/>
        <item x="881"/>
        <item x="426"/>
        <item x="507"/>
        <item x="200"/>
        <item x="739"/>
        <item x="767"/>
        <item x="361"/>
        <item x="77"/>
        <item x="29"/>
        <item x="585"/>
        <item x="502"/>
        <item x="443"/>
        <item x="1077"/>
        <item x="1078"/>
        <item x="258"/>
        <item x="1079"/>
        <item x="474"/>
        <item x="1080"/>
        <item x="844"/>
        <item x="439"/>
        <item x="1081"/>
        <item x="270"/>
        <item x="754"/>
        <item x="1082"/>
        <item x="1083"/>
        <item x="100"/>
        <item x="572"/>
        <item x="213"/>
        <item x="279"/>
        <item x="855"/>
        <item x="1084"/>
        <item x="1085"/>
        <item x="1086"/>
        <item x="121"/>
        <item x="187"/>
        <item x="251"/>
        <item x="810"/>
        <item x="698"/>
        <item x="852"/>
        <item x="1087"/>
        <item x="1088"/>
        <item x="437"/>
        <item x="748"/>
        <item x="53"/>
        <item x="313"/>
        <item x="840"/>
        <item x="215"/>
        <item x="1089"/>
        <item x="431"/>
        <item x="719"/>
        <item x="323"/>
        <item x="1090"/>
        <item x="1091"/>
        <item x="223"/>
        <item x="1092"/>
        <item x="634"/>
        <item x="234"/>
        <item x="1093"/>
        <item x="645"/>
        <item x="821"/>
        <item x="291"/>
        <item x="559"/>
        <item x="1094"/>
        <item x="561"/>
        <item x="59"/>
        <item x="1095"/>
        <item x="1096"/>
        <item x="1097"/>
        <item x="414"/>
        <item x="283"/>
        <item x="102"/>
        <item x="210"/>
        <item x="1098"/>
        <item x="833"/>
        <item x="656"/>
        <item x="785"/>
        <item x="1099"/>
        <item x="276"/>
        <item x="433"/>
        <item x="444"/>
        <item x="796"/>
        <item x="95"/>
        <item x="1100"/>
        <item x="631"/>
        <item x="1101"/>
        <item x="720"/>
        <item x="292"/>
        <item x="677"/>
        <item x="1102"/>
        <item x="771"/>
        <item x="0"/>
        <item x="1103"/>
        <item x="501"/>
        <item x="747"/>
        <item x="424"/>
        <item x="1104"/>
        <item x="140"/>
        <item x="553"/>
        <item x="1105"/>
        <item x="497"/>
        <item x="573"/>
        <item x="1106"/>
        <item x="639"/>
        <item x="1107"/>
        <item x="548"/>
        <item x="1108"/>
        <item x="1109"/>
        <item x="338"/>
        <item x="219"/>
        <item x="1110"/>
        <item x="834"/>
        <item x="820"/>
        <item x="540"/>
        <item x="1111"/>
        <item x="699"/>
        <item x="551"/>
        <item x="191"/>
        <item x="1112"/>
        <item x="1113"/>
        <item x="173"/>
        <item x="620"/>
        <item x="230"/>
        <item x="750"/>
        <item x="600"/>
        <item x="657"/>
        <item x="1114"/>
        <item x="344"/>
        <item x="878"/>
        <item x="1115"/>
        <item x="125"/>
        <item x="622"/>
        <item x="228"/>
        <item x="1116"/>
        <item x="221"/>
        <item x="1117"/>
        <item x="624"/>
        <item x="749"/>
        <item x="1118"/>
        <item x="638"/>
        <item x="658"/>
        <item x="798"/>
        <item x="1119"/>
        <item x="781"/>
        <item x="249"/>
        <item x="113"/>
        <item x="357"/>
        <item x="438"/>
        <item x="325"/>
        <item x="271"/>
        <item x="1120"/>
        <item x="277"/>
        <item x="1121"/>
        <item x="667"/>
        <item x="128"/>
        <item x="316"/>
        <item x="409"/>
        <item x="1122"/>
        <item x="1123"/>
        <item x="203"/>
        <item x="1124"/>
        <item x="51"/>
        <item x="108"/>
        <item x="405"/>
        <item x="741"/>
        <item x="1125"/>
        <item x="522"/>
        <item x="26"/>
        <item x="567"/>
        <item x="420"/>
        <item x="1126"/>
        <item x="382"/>
        <item x="495"/>
        <item x="1127"/>
        <item x="1128"/>
        <item x="791"/>
        <item x="611"/>
        <item x="1129"/>
        <item x="618"/>
        <item x="216"/>
        <item x="757"/>
        <item x="327"/>
        <item x="1130"/>
        <item x="1131"/>
        <item x="589"/>
        <item x="1132"/>
        <item x="801"/>
        <item x="733"/>
        <item x="1133"/>
        <item x="381"/>
        <item x="1134"/>
        <item x="582"/>
        <item x="752"/>
        <item x="39"/>
        <item x="1135"/>
        <item x="117"/>
        <item x="1136"/>
        <item x="831"/>
        <item x="1137"/>
        <item x="832"/>
        <item x="545"/>
        <item x="753"/>
        <item x="1138"/>
        <item x="1139"/>
        <item x="130"/>
        <item x="1140"/>
        <item x="552"/>
        <item x="164"/>
        <item x="1141"/>
        <item x="16"/>
        <item x="697"/>
        <item x="652"/>
        <item x="499"/>
        <item x="1142"/>
        <item x="579"/>
        <item x="156"/>
        <item x="1143"/>
        <item x="1144"/>
        <item x="819"/>
        <item x="591"/>
        <item x="93"/>
        <item x="475"/>
        <item x="668"/>
        <item x="1145"/>
        <item x="469"/>
        <item x="641"/>
        <item x="1146"/>
        <item x="158"/>
        <item x="558"/>
        <item x="1147"/>
        <item x="86"/>
        <item x="882"/>
        <item x="680"/>
        <item x="565"/>
        <item x="516"/>
        <item x="389"/>
        <item x="792"/>
        <item x="101"/>
        <item x="80"/>
        <item x="673"/>
        <item x="1148"/>
        <item x="860"/>
        <item x="1149"/>
        <item x="828"/>
        <item x="1150"/>
        <item x="694"/>
        <item x="1151"/>
        <item x="408"/>
        <item x="28"/>
        <item x="119"/>
        <item x="676"/>
        <item x="556"/>
        <item x="54"/>
        <item x="367"/>
        <item x="671"/>
        <item x="770"/>
        <item x="350"/>
        <item x="25"/>
        <item x="282"/>
        <item x="374"/>
        <item x="526"/>
        <item x="421"/>
        <item x="1152"/>
        <item x="132"/>
        <item x="563"/>
        <item x="1153"/>
        <item x="163"/>
        <item x="1154"/>
        <item x="1155"/>
        <item x="661"/>
        <item x="1"/>
        <item x="209"/>
        <item x="623"/>
        <item x="1156"/>
        <item x="75"/>
        <item x="363"/>
        <item x="773"/>
        <item x="1157"/>
        <item x="1158"/>
        <item x="765"/>
        <item x="1159"/>
        <item x="1160"/>
        <item x="195"/>
        <item x="574"/>
        <item x="56"/>
        <item x="2"/>
        <item x="461"/>
        <item x="837"/>
        <item x="818"/>
        <item x="105"/>
        <item x="463"/>
        <item x="1161"/>
        <item x="36"/>
        <item x="643"/>
        <item x="529"/>
        <item x="877"/>
        <item x="85"/>
        <item x="607"/>
        <item x="122"/>
        <item x="583"/>
        <item x="1162"/>
        <item x="1163"/>
        <item x="1164"/>
        <item x="184"/>
        <item x="528"/>
        <item x="627"/>
        <item x="1165"/>
        <item x="1166"/>
        <item x="1167"/>
        <item x="863"/>
        <item x="1168"/>
        <item x="625"/>
        <item x="742"/>
        <item x="628"/>
        <item x="428"/>
        <item x="566"/>
        <item x="33"/>
        <item x="106"/>
        <item x="846"/>
        <item x="460"/>
        <item x="407"/>
        <item x="174"/>
        <item x="527"/>
        <item x="1169"/>
        <item x="1170"/>
        <item x="580"/>
        <item x="533"/>
        <item x="435"/>
        <item x="740"/>
        <item x="629"/>
        <item x="780"/>
        <item x="807"/>
        <item x="1171"/>
        <item x="371"/>
        <item x="61"/>
        <item x="308"/>
        <item x="68"/>
        <item x="723"/>
        <item x="1172"/>
        <item x="1173"/>
        <item x="520"/>
        <item x="5"/>
        <item x="220"/>
        <item x="587"/>
        <item x="513"/>
        <item x="137"/>
        <item x="395"/>
        <item x="459"/>
        <item x="107"/>
        <item x="666"/>
        <item x="725"/>
        <item x="1174"/>
        <item x="392"/>
        <item x="730"/>
        <item x="745"/>
        <item x="74"/>
        <item x="455"/>
        <item x="1175"/>
        <item x="1176"/>
        <item x="399"/>
        <item x="1177"/>
        <item x="239"/>
        <item x="400"/>
        <item x="601"/>
        <item x="30"/>
        <item x="1178"/>
        <item x="340"/>
        <item x="411"/>
        <item x="453"/>
        <item x="133"/>
        <item x="1179"/>
        <item x="681"/>
        <item x="34"/>
        <item x="402"/>
        <item x="1180"/>
        <item x="136"/>
        <item x="175"/>
        <item x="333"/>
        <item x="375"/>
        <item x="1181"/>
        <item x="649"/>
        <item x="1182"/>
        <item x="171"/>
        <item x="690"/>
        <item x="43"/>
        <item x="1183"/>
        <item x="397"/>
        <item x="1184"/>
        <item x="847"/>
        <item x="1185"/>
        <item x="776"/>
        <item x="97"/>
        <item x="504"/>
        <item x="6"/>
        <item x="547"/>
        <item x="464"/>
        <item x="109"/>
        <item x="632"/>
        <item x="1186"/>
        <item x="154"/>
        <item x="1187"/>
        <item x="688"/>
        <item x="537"/>
        <item x="66"/>
        <item x="20"/>
        <item x="248"/>
        <item x="1188"/>
        <item x="1189"/>
        <item x="492"/>
        <item x="669"/>
        <item x="185"/>
        <item x="419"/>
        <item x="180"/>
        <item x="689"/>
        <item x="1190"/>
        <item x="478"/>
        <item x="1191"/>
        <item x="1192"/>
        <item x="541"/>
        <item x="1193"/>
        <item x="1194"/>
        <item x="812"/>
        <item x="1195"/>
        <item x="446"/>
        <item x="19"/>
        <item x="716"/>
        <item x="324"/>
        <item x="843"/>
        <item x="482"/>
        <item x="1196"/>
        <item x="1197"/>
        <item x="530"/>
        <item x="876"/>
        <item x="619"/>
        <item x="1198"/>
        <item x="1199"/>
        <item x="841"/>
        <item x="839"/>
        <item t="default"/>
      </items>
    </pivotField>
    <pivotField showAll="0"/>
    <pivotField showAll="0"/>
    <pivotField axis="axisRow" showAll="0">
      <items count="8">
        <item x="5"/>
        <item x="1"/>
        <item x="2"/>
        <item x="4"/>
        <item x="3"/>
        <item x="6"/>
        <item x="0"/>
        <item t="default"/>
      </items>
    </pivotField>
    <pivotField showAll="0"/>
    <pivotField showAll="0"/>
    <pivotField showAll="0"/>
    <pivotField showAll="0"/>
    <pivotField showAll="0"/>
    <pivotField showAll="0"/>
    <pivotField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showAll="0">
      <items count="5">
        <item x="0"/>
        <item x="1"/>
        <item x="2"/>
        <item x="3"/>
        <item t="default"/>
      </items>
    </pivotField>
    <pivotField showAll="0"/>
    <pivotField showAll="0">
      <items count="6">
        <item x="1"/>
        <item x="4"/>
        <item x="3"/>
        <item x="0"/>
        <item x="2"/>
        <item t="default"/>
      </items>
    </pivotField>
    <pivotField showAll="0"/>
    <pivotField axis="axisCol" showAll="0">
      <items count="7">
        <item x="3"/>
        <item x="1"/>
        <item x="4"/>
        <item x="2"/>
        <item x="0"/>
        <item x="5"/>
        <item t="default"/>
      </items>
    </pivotField>
    <pivotField showAll="0"/>
    <pivotField showAll="0"/>
    <pivotField showAll="0">
      <items count="6">
        <item x="3"/>
        <item h="1" x="1"/>
        <item h="1" x="2"/>
        <item h="1"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8">
    <i>
      <x/>
    </i>
    <i>
      <x v="1"/>
    </i>
    <i>
      <x v="2"/>
    </i>
    <i>
      <x v="3"/>
    </i>
    <i>
      <x v="4"/>
    </i>
    <i>
      <x v="5"/>
    </i>
    <i>
      <x v="6"/>
    </i>
    <i t="grand">
      <x/>
    </i>
  </rowItems>
  <colFields count="1">
    <field x="16"/>
  </colFields>
  <colItems count="7">
    <i>
      <x/>
    </i>
    <i>
      <x v="1"/>
    </i>
    <i>
      <x v="2"/>
    </i>
    <i>
      <x v="3"/>
    </i>
    <i>
      <x v="4"/>
    </i>
    <i>
      <x v="5"/>
    </i>
    <i t="grand">
      <x/>
    </i>
  </colItems>
  <dataFields count="1">
    <dataField name="Count of Loan_ID" fld="0" subtotal="count" baseField="0" baseItem="0"/>
  </dataFields>
  <chartFormats count="6">
    <chartFormat chart="2" format="12" series="1">
      <pivotArea type="data" outline="0" fieldPosition="0">
        <references count="2">
          <reference field="4294967294" count="1" selected="0">
            <x v="0"/>
          </reference>
          <reference field="16" count="1" selected="0">
            <x v="0"/>
          </reference>
        </references>
      </pivotArea>
    </chartFormat>
    <chartFormat chart="2" format="13" series="1">
      <pivotArea type="data" outline="0" fieldPosition="0">
        <references count="2">
          <reference field="4294967294" count="1" selected="0">
            <x v="0"/>
          </reference>
          <reference field="16" count="1" selected="0">
            <x v="1"/>
          </reference>
        </references>
      </pivotArea>
    </chartFormat>
    <chartFormat chart="2" format="14" series="1">
      <pivotArea type="data" outline="0" fieldPosition="0">
        <references count="2">
          <reference field="4294967294" count="1" selected="0">
            <x v="0"/>
          </reference>
          <reference field="16" count="1" selected="0">
            <x v="2"/>
          </reference>
        </references>
      </pivotArea>
    </chartFormat>
    <chartFormat chart="2" format="15" series="1">
      <pivotArea type="data" outline="0" fieldPosition="0">
        <references count="2">
          <reference field="4294967294" count="1" selected="0">
            <x v="0"/>
          </reference>
          <reference field="16" count="1" selected="0">
            <x v="3"/>
          </reference>
        </references>
      </pivotArea>
    </chartFormat>
    <chartFormat chart="2" format="16" series="1">
      <pivotArea type="data" outline="0" fieldPosition="0">
        <references count="2">
          <reference field="4294967294" count="1" selected="0">
            <x v="0"/>
          </reference>
          <reference field="16" count="1" selected="0">
            <x v="4"/>
          </reference>
        </references>
      </pivotArea>
    </chartFormat>
    <chartFormat chart="2" format="17" series="1">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8E1D9F-6730-4F4A-806B-0DC7DAA566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 Region">
  <location ref="B5:D11" firstHeaderRow="0" firstDataRow="1" firstDataCol="1"/>
  <pivotFields count="23">
    <pivotField showAll="0"/>
    <pivotField showAll="0"/>
    <pivotField showAll="0"/>
    <pivotField showAll="0"/>
    <pivotField showAll="0"/>
    <pivotField dataField="1" showAll="0"/>
    <pivotField showAll="0"/>
    <pivotField showAll="0"/>
    <pivotField showAll="0"/>
    <pivotField showAll="0"/>
    <pivotField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showAll="0"/>
    <pivotField showAll="0"/>
    <pivotField axis="axisRow" showAll="0">
      <items count="6">
        <item x="1"/>
        <item x="4"/>
        <item x="3"/>
        <item x="0"/>
        <item x="2"/>
        <item t="default"/>
      </items>
    </pivotField>
    <pivotField showAll="0"/>
    <pivotField showAll="0"/>
    <pivotField showAll="0"/>
    <pivotField dataField="1" showAll="0"/>
    <pivotField showAll="0">
      <items count="6">
        <item x="3"/>
        <item x="1"/>
        <item x="2"/>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6">
    <i>
      <x/>
    </i>
    <i>
      <x v="1"/>
    </i>
    <i>
      <x v="2"/>
    </i>
    <i>
      <x v="3"/>
    </i>
    <i>
      <x v="4"/>
    </i>
    <i t="grand">
      <x/>
    </i>
  </rowItems>
  <colFields count="1">
    <field x="-2"/>
  </colFields>
  <colItems count="2">
    <i>
      <x/>
    </i>
    <i i="1">
      <x v="1"/>
    </i>
  </colItems>
  <dataFields count="2">
    <dataField name="Sum of Loan_Amount" fld="5" baseField="0" baseItem="0"/>
    <dataField name="Sum of Outstanding_Balance" fld="18" baseField="0" baseItem="0" numFmtId="1"/>
  </dataFields>
  <formats count="1">
    <format dxfId="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332987-5A09-4670-87BC-484BB88953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isk Distribution">
  <location ref="B15:D21" firstHeaderRow="0" firstDataRow="1" firstDataCol="1"/>
  <pivotFields count="23">
    <pivotField dataField="1" showAll="0"/>
    <pivotField showAll="0"/>
    <pivotField showAll="0"/>
    <pivotField showAll="0"/>
    <pivotField showAll="0"/>
    <pivotField dataField="1" showAll="0"/>
    <pivotField showAll="0"/>
    <pivotField showAll="0"/>
    <pivotField showAll="0"/>
    <pivotField showAll="0"/>
    <pivotField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showAll="0"/>
    <pivotField showAll="0"/>
    <pivotField showAll="0"/>
    <pivotField showAll="0"/>
    <pivotField showAll="0"/>
    <pivotField showAll="0"/>
    <pivotField showAll="0"/>
    <pivotField axis="axisRow" showAll="0">
      <items count="6">
        <item x="3"/>
        <item x="1"/>
        <item x="2"/>
        <item x="4"/>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6">
    <i>
      <x/>
    </i>
    <i>
      <x v="1"/>
    </i>
    <i>
      <x v="2"/>
    </i>
    <i>
      <x v="3"/>
    </i>
    <i>
      <x v="4"/>
    </i>
    <i t="grand">
      <x/>
    </i>
  </rowItems>
  <colFields count="1">
    <field x="-2"/>
  </colFields>
  <colItems count="2">
    <i>
      <x/>
    </i>
    <i i="1">
      <x v="1"/>
    </i>
  </colItems>
  <dataFields count="2">
    <dataField name="Count of Loan_ID" fld="0" subtotal="count" baseField="0" baseItem="0"/>
    <dataField name="Sum of Loan_Amount" fld="5"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701A4F-FB01-4DC6-B9DE-3B23E3C48FDF}"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Branch">
  <location ref="B20:C31" firstHeaderRow="1" firstDataRow="1" firstDataCol="1"/>
  <pivotFields count="23">
    <pivotField showAll="0"/>
    <pivotField showAll="0"/>
    <pivotField showAll="0"/>
    <pivotField showAll="0"/>
    <pivotField showAll="0"/>
    <pivotField dataField="1" showAll="0"/>
    <pivotField showAll="0"/>
    <pivotField showAll="0"/>
    <pivotField showAll="0"/>
    <pivotField showAll="0"/>
    <pivotField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showAll="0"/>
    <pivotField showAll="0"/>
    <pivotField showAll="0">
      <items count="6">
        <item x="1"/>
        <item x="4"/>
        <item x="3"/>
        <item x="0"/>
        <item x="2"/>
        <item t="default"/>
      </items>
    </pivotField>
    <pivotField axis="axisRow" showAll="0" measureFilter="1" sortType="ascending">
      <items count="26">
        <item x="4"/>
        <item x="8"/>
        <item x="0"/>
        <item x="3"/>
        <item x="23"/>
        <item x="7"/>
        <item x="22"/>
        <item x="5"/>
        <item x="17"/>
        <item x="14"/>
        <item x="24"/>
        <item x="2"/>
        <item x="1"/>
        <item x="18"/>
        <item x="21"/>
        <item x="9"/>
        <item x="15"/>
        <item x="19"/>
        <item x="13"/>
        <item x="11"/>
        <item x="12"/>
        <item x="16"/>
        <item x="6"/>
        <item x="10"/>
        <item x="20"/>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1">
    <i>
      <x/>
    </i>
    <i>
      <x v="1"/>
    </i>
    <i>
      <x v="2"/>
    </i>
    <i>
      <x v="5"/>
    </i>
    <i>
      <x v="9"/>
    </i>
    <i>
      <x v="11"/>
    </i>
    <i>
      <x v="15"/>
    </i>
    <i>
      <x v="21"/>
    </i>
    <i>
      <x v="22"/>
    </i>
    <i>
      <x v="23"/>
    </i>
    <i t="grand">
      <x/>
    </i>
  </rowItems>
  <colItems count="1">
    <i/>
  </colItems>
  <dataFields count="1">
    <dataField name="Sum of Loan_Amount" fld="5"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A0039D-D4F5-4A29-B32E-D0188EE159A6}" name="PivotTable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rowHeaderCaption="Region">
  <location ref="B4:C10" firstHeaderRow="1" firstDataRow="1" firstDataCol="1"/>
  <pivotFields count="23">
    <pivotField showAll="0"/>
    <pivotField showAll="0"/>
    <pivotField showAll="0"/>
    <pivotField showAll="0"/>
    <pivotField showAll="0"/>
    <pivotField dataField="1" showAll="0"/>
    <pivotField showAll="0"/>
    <pivotField showAll="0"/>
    <pivotField showAll="0"/>
    <pivotField showAll="0"/>
    <pivotField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showAll="0">
      <items count="5">
        <item x="0"/>
        <item x="1"/>
        <item x="2"/>
        <item x="3"/>
        <item t="default"/>
      </items>
    </pivotField>
    <pivotField showAll="0"/>
    <pivotField axis="axisRow" showAll="0">
      <items count="6">
        <item x="1"/>
        <item x="4"/>
        <item x="3"/>
        <item x="0"/>
        <item x="2"/>
        <item t="default"/>
      </items>
    </pivotField>
    <pivotField showAll="0">
      <items count="26">
        <item x="4"/>
        <item x="8"/>
        <item x="0"/>
        <item x="3"/>
        <item x="23"/>
        <item x="7"/>
        <item x="22"/>
        <item x="5"/>
        <item x="17"/>
        <item x="14"/>
        <item x="24"/>
        <item x="2"/>
        <item x="1"/>
        <item x="18"/>
        <item x="21"/>
        <item x="9"/>
        <item x="15"/>
        <item x="19"/>
        <item x="13"/>
        <item x="11"/>
        <item x="12"/>
        <item x="16"/>
        <item x="6"/>
        <item x="10"/>
        <item x="20"/>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6">
    <i>
      <x/>
    </i>
    <i>
      <x v="1"/>
    </i>
    <i>
      <x v="2"/>
    </i>
    <i>
      <x v="3"/>
    </i>
    <i>
      <x v="4"/>
    </i>
    <i t="grand">
      <x/>
    </i>
  </rowItems>
  <colItems count="1">
    <i/>
  </colItems>
  <dataFields count="1">
    <dataField name="Sum of Loan_Amount"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46671B-1C21-434B-B3EC-537ADFBE2D8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colHeaderCaption="Repayment Status">
  <location ref="B76:I83" firstHeaderRow="1" firstDataRow="2" firstDataCol="1"/>
  <pivotFields count="23">
    <pivotField dataField="1" showAll="0"/>
    <pivotField showAll="0"/>
    <pivotField showAll="0"/>
    <pivotField showAll="0">
      <items count="8">
        <item x="5"/>
        <item x="1"/>
        <item x="2"/>
        <item x="4"/>
        <item x="3"/>
        <item x="6"/>
        <item x="0"/>
        <item t="default"/>
      </items>
    </pivotField>
    <pivotField showAll="0"/>
    <pivotField showAll="0"/>
    <pivotField showAll="0"/>
    <pivotField showAll="0"/>
    <pivotField showAll="0"/>
    <pivotField showAll="0"/>
    <pivotField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showAll="0">
      <items count="5">
        <item x="0"/>
        <item x="1"/>
        <item x="2"/>
        <item x="3"/>
        <item t="default"/>
      </items>
    </pivotField>
    <pivotField showAll="0"/>
    <pivotField axis="axisRow" showAll="0">
      <items count="6">
        <item x="1"/>
        <item x="4"/>
        <item x="3"/>
        <item x="0"/>
        <item x="2"/>
        <item t="default"/>
      </items>
    </pivotField>
    <pivotField showAll="0"/>
    <pivotField axis="axisCol" showAll="0">
      <items count="7">
        <item x="3"/>
        <item x="1"/>
        <item x="4"/>
        <item x="2"/>
        <item x="0"/>
        <item x="5"/>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6">
    <i>
      <x/>
    </i>
    <i>
      <x v="1"/>
    </i>
    <i>
      <x v="2"/>
    </i>
    <i>
      <x v="3"/>
    </i>
    <i>
      <x v="4"/>
    </i>
    <i t="grand">
      <x/>
    </i>
  </rowItems>
  <colFields count="1">
    <field x="16"/>
  </colFields>
  <colItems count="7">
    <i>
      <x/>
    </i>
    <i>
      <x v="1"/>
    </i>
    <i>
      <x v="2"/>
    </i>
    <i>
      <x v="3"/>
    </i>
    <i>
      <x v="4"/>
    </i>
    <i>
      <x v="5"/>
    </i>
    <i t="grand">
      <x/>
    </i>
  </colItems>
  <dataFields count="1">
    <dataField name="Count of Loan_ID" fld="0" subtotal="count" baseField="0" baseItem="0"/>
  </dataFields>
  <chartFormats count="1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0" format="5" series="1">
      <pivotArea type="data" outline="0" fieldPosition="0">
        <references count="2">
          <reference field="4294967294" count="1" selected="0">
            <x v="0"/>
          </reference>
          <reference field="16" count="1" selected="0">
            <x v="5"/>
          </reference>
        </references>
      </pivotArea>
    </chartFormat>
    <chartFormat chart="1" format="0" series="1">
      <pivotArea type="data" outline="0" fieldPosition="0">
        <references count="2">
          <reference field="4294967294" count="1" selected="0">
            <x v="0"/>
          </reference>
          <reference field="16" count="1" selected="0">
            <x v="0"/>
          </reference>
        </references>
      </pivotArea>
    </chartFormat>
    <chartFormat chart="1" format="1" series="1">
      <pivotArea type="data" outline="0" fieldPosition="0">
        <references count="2">
          <reference field="4294967294" count="1" selected="0">
            <x v="0"/>
          </reference>
          <reference field="16" count="1" selected="0">
            <x v="1"/>
          </reference>
        </references>
      </pivotArea>
    </chartFormat>
    <chartFormat chart="1" format="2" series="1">
      <pivotArea type="data" outline="0" fieldPosition="0">
        <references count="2">
          <reference field="4294967294" count="1" selected="0">
            <x v="0"/>
          </reference>
          <reference field="16" count="1" selected="0">
            <x v="2"/>
          </reference>
        </references>
      </pivotArea>
    </chartFormat>
    <chartFormat chart="1" format="3" series="1">
      <pivotArea type="data" outline="0" fieldPosition="0">
        <references count="2">
          <reference field="4294967294" count="1" selected="0">
            <x v="0"/>
          </reference>
          <reference field="16" count="1" selected="0">
            <x v="3"/>
          </reference>
        </references>
      </pivotArea>
    </chartFormat>
    <chartFormat chart="1" format="4" series="1">
      <pivotArea type="data" outline="0" fieldPosition="0">
        <references count="2">
          <reference field="4294967294" count="1" selected="0">
            <x v="0"/>
          </reference>
          <reference field="16" count="1" selected="0">
            <x v="4"/>
          </reference>
        </references>
      </pivotArea>
    </chartFormat>
    <chartFormat chart="1" format="5" series="1">
      <pivotArea type="data" outline="0" fieldPosition="0">
        <references count="2">
          <reference field="4294967294" count="1" selected="0">
            <x v="0"/>
          </reference>
          <reference field="16" count="1" selected="0">
            <x v="5"/>
          </reference>
        </references>
      </pivotArea>
    </chartFormat>
    <chartFormat chart="1" format="6"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694D82-D51F-4BFD-A228-1A5F09ED5F92}"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Risk Category">
  <location ref="B58:C64" firstHeaderRow="1" firstDataRow="1" firstDataCol="1"/>
  <pivotFields count="23">
    <pivotField showAll="0">
      <items count="1201">
        <item x="534"/>
        <item x="884"/>
        <item x="302"/>
        <item x="358"/>
        <item x="642"/>
        <item x="21"/>
        <item x="604"/>
        <item x="853"/>
        <item x="406"/>
        <item x="885"/>
        <item x="500"/>
        <item x="615"/>
        <item x="825"/>
        <item x="886"/>
        <item x="256"/>
        <item x="887"/>
        <item x="888"/>
        <item x="889"/>
        <item x="890"/>
        <item x="172"/>
        <item x="644"/>
        <item x="721"/>
        <item x="462"/>
        <item x="531"/>
        <item x="891"/>
        <item x="69"/>
        <item x="98"/>
        <item x="892"/>
        <item x="682"/>
        <item x="893"/>
        <item x="894"/>
        <item x="895"/>
        <item x="364"/>
        <item x="253"/>
        <item x="896"/>
        <item x="897"/>
        <item x="898"/>
        <item x="479"/>
        <item x="738"/>
        <item x="899"/>
        <item x="410"/>
        <item x="103"/>
        <item x="404"/>
        <item x="900"/>
        <item x="901"/>
        <item x="902"/>
        <item x="96"/>
        <item x="388"/>
        <item x="729"/>
        <item x="416"/>
        <item x="299"/>
        <item x="272"/>
        <item x="794"/>
        <item x="359"/>
        <item x="447"/>
        <item x="866"/>
        <item x="684"/>
        <item x="236"/>
        <item x="871"/>
        <item x="827"/>
        <item x="273"/>
        <item x="851"/>
        <item x="842"/>
        <item x="903"/>
        <item x="904"/>
        <item x="436"/>
        <item x="353"/>
        <item x="365"/>
        <item x="581"/>
        <item x="346"/>
        <item x="905"/>
        <item x="659"/>
        <item x="906"/>
        <item x="217"/>
        <item x="519"/>
        <item x="62"/>
        <item x="907"/>
        <item x="908"/>
        <item x="909"/>
        <item x="910"/>
        <item x="554"/>
        <item x="593"/>
        <item x="911"/>
        <item x="912"/>
        <item x="662"/>
        <item x="913"/>
        <item x="78"/>
        <item x="144"/>
        <item x="472"/>
        <item x="914"/>
        <item x="214"/>
        <item x="134"/>
        <item x="650"/>
        <item x="190"/>
        <item x="177"/>
        <item x="306"/>
        <item x="372"/>
        <item x="45"/>
        <item x="915"/>
        <item x="189"/>
        <item x="14"/>
        <item x="543"/>
        <item x="458"/>
        <item x="87"/>
        <item x="229"/>
        <item x="65"/>
        <item x="471"/>
        <item x="916"/>
        <item x="917"/>
        <item x="330"/>
        <item x="498"/>
        <item x="309"/>
        <item x="918"/>
        <item x="480"/>
        <item x="550"/>
        <item x="577"/>
        <item x="789"/>
        <item x="919"/>
        <item x="63"/>
        <item x="920"/>
        <item x="555"/>
        <item x="646"/>
        <item x="815"/>
        <item x="465"/>
        <item x="921"/>
        <item x="674"/>
        <item x="635"/>
        <item x="536"/>
        <item x="542"/>
        <item x="196"/>
        <item x="90"/>
        <item x="922"/>
        <item x="660"/>
        <item x="727"/>
        <item x="760"/>
        <item x="712"/>
        <item x="923"/>
        <item x="170"/>
        <item x="280"/>
        <item x="924"/>
        <item x="925"/>
        <item x="926"/>
        <item x="211"/>
        <item x="104"/>
        <item x="315"/>
        <item x="470"/>
        <item x="927"/>
        <item x="793"/>
        <item x="811"/>
        <item x="166"/>
        <item x="515"/>
        <item x="701"/>
        <item x="928"/>
        <item x="476"/>
        <item x="817"/>
        <item x="60"/>
        <item x="929"/>
        <item x="157"/>
        <item x="930"/>
        <item x="247"/>
        <item x="356"/>
        <item x="535"/>
        <item x="647"/>
        <item x="345"/>
        <item x="790"/>
        <item x="931"/>
        <item x="197"/>
        <item x="814"/>
        <item x="854"/>
        <item x="412"/>
        <item x="803"/>
        <item x="932"/>
        <item x="709"/>
        <item x="341"/>
        <item x="850"/>
        <item x="933"/>
        <item x="772"/>
        <item x="636"/>
        <item x="76"/>
        <item x="836"/>
        <item x="934"/>
        <item x="451"/>
        <item x="83"/>
        <item x="707"/>
        <item x="935"/>
        <item x="936"/>
        <item x="334"/>
        <item x="937"/>
        <item x="938"/>
        <item x="864"/>
        <item x="143"/>
        <item x="153"/>
        <item x="485"/>
        <item x="488"/>
        <item x="755"/>
        <item x="161"/>
        <item x="939"/>
        <item x="940"/>
        <item x="207"/>
        <item x="735"/>
        <item x="711"/>
        <item x="391"/>
        <item x="805"/>
        <item x="88"/>
        <item x="204"/>
        <item x="369"/>
        <item x="941"/>
        <item x="865"/>
        <item x="244"/>
        <item x="322"/>
        <item x="942"/>
        <item x="265"/>
        <item x="110"/>
        <item x="235"/>
        <item x="599"/>
        <item x="943"/>
        <item x="783"/>
        <item x="396"/>
        <item x="856"/>
        <item x="944"/>
        <item x="724"/>
        <item x="945"/>
        <item x="305"/>
        <item x="477"/>
        <item x="40"/>
        <item x="321"/>
        <item x="835"/>
        <item x="685"/>
        <item x="946"/>
        <item x="829"/>
        <item x="208"/>
        <item x="278"/>
        <item x="523"/>
        <item x="44"/>
        <item x="947"/>
        <item x="751"/>
        <item x="432"/>
        <item x="728"/>
        <item x="12"/>
        <item x="145"/>
        <item x="575"/>
        <item x="948"/>
        <item x="81"/>
        <item x="743"/>
        <item x="949"/>
        <item x="549"/>
        <item x="950"/>
        <item x="42"/>
        <item x="417"/>
        <item x="468"/>
        <item x="802"/>
        <item x="111"/>
        <item x="326"/>
        <item x="429"/>
        <item x="718"/>
        <item x="951"/>
        <item x="483"/>
        <item x="286"/>
        <item x="91"/>
        <item x="598"/>
        <item x="713"/>
        <item x="952"/>
        <item x="250"/>
        <item x="648"/>
        <item x="608"/>
        <item x="289"/>
        <item x="55"/>
        <item x="456"/>
        <item x="564"/>
        <item x="953"/>
        <item x="954"/>
        <item x="883"/>
        <item x="415"/>
        <item x="288"/>
        <item x="82"/>
        <item x="242"/>
        <item x="131"/>
        <item x="955"/>
        <item x="32"/>
        <item x="493"/>
        <item x="383"/>
        <item x="222"/>
        <item x="11"/>
        <item x="304"/>
        <item x="956"/>
        <item x="434"/>
        <item x="123"/>
        <item x="957"/>
        <item x="958"/>
        <item x="182"/>
        <item x="218"/>
        <item x="331"/>
        <item x="390"/>
        <item x="227"/>
        <item x="181"/>
        <item x="708"/>
        <item x="576"/>
        <item x="830"/>
        <item x="4"/>
        <item x="959"/>
        <item x="960"/>
        <item x="467"/>
        <item x="422"/>
        <item x="290"/>
        <item x="961"/>
        <item x="176"/>
        <item x="962"/>
        <item x="714"/>
        <item x="67"/>
        <item x="722"/>
        <item x="963"/>
        <item x="964"/>
        <item x="148"/>
        <item x="595"/>
        <item x="511"/>
        <item x="700"/>
        <item x="965"/>
        <item x="240"/>
        <item x="630"/>
        <item x="966"/>
        <item x="441"/>
        <item x="715"/>
        <item x="169"/>
        <item x="38"/>
        <item x="510"/>
        <item x="487"/>
        <item x="967"/>
        <item x="342"/>
        <item x="968"/>
        <item x="150"/>
        <item x="969"/>
        <item x="287"/>
        <item x="237"/>
        <item x="486"/>
        <item x="838"/>
        <item x="970"/>
        <item x="971"/>
        <item x="384"/>
        <item x="972"/>
        <item x="973"/>
        <item x="41"/>
        <item x="27"/>
        <item x="594"/>
        <item x="974"/>
        <item x="370"/>
        <item x="603"/>
        <item x="663"/>
        <item x="232"/>
        <item x="267"/>
        <item x="120"/>
        <item x="975"/>
        <item x="784"/>
        <item x="976"/>
        <item x="257"/>
        <item x="398"/>
        <item x="633"/>
        <item x="569"/>
        <item x="977"/>
        <item x="379"/>
        <item x="328"/>
        <item x="243"/>
        <item x="640"/>
        <item x="978"/>
        <item x="592"/>
        <item x="979"/>
        <item x="980"/>
        <item x="981"/>
        <item x="982"/>
        <item x="584"/>
        <item x="457"/>
        <item x="983"/>
        <item x="683"/>
        <item x="984"/>
        <item x="985"/>
        <item x="665"/>
        <item x="986"/>
        <item x="800"/>
        <item x="378"/>
        <item x="987"/>
        <item x="15"/>
        <item x="260"/>
        <item x="22"/>
        <item x="795"/>
        <item x="8"/>
        <item x="281"/>
        <item x="988"/>
        <item x="989"/>
        <item x="206"/>
        <item x="503"/>
        <item x="990"/>
        <item x="991"/>
        <item x="13"/>
        <item x="992"/>
        <item x="993"/>
        <item x="149"/>
        <item x="779"/>
        <item x="994"/>
        <item x="578"/>
        <item x="570"/>
        <item x="995"/>
        <item x="873"/>
        <item x="413"/>
        <item x="494"/>
        <item x="514"/>
        <item x="996"/>
        <item x="997"/>
        <item x="998"/>
        <item x="613"/>
        <item x="376"/>
        <item x="452"/>
        <item x="466"/>
        <item x="758"/>
        <item x="999"/>
        <item x="294"/>
        <item x="1000"/>
        <item x="349"/>
        <item x="454"/>
        <item x="139"/>
        <item x="797"/>
        <item x="312"/>
        <item x="655"/>
        <item x="1001"/>
        <item x="538"/>
        <item x="351"/>
        <item x="539"/>
        <item x="297"/>
        <item x="179"/>
        <item x="1002"/>
        <item x="862"/>
        <item x="186"/>
        <item x="491"/>
        <item x="401"/>
        <item x="687"/>
        <item x="1003"/>
        <item x="1004"/>
        <item x="525"/>
        <item x="759"/>
        <item x="224"/>
        <item x="114"/>
        <item x="84"/>
        <item x="285"/>
        <item x="1005"/>
        <item x="489"/>
        <item x="142"/>
        <item x="726"/>
        <item x="10"/>
        <item x="64"/>
        <item x="394"/>
        <item x="588"/>
        <item x="1006"/>
        <item x="355"/>
        <item x="317"/>
        <item x="766"/>
        <item x="47"/>
        <item x="440"/>
        <item x="870"/>
        <item x="782"/>
        <item x="347"/>
        <item x="490"/>
        <item x="672"/>
        <item x="1007"/>
        <item x="193"/>
        <item x="1008"/>
        <item x="521"/>
        <item x="849"/>
        <item x="518"/>
        <item x="1009"/>
        <item x="155"/>
        <item x="23"/>
        <item x="845"/>
        <item x="822"/>
        <item x="1010"/>
        <item x="377"/>
        <item x="1011"/>
        <item x="654"/>
        <item x="115"/>
        <item x="637"/>
        <item x="1012"/>
        <item x="1013"/>
        <item x="532"/>
        <item x="861"/>
        <item x="609"/>
        <item x="445"/>
        <item x="597"/>
        <item x="1014"/>
        <item x="706"/>
        <item x="310"/>
        <item x="875"/>
        <item x="670"/>
        <item x="352"/>
        <item x="202"/>
        <item x="1015"/>
        <item x="318"/>
        <item x="89"/>
        <item x="48"/>
        <item x="1016"/>
        <item x="696"/>
        <item x="562"/>
        <item x="1017"/>
        <item x="348"/>
        <item x="393"/>
        <item x="329"/>
        <item x="1018"/>
        <item x="1019"/>
        <item x="1020"/>
        <item x="693"/>
        <item x="1021"/>
        <item x="263"/>
        <item x="1022"/>
        <item x="450"/>
        <item x="7"/>
        <item x="138"/>
        <item x="1023"/>
        <item x="380"/>
        <item x="94"/>
        <item x="731"/>
        <item x="484"/>
        <item x="679"/>
        <item x="710"/>
        <item x="857"/>
        <item x="1024"/>
        <item x="1025"/>
        <item x="266"/>
        <item x="1026"/>
        <item x="343"/>
        <item x="626"/>
        <item x="1027"/>
        <item x="425"/>
        <item x="159"/>
        <item x="879"/>
        <item x="1028"/>
        <item x="1029"/>
        <item x="320"/>
        <item x="300"/>
        <item x="1030"/>
        <item x="449"/>
        <item x="268"/>
        <item x="141"/>
        <item x="736"/>
        <item x="354"/>
        <item x="70"/>
        <item x="867"/>
        <item x="1031"/>
        <item x="165"/>
        <item x="1032"/>
        <item x="188"/>
        <item x="201"/>
        <item x="264"/>
        <item x="1033"/>
        <item x="212"/>
        <item x="778"/>
        <item x="1034"/>
        <item x="255"/>
        <item x="702"/>
        <item x="1035"/>
        <item x="571"/>
        <item x="146"/>
        <item x="675"/>
        <item x="126"/>
        <item x="505"/>
        <item x="178"/>
        <item x="386"/>
        <item x="226"/>
        <item x="1036"/>
        <item x="301"/>
        <item x="1037"/>
        <item x="362"/>
        <item x="586"/>
        <item x="284"/>
        <item x="737"/>
        <item x="824"/>
        <item x="744"/>
        <item x="198"/>
        <item x="92"/>
        <item x="769"/>
        <item x="1038"/>
        <item x="298"/>
        <item x="192"/>
        <item x="373"/>
        <item x="24"/>
        <item x="403"/>
        <item x="135"/>
        <item x="621"/>
        <item x="1039"/>
        <item x="717"/>
        <item x="496"/>
        <item x="199"/>
        <item x="1040"/>
        <item x="762"/>
        <item x="1041"/>
        <item x="427"/>
        <item x="368"/>
        <item x="617"/>
        <item x="826"/>
        <item x="50"/>
        <item x="152"/>
        <item x="1042"/>
        <item x="1043"/>
        <item x="691"/>
        <item x="560"/>
        <item x="1044"/>
        <item x="746"/>
        <item x="231"/>
        <item x="52"/>
        <item x="269"/>
        <item x="246"/>
        <item x="1045"/>
        <item x="596"/>
        <item x="544"/>
        <item x="610"/>
        <item x="1046"/>
        <item x="129"/>
        <item x="167"/>
        <item x="506"/>
        <item x="1047"/>
        <item x="799"/>
        <item x="238"/>
        <item x="703"/>
        <item x="651"/>
        <item x="859"/>
        <item x="293"/>
        <item x="168"/>
        <item x="124"/>
        <item x="664"/>
        <item x="430"/>
        <item x="1048"/>
        <item x="524"/>
        <item x="385"/>
        <item x="1049"/>
        <item x="319"/>
        <item x="858"/>
        <item x="1050"/>
        <item x="31"/>
        <item x="1051"/>
        <item x="614"/>
        <item x="423"/>
        <item x="35"/>
        <item x="296"/>
        <item x="481"/>
        <item x="787"/>
        <item x="734"/>
        <item x="788"/>
        <item x="1052"/>
        <item x="311"/>
        <item x="339"/>
        <item x="764"/>
        <item x="1053"/>
        <item x="678"/>
        <item x="1054"/>
        <item x="557"/>
        <item x="1055"/>
        <item x="254"/>
        <item x="695"/>
        <item x="605"/>
        <item x="332"/>
        <item x="872"/>
        <item x="1056"/>
        <item x="274"/>
        <item x="1057"/>
        <item x="568"/>
        <item x="183"/>
        <item x="46"/>
        <item x="774"/>
        <item x="732"/>
        <item x="71"/>
        <item x="1058"/>
        <item x="848"/>
        <item x="3"/>
        <item x="127"/>
        <item x="1059"/>
        <item x="775"/>
        <item x="57"/>
        <item x="194"/>
        <item x="777"/>
        <item x="590"/>
        <item x="1060"/>
        <item x="786"/>
        <item x="303"/>
        <item x="813"/>
        <item x="205"/>
        <item x="1061"/>
        <item x="756"/>
        <item x="1062"/>
        <item x="295"/>
        <item x="808"/>
        <item x="823"/>
        <item x="473"/>
        <item x="162"/>
        <item x="1063"/>
        <item x="705"/>
        <item x="809"/>
        <item x="79"/>
        <item x="546"/>
        <item x="1064"/>
        <item x="804"/>
        <item x="9"/>
        <item x="314"/>
        <item x="442"/>
        <item x="874"/>
        <item x="17"/>
        <item x="233"/>
        <item x="99"/>
        <item x="768"/>
        <item x="116"/>
        <item x="763"/>
        <item x="245"/>
        <item x="151"/>
        <item x="49"/>
        <item x="1065"/>
        <item x="606"/>
        <item x="118"/>
        <item x="37"/>
        <item x="868"/>
        <item x="275"/>
        <item x="806"/>
        <item x="1066"/>
        <item x="1067"/>
        <item x="307"/>
        <item x="336"/>
        <item x="18"/>
        <item x="816"/>
        <item x="517"/>
        <item x="73"/>
        <item x="262"/>
        <item x="1068"/>
        <item x="160"/>
        <item x="686"/>
        <item x="1069"/>
        <item x="335"/>
        <item x="366"/>
        <item x="509"/>
        <item x="1070"/>
        <item x="704"/>
        <item x="72"/>
        <item x="512"/>
        <item x="418"/>
        <item x="761"/>
        <item x="1071"/>
        <item x="147"/>
        <item x="1072"/>
        <item x="448"/>
        <item x="692"/>
        <item x="261"/>
        <item x="880"/>
        <item x="602"/>
        <item x="225"/>
        <item x="241"/>
        <item x="1073"/>
        <item x="58"/>
        <item x="653"/>
        <item x="360"/>
        <item x="112"/>
        <item x="387"/>
        <item x="616"/>
        <item x="1074"/>
        <item x="1075"/>
        <item x="337"/>
        <item x="252"/>
        <item x="612"/>
        <item x="869"/>
        <item x="259"/>
        <item x="1076"/>
        <item x="508"/>
        <item x="881"/>
        <item x="426"/>
        <item x="507"/>
        <item x="200"/>
        <item x="739"/>
        <item x="767"/>
        <item x="361"/>
        <item x="77"/>
        <item x="29"/>
        <item x="585"/>
        <item x="502"/>
        <item x="443"/>
        <item x="1077"/>
        <item x="1078"/>
        <item x="258"/>
        <item x="1079"/>
        <item x="474"/>
        <item x="1080"/>
        <item x="844"/>
        <item x="439"/>
        <item x="1081"/>
        <item x="270"/>
        <item x="754"/>
        <item x="1082"/>
        <item x="1083"/>
        <item x="100"/>
        <item x="572"/>
        <item x="213"/>
        <item x="279"/>
        <item x="855"/>
        <item x="1084"/>
        <item x="1085"/>
        <item x="1086"/>
        <item x="121"/>
        <item x="187"/>
        <item x="251"/>
        <item x="810"/>
        <item x="698"/>
        <item x="852"/>
        <item x="1087"/>
        <item x="1088"/>
        <item x="437"/>
        <item x="748"/>
        <item x="53"/>
        <item x="313"/>
        <item x="840"/>
        <item x="215"/>
        <item x="1089"/>
        <item x="431"/>
        <item x="719"/>
        <item x="323"/>
        <item x="1090"/>
        <item x="1091"/>
        <item x="223"/>
        <item x="1092"/>
        <item x="634"/>
        <item x="234"/>
        <item x="1093"/>
        <item x="645"/>
        <item x="821"/>
        <item x="291"/>
        <item x="559"/>
        <item x="1094"/>
        <item x="561"/>
        <item x="59"/>
        <item x="1095"/>
        <item x="1096"/>
        <item x="1097"/>
        <item x="414"/>
        <item x="283"/>
        <item x="102"/>
        <item x="210"/>
        <item x="1098"/>
        <item x="833"/>
        <item x="656"/>
        <item x="785"/>
        <item x="1099"/>
        <item x="276"/>
        <item x="433"/>
        <item x="444"/>
        <item x="796"/>
        <item x="95"/>
        <item x="1100"/>
        <item x="631"/>
        <item x="1101"/>
        <item x="720"/>
        <item x="292"/>
        <item x="677"/>
        <item x="1102"/>
        <item x="771"/>
        <item x="0"/>
        <item x="1103"/>
        <item x="501"/>
        <item x="747"/>
        <item x="424"/>
        <item x="1104"/>
        <item x="140"/>
        <item x="553"/>
        <item x="1105"/>
        <item x="497"/>
        <item x="573"/>
        <item x="1106"/>
        <item x="639"/>
        <item x="1107"/>
        <item x="548"/>
        <item x="1108"/>
        <item x="1109"/>
        <item x="338"/>
        <item x="219"/>
        <item x="1110"/>
        <item x="834"/>
        <item x="820"/>
        <item x="540"/>
        <item x="1111"/>
        <item x="699"/>
        <item x="551"/>
        <item x="191"/>
        <item x="1112"/>
        <item x="1113"/>
        <item x="173"/>
        <item x="620"/>
        <item x="230"/>
        <item x="750"/>
        <item x="600"/>
        <item x="657"/>
        <item x="1114"/>
        <item x="344"/>
        <item x="878"/>
        <item x="1115"/>
        <item x="125"/>
        <item x="622"/>
        <item x="228"/>
        <item x="1116"/>
        <item x="221"/>
        <item x="1117"/>
        <item x="624"/>
        <item x="749"/>
        <item x="1118"/>
        <item x="638"/>
        <item x="658"/>
        <item x="798"/>
        <item x="1119"/>
        <item x="781"/>
        <item x="249"/>
        <item x="113"/>
        <item x="357"/>
        <item x="438"/>
        <item x="325"/>
        <item x="271"/>
        <item x="1120"/>
        <item x="277"/>
        <item x="1121"/>
        <item x="667"/>
        <item x="128"/>
        <item x="316"/>
        <item x="409"/>
        <item x="1122"/>
        <item x="1123"/>
        <item x="203"/>
        <item x="1124"/>
        <item x="51"/>
        <item x="108"/>
        <item x="405"/>
        <item x="741"/>
        <item x="1125"/>
        <item x="522"/>
        <item x="26"/>
        <item x="567"/>
        <item x="420"/>
        <item x="1126"/>
        <item x="382"/>
        <item x="495"/>
        <item x="1127"/>
        <item x="1128"/>
        <item x="791"/>
        <item x="611"/>
        <item x="1129"/>
        <item x="618"/>
        <item x="216"/>
        <item x="757"/>
        <item x="327"/>
        <item x="1130"/>
        <item x="1131"/>
        <item x="589"/>
        <item x="1132"/>
        <item x="801"/>
        <item x="733"/>
        <item x="1133"/>
        <item x="381"/>
        <item x="1134"/>
        <item x="582"/>
        <item x="752"/>
        <item x="39"/>
        <item x="1135"/>
        <item x="117"/>
        <item x="1136"/>
        <item x="831"/>
        <item x="1137"/>
        <item x="832"/>
        <item x="545"/>
        <item x="753"/>
        <item x="1138"/>
        <item x="1139"/>
        <item x="130"/>
        <item x="1140"/>
        <item x="552"/>
        <item x="164"/>
        <item x="1141"/>
        <item x="16"/>
        <item x="697"/>
        <item x="652"/>
        <item x="499"/>
        <item x="1142"/>
        <item x="579"/>
        <item x="156"/>
        <item x="1143"/>
        <item x="1144"/>
        <item x="819"/>
        <item x="591"/>
        <item x="93"/>
        <item x="475"/>
        <item x="668"/>
        <item x="1145"/>
        <item x="469"/>
        <item x="641"/>
        <item x="1146"/>
        <item x="158"/>
        <item x="558"/>
        <item x="1147"/>
        <item x="86"/>
        <item x="882"/>
        <item x="680"/>
        <item x="565"/>
        <item x="516"/>
        <item x="389"/>
        <item x="792"/>
        <item x="101"/>
        <item x="80"/>
        <item x="673"/>
        <item x="1148"/>
        <item x="860"/>
        <item x="1149"/>
        <item x="828"/>
        <item x="1150"/>
        <item x="694"/>
        <item x="1151"/>
        <item x="408"/>
        <item x="28"/>
        <item x="119"/>
        <item x="676"/>
        <item x="556"/>
        <item x="54"/>
        <item x="367"/>
        <item x="671"/>
        <item x="770"/>
        <item x="350"/>
        <item x="25"/>
        <item x="282"/>
        <item x="374"/>
        <item x="526"/>
        <item x="421"/>
        <item x="1152"/>
        <item x="132"/>
        <item x="563"/>
        <item x="1153"/>
        <item x="163"/>
        <item x="1154"/>
        <item x="1155"/>
        <item x="661"/>
        <item x="1"/>
        <item x="209"/>
        <item x="623"/>
        <item x="1156"/>
        <item x="75"/>
        <item x="363"/>
        <item x="773"/>
        <item x="1157"/>
        <item x="1158"/>
        <item x="765"/>
        <item x="1159"/>
        <item x="1160"/>
        <item x="195"/>
        <item x="574"/>
        <item x="56"/>
        <item x="2"/>
        <item x="461"/>
        <item x="837"/>
        <item x="818"/>
        <item x="105"/>
        <item x="463"/>
        <item x="1161"/>
        <item x="36"/>
        <item x="643"/>
        <item x="529"/>
        <item x="877"/>
        <item x="85"/>
        <item x="607"/>
        <item x="122"/>
        <item x="583"/>
        <item x="1162"/>
        <item x="1163"/>
        <item x="1164"/>
        <item x="184"/>
        <item x="528"/>
        <item x="627"/>
        <item x="1165"/>
        <item x="1166"/>
        <item x="1167"/>
        <item x="863"/>
        <item x="1168"/>
        <item x="625"/>
        <item x="742"/>
        <item x="628"/>
        <item x="428"/>
        <item x="566"/>
        <item x="33"/>
        <item x="106"/>
        <item x="846"/>
        <item x="460"/>
        <item x="407"/>
        <item x="174"/>
        <item x="527"/>
        <item x="1169"/>
        <item x="1170"/>
        <item x="580"/>
        <item x="533"/>
        <item x="435"/>
        <item x="740"/>
        <item x="629"/>
        <item x="780"/>
        <item x="807"/>
        <item x="1171"/>
        <item x="371"/>
        <item x="61"/>
        <item x="308"/>
        <item x="68"/>
        <item x="723"/>
        <item x="1172"/>
        <item x="1173"/>
        <item x="520"/>
        <item x="5"/>
        <item x="220"/>
        <item x="587"/>
        <item x="513"/>
        <item x="137"/>
        <item x="395"/>
        <item x="459"/>
        <item x="107"/>
        <item x="666"/>
        <item x="725"/>
        <item x="1174"/>
        <item x="392"/>
        <item x="730"/>
        <item x="745"/>
        <item x="74"/>
        <item x="455"/>
        <item x="1175"/>
        <item x="1176"/>
        <item x="399"/>
        <item x="1177"/>
        <item x="239"/>
        <item x="400"/>
        <item x="601"/>
        <item x="30"/>
        <item x="1178"/>
        <item x="340"/>
        <item x="411"/>
        <item x="453"/>
        <item x="133"/>
        <item x="1179"/>
        <item x="681"/>
        <item x="34"/>
        <item x="402"/>
        <item x="1180"/>
        <item x="136"/>
        <item x="175"/>
        <item x="333"/>
        <item x="375"/>
        <item x="1181"/>
        <item x="649"/>
        <item x="1182"/>
        <item x="171"/>
        <item x="690"/>
        <item x="43"/>
        <item x="1183"/>
        <item x="397"/>
        <item x="1184"/>
        <item x="847"/>
        <item x="1185"/>
        <item x="776"/>
        <item x="97"/>
        <item x="504"/>
        <item x="6"/>
        <item x="547"/>
        <item x="464"/>
        <item x="109"/>
        <item x="632"/>
        <item x="1186"/>
        <item x="154"/>
        <item x="1187"/>
        <item x="688"/>
        <item x="537"/>
        <item x="66"/>
        <item x="20"/>
        <item x="248"/>
        <item x="1188"/>
        <item x="1189"/>
        <item x="492"/>
        <item x="669"/>
        <item x="185"/>
        <item x="419"/>
        <item x="180"/>
        <item x="689"/>
        <item x="1190"/>
        <item x="478"/>
        <item x="1191"/>
        <item x="1192"/>
        <item x="541"/>
        <item x="1193"/>
        <item x="1194"/>
        <item x="812"/>
        <item x="1195"/>
        <item x="446"/>
        <item x="19"/>
        <item x="716"/>
        <item x="324"/>
        <item x="843"/>
        <item x="482"/>
        <item x="1196"/>
        <item x="1197"/>
        <item x="530"/>
        <item x="876"/>
        <item x="619"/>
        <item x="1198"/>
        <item x="1199"/>
        <item x="841"/>
        <item x="839"/>
        <item t="default"/>
      </items>
    </pivotField>
    <pivotField showAll="0"/>
    <pivotField showAll="0"/>
    <pivotField showAll="0"/>
    <pivotField showAll="0"/>
    <pivotField dataField="1" showAll="0"/>
    <pivotField showAll="0"/>
    <pivotField showAll="0"/>
    <pivotField showAll="0"/>
    <pivotField showAll="0"/>
    <pivotField numFmtId="164" showAll="0">
      <items count="709">
        <item x="493"/>
        <item x="131"/>
        <item x="85"/>
        <item x="423"/>
        <item x="337"/>
        <item x="544"/>
        <item x="348"/>
        <item x="226"/>
        <item x="449"/>
        <item x="72"/>
        <item x="370"/>
        <item x="406"/>
        <item x="293"/>
        <item x="310"/>
        <item x="477"/>
        <item x="92"/>
        <item x="211"/>
        <item x="225"/>
        <item x="133"/>
        <item x="396"/>
        <item x="272"/>
        <item x="636"/>
        <item x="582"/>
        <item x="344"/>
        <item x="261"/>
        <item x="482"/>
        <item x="360"/>
        <item x="595"/>
        <item x="558"/>
        <item x="461"/>
        <item x="172"/>
        <item x="650"/>
        <item x="631"/>
        <item x="97"/>
        <item x="543"/>
        <item x="696"/>
        <item x="373"/>
        <item x="623"/>
        <item x="64"/>
        <item x="199"/>
        <item x="591"/>
        <item x="366"/>
        <item x="507"/>
        <item x="376"/>
        <item x="666"/>
        <item x="510"/>
        <item x="208"/>
        <item x="73"/>
        <item x="220"/>
        <item x="688"/>
        <item x="441"/>
        <item x="642"/>
        <item x="523"/>
        <item x="2"/>
        <item x="45"/>
        <item x="181"/>
        <item x="323"/>
        <item x="583"/>
        <item x="262"/>
        <item x="347"/>
        <item x="672"/>
        <item x="488"/>
        <item x="216"/>
        <item x="156"/>
        <item x="317"/>
        <item x="667"/>
        <item x="263"/>
        <item x="141"/>
        <item x="148"/>
        <item x="613"/>
        <item x="48"/>
        <item x="146"/>
        <item x="467"/>
        <item x="180"/>
        <item x="286"/>
        <item x="230"/>
        <item x="379"/>
        <item x="14"/>
        <item x="40"/>
        <item x="457"/>
        <item x="170"/>
        <item x="144"/>
        <item x="29"/>
        <item x="336"/>
        <item x="490"/>
        <item x="390"/>
        <item x="274"/>
        <item x="465"/>
        <item x="502"/>
        <item x="245"/>
        <item x="580"/>
        <item x="380"/>
        <item x="19"/>
        <item x="553"/>
        <item x="483"/>
        <item x="408"/>
        <item x="575"/>
        <item x="153"/>
        <item x="649"/>
        <item x="456"/>
        <item x="198"/>
        <item x="320"/>
        <item x="601"/>
        <item x="663"/>
        <item x="417"/>
        <item x="662"/>
        <item x="653"/>
        <item x="232"/>
        <item x="472"/>
        <item x="151"/>
        <item x="593"/>
        <item x="27"/>
        <item x="495"/>
        <item x="411"/>
        <item x="275"/>
        <item x="78"/>
        <item x="267"/>
        <item x="590"/>
        <item x="512"/>
        <item x="137"/>
        <item x="633"/>
        <item x="352"/>
        <item x="125"/>
        <item x="118"/>
        <item x="171"/>
        <item x="598"/>
        <item x="38"/>
        <item x="687"/>
        <item x="235"/>
        <item x="318"/>
        <item x="367"/>
        <item x="136"/>
        <item x="184"/>
        <item x="588"/>
        <item x="539"/>
        <item x="122"/>
        <item x="444"/>
        <item x="430"/>
        <item x="694"/>
        <item x="316"/>
        <item x="204"/>
        <item x="54"/>
        <item x="627"/>
        <item x="259"/>
        <item x="183"/>
        <item x="676"/>
        <item x="574"/>
        <item x="612"/>
        <item x="335"/>
        <item x="143"/>
        <item x="57"/>
        <item x="324"/>
        <item x="629"/>
        <item x="361"/>
        <item x="173"/>
        <item x="234"/>
        <item x="527"/>
        <item x="658"/>
        <item x="643"/>
        <item x="117"/>
        <item x="214"/>
        <item x="32"/>
        <item x="279"/>
        <item x="147"/>
        <item x="459"/>
        <item x="96"/>
        <item x="233"/>
        <item x="1"/>
        <item x="478"/>
        <item x="177"/>
        <item x="34"/>
        <item x="704"/>
        <item x="616"/>
        <item x="605"/>
        <item x="33"/>
        <item x="112"/>
        <item x="82"/>
        <item x="231"/>
        <item x="400"/>
        <item x="625"/>
        <item x="473"/>
        <item x="163"/>
        <item x="254"/>
        <item x="179"/>
        <item x="546"/>
        <item x="292"/>
        <item x="521"/>
        <item x="210"/>
        <item x="619"/>
        <item x="693"/>
        <item x="464"/>
        <item x="542"/>
        <item x="519"/>
        <item x="673"/>
        <item x="91"/>
        <item x="448"/>
        <item x="686"/>
        <item x="289"/>
        <item x="398"/>
        <item x="351"/>
        <item x="63"/>
        <item x="637"/>
        <item x="140"/>
        <item x="363"/>
        <item x="22"/>
        <item x="404"/>
        <item x="463"/>
        <item x="610"/>
        <item x="152"/>
        <item x="111"/>
        <item x="138"/>
        <item x="434"/>
        <item x="196"/>
        <item x="53"/>
        <item x="105"/>
        <item x="311"/>
        <item x="296"/>
        <item x="74"/>
        <item x="562"/>
        <item x="675"/>
        <item x="412"/>
        <item x="429"/>
        <item x="88"/>
        <item x="291"/>
        <item x="657"/>
        <item x="577"/>
        <item x="44"/>
        <item x="437"/>
        <item x="421"/>
        <item x="244"/>
        <item x="424"/>
        <item x="108"/>
        <item x="132"/>
        <item x="402"/>
        <item x="475"/>
        <item x="62"/>
        <item x="442"/>
        <item x="120"/>
        <item x="294"/>
        <item x="358"/>
        <item x="513"/>
        <item x="315"/>
        <item x="586"/>
        <item x="389"/>
        <item x="255"/>
        <item x="409"/>
        <item x="680"/>
        <item x="342"/>
        <item x="378"/>
        <item x="35"/>
        <item x="49"/>
        <item x="418"/>
        <item x="182"/>
        <item x="127"/>
        <item x="387"/>
        <item x="552"/>
        <item x="683"/>
        <item x="471"/>
        <item x="248"/>
        <item x="349"/>
        <item x="98"/>
        <item x="332"/>
        <item x="669"/>
        <item x="701"/>
        <item x="249"/>
        <item x="13"/>
        <item x="682"/>
        <item x="178"/>
        <item x="416"/>
        <item x="517"/>
        <item x="506"/>
        <item x="431"/>
        <item x="340"/>
        <item x="481"/>
        <item x="679"/>
        <item x="252"/>
        <item x="480"/>
        <item x="607"/>
        <item x="306"/>
        <item x="707"/>
        <item x="485"/>
        <item x="541"/>
        <item x="145"/>
        <item x="565"/>
        <item x="256"/>
        <item x="454"/>
        <item x="101"/>
        <item x="614"/>
        <item x="354"/>
        <item x="368"/>
        <item x="39"/>
        <item x="331"/>
        <item x="77"/>
        <item x="84"/>
        <item x="664"/>
        <item x="59"/>
        <item x="440"/>
        <item x="187"/>
        <item x="695"/>
        <item x="221"/>
        <item x="621"/>
        <item x="334"/>
        <item x="169"/>
        <item x="410"/>
        <item x="433"/>
        <item x="308"/>
        <item x="599"/>
        <item x="566"/>
        <item x="606"/>
        <item x="191"/>
        <item x="302"/>
        <item x="491"/>
        <item x="236"/>
        <item x="690"/>
        <item x="7"/>
        <item x="321"/>
        <item x="393"/>
        <item x="329"/>
        <item x="529"/>
        <item x="571"/>
        <item x="525"/>
        <item x="576"/>
        <item x="615"/>
        <item x="253"/>
        <item x="69"/>
        <item x="460"/>
        <item x="219"/>
        <item x="190"/>
        <item x="609"/>
        <item x="391"/>
        <item x="309"/>
        <item x="508"/>
        <item x="353"/>
        <item x="200"/>
        <item x="654"/>
        <item x="305"/>
        <item x="532"/>
        <item x="381"/>
        <item x="193"/>
        <item x="80"/>
        <item x="280"/>
        <item x="79"/>
        <item x="655"/>
        <item x="474"/>
        <item x="364"/>
        <item x="5"/>
        <item x="357"/>
        <item x="469"/>
        <item x="678"/>
        <item x="17"/>
        <item x="604"/>
        <item x="528"/>
        <item x="247"/>
        <item x="681"/>
        <item x="194"/>
        <item x="319"/>
        <item x="126"/>
        <item x="579"/>
        <item x="560"/>
        <item x="273"/>
        <item x="536"/>
        <item x="260"/>
        <item x="42"/>
        <item x="37"/>
        <item x="384"/>
        <item x="530"/>
        <item x="377"/>
        <item x="382"/>
        <item x="689"/>
        <item x="94"/>
        <item x="505"/>
        <item x="10"/>
        <item x="139"/>
        <item x="265"/>
        <item x="375"/>
        <item x="550"/>
        <item x="52"/>
        <item x="135"/>
        <item x="385"/>
        <item x="534"/>
        <item x="223"/>
        <item x="115"/>
        <item x="71"/>
        <item x="561"/>
        <item x="509"/>
        <item x="443"/>
        <item x="167"/>
        <item x="301"/>
        <item x="165"/>
        <item x="18"/>
        <item x="166"/>
        <item x="661"/>
        <item x="58"/>
        <item x="611"/>
        <item x="551"/>
        <item x="130"/>
        <item x="602"/>
        <item x="242"/>
        <item x="399"/>
        <item x="174"/>
        <item x="503"/>
        <item x="31"/>
        <item x="93"/>
        <item x="570"/>
        <item x="665"/>
        <item x="451"/>
        <item x="350"/>
        <item x="608"/>
        <item x="83"/>
        <item x="307"/>
        <item x="206"/>
        <item x="647"/>
        <item x="624"/>
        <item x="668"/>
        <item x="129"/>
        <item x="692"/>
        <item x="21"/>
        <item x="288"/>
        <item x="702"/>
        <item x="284"/>
        <item x="154"/>
        <item x="339"/>
        <item x="445"/>
        <item x="420"/>
        <item x="533"/>
        <item x="600"/>
        <item x="356"/>
        <item x="706"/>
        <item x="0"/>
        <item x="450"/>
        <item x="186"/>
        <item x="121"/>
        <item x="401"/>
        <item x="447"/>
        <item x="56"/>
        <item x="671"/>
        <item x="150"/>
        <item x="202"/>
        <item x="322"/>
        <item x="67"/>
        <item x="620"/>
        <item x="278"/>
        <item x="436"/>
        <item x="43"/>
        <item x="227"/>
        <item x="300"/>
        <item x="229"/>
        <item x="238"/>
        <item x="596"/>
        <item x="257"/>
        <item x="15"/>
        <item x="188"/>
        <item x="89"/>
        <item x="698"/>
        <item x="228"/>
        <item x="295"/>
        <item x="413"/>
        <item x="134"/>
        <item x="644"/>
        <item x="258"/>
        <item x="407"/>
        <item x="640"/>
        <item x="61"/>
        <item x="405"/>
        <item x="705"/>
        <item x="670"/>
        <item x="330"/>
        <item x="205"/>
        <item x="563"/>
        <item x="106"/>
        <item x="128"/>
        <item x="30"/>
        <item x="268"/>
        <item x="388"/>
        <item x="415"/>
        <item x="555"/>
        <item x="684"/>
        <item x="102"/>
        <item x="427"/>
        <item x="328"/>
        <item x="572"/>
        <item x="522"/>
        <item x="60"/>
        <item x="142"/>
        <item x="218"/>
        <item x="104"/>
        <item x="12"/>
        <item x="314"/>
        <item x="149"/>
        <item x="557"/>
        <item x="651"/>
        <item x="264"/>
        <item x="341"/>
        <item x="476"/>
        <item x="304"/>
        <item x="641"/>
        <item x="116"/>
        <item x="520"/>
        <item x="537"/>
        <item x="41"/>
        <item x="95"/>
        <item x="501"/>
        <item x="538"/>
        <item x="369"/>
        <item x="432"/>
        <item x="277"/>
        <item x="499"/>
        <item x="535"/>
        <item x="176"/>
        <item x="545"/>
        <item x="365"/>
        <item x="250"/>
        <item x="372"/>
        <item x="158"/>
        <item x="327"/>
        <item x="362"/>
        <item x="516"/>
        <item x="594"/>
        <item x="394"/>
        <item x="25"/>
        <item x="346"/>
        <item x="23"/>
        <item x="325"/>
        <item x="16"/>
        <item x="299"/>
        <item x="422"/>
        <item x="162"/>
        <item x="559"/>
        <item x="343"/>
        <item x="589"/>
        <item x="573"/>
        <item x="578"/>
        <item x="217"/>
        <item x="81"/>
        <item x="494"/>
        <item x="500"/>
        <item x="554"/>
        <item x="192"/>
        <item x="392"/>
        <item x="486"/>
        <item x="677"/>
        <item x="453"/>
        <item x="159"/>
        <item x="462"/>
        <item x="674"/>
        <item x="386"/>
        <item x="269"/>
        <item x="313"/>
        <item x="592"/>
        <item x="470"/>
        <item x="697"/>
        <item x="189"/>
        <item x="656"/>
        <item x="371"/>
        <item x="547"/>
        <item x="691"/>
        <item x="55"/>
        <item x="276"/>
        <item x="403"/>
        <item x="281"/>
        <item x="213"/>
        <item x="395"/>
        <item x="51"/>
        <item x="518"/>
        <item x="76"/>
        <item x="618"/>
        <item x="11"/>
        <item x="224"/>
        <item x="489"/>
        <item x="515"/>
        <item x="659"/>
        <item x="383"/>
        <item x="452"/>
        <item x="157"/>
        <item x="468"/>
        <item x="251"/>
        <item x="426"/>
        <item x="700"/>
        <item x="458"/>
        <item x="246"/>
        <item x="564"/>
        <item x="338"/>
        <item x="374"/>
        <item x="70"/>
        <item x="487"/>
        <item x="428"/>
        <item x="581"/>
        <item x="333"/>
        <item x="622"/>
        <item x="568"/>
        <item x="207"/>
        <item x="87"/>
        <item x="479"/>
        <item x="685"/>
        <item x="397"/>
        <item x="197"/>
        <item x="484"/>
        <item x="414"/>
        <item x="455"/>
        <item x="110"/>
        <item x="90"/>
        <item x="549"/>
        <item x="195"/>
        <item x="86"/>
        <item x="524"/>
        <item x="303"/>
        <item x="297"/>
        <item x="419"/>
        <item x="50"/>
        <item x="298"/>
        <item x="240"/>
        <item x="113"/>
        <item x="161"/>
        <item x="492"/>
        <item x="203"/>
        <item x="99"/>
        <item x="597"/>
        <item x="46"/>
        <item x="4"/>
        <item x="282"/>
        <item x="556"/>
        <item x="548"/>
        <item x="8"/>
        <item x="109"/>
        <item x="114"/>
        <item x="66"/>
        <item x="438"/>
        <item x="20"/>
        <item x="628"/>
        <item x="290"/>
        <item x="355"/>
        <item x="645"/>
        <item x="466"/>
        <item x="119"/>
        <item x="345"/>
        <item x="209"/>
        <item x="103"/>
        <item x="239"/>
        <item x="68"/>
        <item x="531"/>
        <item x="446"/>
        <item x="603"/>
        <item x="47"/>
        <item x="439"/>
        <item x="123"/>
        <item x="312"/>
        <item x="175"/>
        <item x="540"/>
        <item x="9"/>
        <item x="634"/>
        <item x="271"/>
        <item x="241"/>
        <item x="160"/>
        <item x="699"/>
        <item x="617"/>
        <item x="100"/>
        <item x="638"/>
        <item x="243"/>
        <item x="6"/>
        <item x="266"/>
        <item x="635"/>
        <item x="511"/>
        <item x="435"/>
        <item x="569"/>
        <item x="326"/>
        <item x="359"/>
        <item x="660"/>
        <item x="587"/>
        <item x="124"/>
        <item x="185"/>
        <item x="201"/>
        <item x="626"/>
        <item x="3"/>
        <item x="283"/>
        <item x="648"/>
        <item x="285"/>
        <item x="652"/>
        <item x="65"/>
        <item x="155"/>
        <item x="703"/>
        <item x="168"/>
        <item x="270"/>
        <item x="75"/>
        <item x="632"/>
        <item x="287"/>
        <item x="36"/>
        <item x="646"/>
        <item x="215"/>
        <item x="28"/>
        <item x="567"/>
        <item x="107"/>
        <item x="222"/>
        <item x="504"/>
        <item x="498"/>
        <item x="496"/>
        <item x="639"/>
        <item x="164"/>
        <item x="425"/>
        <item x="584"/>
        <item x="497"/>
        <item x="630"/>
        <item x="237"/>
        <item x="526"/>
        <item x="585"/>
        <item x="24"/>
        <item x="26"/>
        <item x="514"/>
        <item x="212"/>
        <item t="default"/>
      </items>
    </pivotField>
    <pivotField showAll="0"/>
    <pivotField showAll="0">
      <items count="5">
        <item x="0"/>
        <item x="1"/>
        <item x="2"/>
        <item x="3"/>
        <item t="default"/>
      </items>
    </pivotField>
    <pivotField showAll="0"/>
    <pivotField showAll="0">
      <items count="6">
        <item x="1"/>
        <item x="4"/>
        <item x="3"/>
        <item x="0"/>
        <item x="2"/>
        <item t="default"/>
      </items>
    </pivotField>
    <pivotField showAll="0"/>
    <pivotField showAll="0"/>
    <pivotField showAll="0"/>
    <pivotField showAll="0"/>
    <pivotField axis="axisRow" showAll="0">
      <items count="6">
        <item x="3"/>
        <item x="1"/>
        <item x="2"/>
        <item x="4"/>
        <item x="0"/>
        <item t="default"/>
      </items>
    </pivotField>
    <pivotField showAll="0" defaultSubtotal="0"/>
    <pivotField showAll="0" defaultSubtotal="0"/>
    <pivotField showAll="0" defaultSubtotal="0">
      <items count="6">
        <item x="0"/>
        <item x="1"/>
        <item x="2"/>
        <item x="3"/>
        <item x="4"/>
        <item x="5"/>
      </items>
    </pivotField>
  </pivotFields>
  <rowFields count="1">
    <field x="19"/>
  </rowFields>
  <rowItems count="6">
    <i>
      <x/>
    </i>
    <i>
      <x v="1"/>
    </i>
    <i>
      <x v="2"/>
    </i>
    <i>
      <x v="3"/>
    </i>
    <i>
      <x v="4"/>
    </i>
    <i t="grand">
      <x/>
    </i>
  </rowItems>
  <colItems count="1">
    <i/>
  </colItems>
  <dataFields count="1">
    <dataField name="Sum of Loan_Amount" fld="5" showDataAs="percentOfTotal" baseField="0" baseItem="0" numFmtId="10"/>
  </dataFields>
  <chartFormats count="18">
    <chartFormat chart="3" format="13"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9" count="1" selected="0">
            <x v="0"/>
          </reference>
        </references>
      </pivotArea>
    </chartFormat>
    <chartFormat chart="0" format="8">
      <pivotArea type="data" outline="0" fieldPosition="0">
        <references count="2">
          <reference field="4294967294" count="1" selected="0">
            <x v="0"/>
          </reference>
          <reference field="19" count="1" selected="0">
            <x v="1"/>
          </reference>
        </references>
      </pivotArea>
    </chartFormat>
    <chartFormat chart="0" format="9">
      <pivotArea type="data" outline="0" fieldPosition="0">
        <references count="2">
          <reference field="4294967294" count="1" selected="0">
            <x v="0"/>
          </reference>
          <reference field="19" count="1" selected="0">
            <x v="2"/>
          </reference>
        </references>
      </pivotArea>
    </chartFormat>
    <chartFormat chart="0" format="10">
      <pivotArea type="data" outline="0" fieldPosition="0">
        <references count="2">
          <reference field="4294967294" count="1" selected="0">
            <x v="0"/>
          </reference>
          <reference field="19" count="1" selected="0">
            <x v="3"/>
          </reference>
        </references>
      </pivotArea>
    </chartFormat>
    <chartFormat chart="0" format="11">
      <pivotArea type="data" outline="0" fieldPosition="0">
        <references count="2">
          <reference field="4294967294" count="1" selected="0">
            <x v="0"/>
          </reference>
          <reference field="19" count="1" selected="0">
            <x v="4"/>
          </reference>
        </references>
      </pivotArea>
    </chartFormat>
    <chartFormat chart="1" format="7">
      <pivotArea type="data" outline="0" fieldPosition="0">
        <references count="2">
          <reference field="4294967294" count="1" selected="0">
            <x v="0"/>
          </reference>
          <reference field="19" count="1" selected="0">
            <x v="0"/>
          </reference>
        </references>
      </pivotArea>
    </chartFormat>
    <chartFormat chart="1" format="8">
      <pivotArea type="data" outline="0" fieldPosition="0">
        <references count="2">
          <reference field="4294967294" count="1" selected="0">
            <x v="0"/>
          </reference>
          <reference field="19" count="1" selected="0">
            <x v="1"/>
          </reference>
        </references>
      </pivotArea>
    </chartFormat>
    <chartFormat chart="1" format="9">
      <pivotArea type="data" outline="0" fieldPosition="0">
        <references count="2">
          <reference field="4294967294" count="1" selected="0">
            <x v="0"/>
          </reference>
          <reference field="19" count="1" selected="0">
            <x v="2"/>
          </reference>
        </references>
      </pivotArea>
    </chartFormat>
    <chartFormat chart="1" format="10">
      <pivotArea type="data" outline="0" fieldPosition="0">
        <references count="2">
          <reference field="4294967294" count="1" selected="0">
            <x v="0"/>
          </reference>
          <reference field="19" count="1" selected="0">
            <x v="3"/>
          </reference>
        </references>
      </pivotArea>
    </chartFormat>
    <chartFormat chart="1" format="11">
      <pivotArea type="data" outline="0" fieldPosition="0">
        <references count="2">
          <reference field="4294967294" count="1" selected="0">
            <x v="0"/>
          </reference>
          <reference field="19" count="1" selected="0">
            <x v="4"/>
          </reference>
        </references>
      </pivotArea>
    </chartFormat>
    <chartFormat chart="3" format="14">
      <pivotArea type="data" outline="0" fieldPosition="0">
        <references count="2">
          <reference field="4294967294" count="1" selected="0">
            <x v="0"/>
          </reference>
          <reference field="19" count="1" selected="0">
            <x v="0"/>
          </reference>
        </references>
      </pivotArea>
    </chartFormat>
    <chartFormat chart="3" format="15">
      <pivotArea type="data" outline="0" fieldPosition="0">
        <references count="2">
          <reference field="4294967294" count="1" selected="0">
            <x v="0"/>
          </reference>
          <reference field="19" count="1" selected="0">
            <x v="1"/>
          </reference>
        </references>
      </pivotArea>
    </chartFormat>
    <chartFormat chart="3" format="16">
      <pivotArea type="data" outline="0" fieldPosition="0">
        <references count="2">
          <reference field="4294967294" count="1" selected="0">
            <x v="0"/>
          </reference>
          <reference field="19" count="1" selected="0">
            <x v="2"/>
          </reference>
        </references>
      </pivotArea>
    </chartFormat>
    <chartFormat chart="3" format="17">
      <pivotArea type="data" outline="0" fieldPosition="0">
        <references count="2">
          <reference field="4294967294" count="1" selected="0">
            <x v="0"/>
          </reference>
          <reference field="19" count="1" selected="0">
            <x v="3"/>
          </reference>
        </references>
      </pivotArea>
    </chartFormat>
    <chartFormat chart="3" format="18">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6DFCCD-79DF-42CC-AF2F-2D5BFEA62404}" sourceName="Region">
  <pivotTables>
    <pivotTable tabId="19" name="PivotTable10"/>
    <pivotTable tabId="19" name="PivotTable12"/>
    <pivotTable tabId="18" name="PivotTable6"/>
  </pivotTables>
  <data>
    <tabular pivotCacheId="699200560">
      <items count="5">
        <i x="1" s="1"/>
        <i x="4"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FB54F387-F3C1-4BF7-9AA9-2F88EC474549}" sourceName="Loan_Status">
  <pivotTables>
    <pivotTable tabId="19" name="PivotTable10"/>
    <pivotTable tabId="19" name="PivotTable12"/>
    <pivotTable tabId="18" name="PivotTable6"/>
  </pivotTables>
  <data>
    <tabular pivotCacheId="69920056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B838F6-794E-40DC-B1AE-432ECDD31C22}" cache="Slicer_Region" caption="Region" rowHeight="234950"/>
  <slicer name="Loan_Status" xr10:uid="{AE9F20D4-E6A9-41C9-959D-987FF8CC3710}" cache="Slicer_Loan_Status" caption="Loan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4594D7-B4DB-4FEF-A7BB-0F497705735A}" name="LoanData" displayName="LoanData" ref="A1:T1201" totalsRowShown="0" headerRowDxfId="27" dataDxfId="26" tableBorderDxfId="25">
  <autoFilter ref="A1:T1201" xr:uid="{5F4594D7-B4DB-4FEF-A7BB-0F497705735A}"/>
  <sortState xmlns:xlrd2="http://schemas.microsoft.com/office/spreadsheetml/2017/richdata2" ref="A2:T1201">
    <sortCondition descending="1" ref="S1:S1201"/>
  </sortState>
  <tableColumns count="20">
    <tableColumn id="1" xr3:uid="{0C9F9484-ABD5-474E-85B2-DA44E0788B8A}" name="Loan_ID" dataDxfId="24"/>
    <tableColumn id="2" xr3:uid="{327DD4CF-DC3D-4325-9E88-0E42089F00B9}" name="Customer_Name" dataDxfId="23"/>
    <tableColumn id="3" xr3:uid="{08877721-3887-474F-99D1-F55DA0C34159}" name="Age" dataDxfId="22"/>
    <tableColumn id="4" xr3:uid="{2D425226-6E5B-4B09-BBBC-0CBD023D76EC}" name="Employment_Type" dataDxfId="21"/>
    <tableColumn id="5" xr3:uid="{DCA87EBC-C89C-478A-9AB5-8C97447DAD6C}" name="Monthly_Income" dataDxfId="20"/>
    <tableColumn id="6" xr3:uid="{1F474D75-080F-42BB-AD15-008F03564D55}" name="Loan_Amount" dataDxfId="19"/>
    <tableColumn id="7" xr3:uid="{5AC751B1-4682-4C56-8A84-3A19E58E40D0}" name="Loan_Term_Months" dataDxfId="18"/>
    <tableColumn id="8" xr3:uid="{2BBCEABD-F5AA-4558-BF7A-156E52927ABD}" name="Interest_Rate" dataDxfId="17"/>
    <tableColumn id="9" xr3:uid="{6E4D93BB-6B2A-402C-8907-AE1BD1C8D5AE}" name="Loan_Purpose" dataDxfId="16"/>
    <tableColumn id="10" xr3:uid="{DA491632-444F-42C8-A8E0-BD6246F1FE9E}" name="Credit_Score" dataDxfId="15"/>
    <tableColumn id="11" xr3:uid="{6844EB5B-A6A0-404B-9250-7FB1E70F8395}" name="Application_Date" dataDxfId="14"/>
    <tableColumn id="12" xr3:uid="{D9FC6910-9356-4F76-9611-4571D68107A2}" name="Approval_Date" dataDxfId="13"/>
    <tableColumn id="13" xr3:uid="{76912D94-C722-4460-A0F4-798E03C317F6}" name="Loan_Status" dataDxfId="12"/>
    <tableColumn id="14" xr3:uid="{5580B39D-D89F-45A2-BEA1-15B79A409217}" name="EMI" dataDxfId="11"/>
    <tableColumn id="15" xr3:uid="{5C2C4460-05B5-45A6-BF34-58319711253A}" name="Region" dataDxfId="10"/>
    <tableColumn id="16" xr3:uid="{2B5133CF-F1F3-4F5D-B5CA-492EA5CF05FE}" name="Branch" dataDxfId="9"/>
    <tableColumn id="17" xr3:uid="{54BF6BAF-F4E4-4F63-85E2-C7EC11A8D1EF}" name="Repayment_Status" dataDxfId="8"/>
    <tableColumn id="18" xr3:uid="{28D2D2AA-544B-4BFA-80CE-077CD7DCE822}" name="Late_Payments" dataDxfId="7"/>
    <tableColumn id="19" xr3:uid="{41513626-5C86-49E6-BC71-93F4816856DF}" name="Outstanding_Balance" dataDxfId="6"/>
    <tableColumn id="21" xr3:uid="{143668B7-7D91-4979-BDD9-F0CD5A4060E9}" name="Risk Category"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lication_Date" xr10:uid="{E7BFE22F-0A77-4AF1-BDCC-C94F97C9E34E}" sourceName="Application_Date">
  <pivotTables>
    <pivotTable tabId="19" name="PivotTable10"/>
    <pivotTable tabId="19" name="PivotTable12"/>
    <pivotTable tabId="18" name="PivotTable6"/>
  </pivotTables>
  <state minimalRefreshVersion="6" lastRefreshVersion="6" pivotCacheId="699200560"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lication_Date" xr10:uid="{155959E7-9169-45D6-A5F3-D1F02F2D9B2F}" cache="NativeTimeline_Application_Date" caption="Application_Date" level="2" selectionLevel="2" scrollPosition="2021-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1201"/>
  <sheetViews>
    <sheetView zoomScale="101" zoomScaleNormal="104" workbookViewId="0">
      <selection activeCell="AA22" sqref="AA22"/>
    </sheetView>
  </sheetViews>
  <sheetFormatPr defaultRowHeight="14.4" x14ac:dyDescent="0.3"/>
  <cols>
    <col min="1" max="1" width="14" customWidth="1"/>
    <col min="2" max="2" width="22" customWidth="1"/>
    <col min="3" max="3" width="6.109375" customWidth="1"/>
    <col min="4" max="4" width="20" customWidth="1"/>
    <col min="5" max="5" width="17.44140625" customWidth="1"/>
    <col min="6" max="6" width="14.88671875" customWidth="1"/>
    <col min="7" max="7" width="19.88671875" customWidth="1"/>
    <col min="8" max="8" width="14.109375" customWidth="1"/>
    <col min="9" max="9" width="20" customWidth="1"/>
    <col min="10" max="10" width="13.5546875" customWidth="1"/>
    <col min="11" max="11" width="18" customWidth="1"/>
    <col min="12" max="12" width="15.44140625" customWidth="1"/>
    <col min="13" max="13" width="13.21875" customWidth="1"/>
    <col min="14" max="14" width="14" customWidth="1"/>
    <col min="15" max="15" width="10" customWidth="1"/>
    <col min="16" max="16" width="20.77734375" bestFit="1" customWidth="1"/>
    <col min="17" max="17" width="18.77734375" customWidth="1"/>
    <col min="18" max="18" width="15.77734375" customWidth="1"/>
    <col min="19" max="20" width="20.77734375" customWidth="1"/>
    <col min="21" max="21" width="10.33203125" bestFit="1" customWidth="1"/>
    <col min="40" max="40" width="18.88671875" bestFit="1" customWidth="1"/>
    <col min="41" max="41" width="9" bestFit="1" customWidth="1"/>
    <col min="42" max="42" width="20" bestFit="1" customWidth="1"/>
    <col min="43" max="46" width="9" bestFit="1" customWidth="1"/>
    <col min="47" max="47" width="17" bestFit="1" customWidth="1"/>
    <col min="48" max="48" width="11.88671875" bestFit="1" customWidth="1"/>
    <col min="49" max="49" width="15.77734375" bestFit="1" customWidth="1"/>
    <col min="50" max="50" width="14.88671875" bestFit="1" customWidth="1"/>
    <col min="51" max="51" width="11.33203125" bestFit="1" customWidth="1"/>
    <col min="52" max="52" width="9" bestFit="1" customWidth="1"/>
    <col min="54" max="54" width="20.88671875" bestFit="1" customWidth="1"/>
    <col min="55" max="55" width="17" bestFit="1" customWidth="1"/>
    <col min="56" max="56" width="9" bestFit="1" customWidth="1"/>
    <col min="57" max="57" width="19.77734375" bestFit="1" customWidth="1"/>
    <col min="60" max="60" width="18.5546875" bestFit="1" customWidth="1"/>
    <col min="62" max="62" width="19.88671875" bestFit="1" customWidth="1"/>
    <col min="67" max="67" width="11.44140625" customWidth="1"/>
    <col min="69" max="69" width="15.88671875" bestFit="1" customWidth="1"/>
    <col min="70" max="70" width="14" bestFit="1" customWidth="1"/>
    <col min="71" max="71" width="11.33203125" bestFit="1" customWidth="1"/>
    <col min="74" max="74" width="16.77734375" bestFit="1" customWidth="1"/>
    <col min="75" max="75" width="17.109375" bestFit="1" customWidth="1"/>
    <col min="77" max="77" width="19.21875" bestFit="1" customWidth="1"/>
    <col min="80" max="80" width="12.5546875" bestFit="1" customWidth="1"/>
    <col min="81" max="81" width="15.77734375" bestFit="1" customWidth="1"/>
    <col min="82" max="82" width="19.6640625" bestFit="1" customWidth="1"/>
    <col min="87" max="87" width="12.5546875" bestFit="1" customWidth="1"/>
    <col min="88" max="88" width="15.77734375" bestFit="1" customWidth="1"/>
    <col min="89" max="89" width="19.6640625" bestFit="1" customWidth="1"/>
  </cols>
  <sheetData>
    <row r="1" spans="1:77" ht="30" customHeight="1" x14ac:dyDescent="0.3">
      <c r="A1" s="12" t="s">
        <v>0</v>
      </c>
      <c r="B1" s="1" t="s">
        <v>1</v>
      </c>
      <c r="C1" s="1" t="s">
        <v>2</v>
      </c>
      <c r="D1" s="1" t="s">
        <v>3</v>
      </c>
      <c r="E1" s="1" t="s">
        <v>4</v>
      </c>
      <c r="F1" s="1" t="s">
        <v>5</v>
      </c>
      <c r="G1" s="1" t="s">
        <v>6</v>
      </c>
      <c r="H1" s="16" t="s">
        <v>7</v>
      </c>
      <c r="I1" s="16" t="s">
        <v>8</v>
      </c>
      <c r="J1" s="1" t="s">
        <v>9</v>
      </c>
      <c r="K1" s="1" t="s">
        <v>10</v>
      </c>
      <c r="L1" s="1" t="s">
        <v>11</v>
      </c>
      <c r="M1" s="1" t="s">
        <v>12</v>
      </c>
      <c r="N1" s="1" t="s">
        <v>13</v>
      </c>
      <c r="O1" s="1" t="s">
        <v>14</v>
      </c>
      <c r="P1" s="1" t="s">
        <v>15</v>
      </c>
      <c r="Q1" s="1" t="s">
        <v>16</v>
      </c>
      <c r="R1" s="1" t="s">
        <v>17</v>
      </c>
      <c r="S1" s="1" t="s">
        <v>18</v>
      </c>
      <c r="T1" s="1" t="s">
        <v>2863</v>
      </c>
    </row>
    <row r="2" spans="1:77" ht="15.6" x14ac:dyDescent="0.3">
      <c r="A2" s="3" t="s">
        <v>2272</v>
      </c>
      <c r="B2" s="3" t="s">
        <v>248</v>
      </c>
      <c r="C2" s="3">
        <v>35</v>
      </c>
      <c r="D2" s="3" t="s">
        <v>30</v>
      </c>
      <c r="E2" s="3">
        <v>15700</v>
      </c>
      <c r="F2" s="3">
        <v>2000000</v>
      </c>
      <c r="G2" s="3">
        <v>48</v>
      </c>
      <c r="H2" s="3">
        <v>21.84</v>
      </c>
      <c r="I2" s="3" t="s">
        <v>22</v>
      </c>
      <c r="J2" s="3">
        <v>450</v>
      </c>
      <c r="K2" s="29">
        <v>44859</v>
      </c>
      <c r="L2" s="29" t="s">
        <v>968</v>
      </c>
      <c r="M2" s="3" t="s">
        <v>24</v>
      </c>
      <c r="N2" s="3">
        <v>62838.559999999998</v>
      </c>
      <c r="O2" s="3" t="s">
        <v>105</v>
      </c>
      <c r="P2" s="3" t="s">
        <v>159</v>
      </c>
      <c r="Q2" s="3" t="s">
        <v>42</v>
      </c>
      <c r="R2" s="3">
        <v>1</v>
      </c>
      <c r="S2" s="3">
        <v>2000000</v>
      </c>
      <c r="T2" s="38" t="s">
        <v>2879</v>
      </c>
      <c r="U2" s="17" t="s">
        <v>2960</v>
      </c>
      <c r="AM2" s="17" t="s">
        <v>2965</v>
      </c>
      <c r="AV2" s="21" t="s">
        <v>248</v>
      </c>
    </row>
    <row r="3" spans="1:77" ht="15.6" x14ac:dyDescent="0.3">
      <c r="A3" s="2" t="s">
        <v>2593</v>
      </c>
      <c r="B3" s="2" t="s">
        <v>1243</v>
      </c>
      <c r="C3" s="2">
        <v>33</v>
      </c>
      <c r="D3" s="2" t="s">
        <v>21</v>
      </c>
      <c r="E3" s="2">
        <v>175715</v>
      </c>
      <c r="F3" s="2">
        <v>2000000</v>
      </c>
      <c r="G3" s="2">
        <v>12</v>
      </c>
      <c r="H3" s="2">
        <v>16.829999999999998</v>
      </c>
      <c r="I3" s="2" t="s">
        <v>38</v>
      </c>
      <c r="J3" s="2">
        <v>879</v>
      </c>
      <c r="K3" s="30">
        <v>44467</v>
      </c>
      <c r="L3" s="30" t="s">
        <v>327</v>
      </c>
      <c r="M3" s="2" t="s">
        <v>24</v>
      </c>
      <c r="N3" s="2">
        <v>182248.19</v>
      </c>
      <c r="O3" s="2" t="s">
        <v>54</v>
      </c>
      <c r="P3" s="2" t="s">
        <v>304</v>
      </c>
      <c r="Q3" s="2" t="s">
        <v>100</v>
      </c>
      <c r="R3" s="2">
        <v>8</v>
      </c>
      <c r="S3" s="2">
        <v>2000000</v>
      </c>
      <c r="T3" s="38" t="s">
        <v>2867</v>
      </c>
      <c r="U3" s="13"/>
      <c r="AN3" s="18"/>
      <c r="AV3" s="21" t="s">
        <v>1243</v>
      </c>
    </row>
    <row r="4" spans="1:77" ht="15.6" x14ac:dyDescent="0.3">
      <c r="A4" s="3" t="s">
        <v>2617</v>
      </c>
      <c r="B4" s="3" t="s">
        <v>2006</v>
      </c>
      <c r="C4" s="3">
        <v>40</v>
      </c>
      <c r="D4" s="3" t="s">
        <v>65</v>
      </c>
      <c r="E4" s="3">
        <v>68136</v>
      </c>
      <c r="F4" s="3">
        <v>2000000</v>
      </c>
      <c r="G4" s="3">
        <v>60</v>
      </c>
      <c r="H4" s="3">
        <v>7.85</v>
      </c>
      <c r="I4" s="3" t="s">
        <v>66</v>
      </c>
      <c r="J4" s="3">
        <v>492</v>
      </c>
      <c r="K4" s="29">
        <v>44287</v>
      </c>
      <c r="L4" s="29" t="s">
        <v>631</v>
      </c>
      <c r="M4" s="3" t="s">
        <v>24</v>
      </c>
      <c r="N4" s="3">
        <v>40409.370000000003</v>
      </c>
      <c r="O4" s="3" t="s">
        <v>105</v>
      </c>
      <c r="P4" s="3" t="s">
        <v>118</v>
      </c>
      <c r="Q4" s="3" t="s">
        <v>100</v>
      </c>
      <c r="R4" s="3">
        <v>12</v>
      </c>
      <c r="S4" s="3">
        <v>2000000</v>
      </c>
      <c r="T4" s="38" t="s">
        <v>2879</v>
      </c>
      <c r="U4" s="13"/>
      <c r="AV4" s="21" t="s">
        <v>2006</v>
      </c>
    </row>
    <row r="5" spans="1:77" ht="15.6" x14ac:dyDescent="0.3">
      <c r="A5" s="3" t="s">
        <v>1896</v>
      </c>
      <c r="B5" s="3" t="s">
        <v>1897</v>
      </c>
      <c r="C5" s="3">
        <v>25</v>
      </c>
      <c r="D5" s="3" t="s">
        <v>30</v>
      </c>
      <c r="E5" s="3">
        <v>98360</v>
      </c>
      <c r="F5" s="3">
        <v>2000000</v>
      </c>
      <c r="G5" s="3">
        <v>120</v>
      </c>
      <c r="H5" s="3">
        <v>10.119999999999999</v>
      </c>
      <c r="I5" s="3" t="s">
        <v>73</v>
      </c>
      <c r="J5" s="3">
        <v>788</v>
      </c>
      <c r="K5" s="29">
        <v>45248</v>
      </c>
      <c r="L5" s="29" t="s">
        <v>491</v>
      </c>
      <c r="M5" s="3" t="s">
        <v>122</v>
      </c>
      <c r="N5" s="3">
        <v>26563.23</v>
      </c>
      <c r="O5" s="3" t="s">
        <v>54</v>
      </c>
      <c r="P5" s="3" t="s">
        <v>2996</v>
      </c>
      <c r="Q5" s="3" t="s">
        <v>35</v>
      </c>
      <c r="R5" s="3">
        <v>4</v>
      </c>
      <c r="S5" s="3">
        <v>1976093.09</v>
      </c>
      <c r="T5" s="38" t="s">
        <v>2867</v>
      </c>
      <c r="U5" s="13"/>
      <c r="AM5" s="17" t="s">
        <v>2966</v>
      </c>
    </row>
    <row r="6" spans="1:77" ht="15.6" x14ac:dyDescent="0.3">
      <c r="A6" s="2" t="s">
        <v>1010</v>
      </c>
      <c r="B6" s="2" t="s">
        <v>838</v>
      </c>
      <c r="C6" s="2">
        <v>54</v>
      </c>
      <c r="D6" s="2" t="s">
        <v>72</v>
      </c>
      <c r="E6" s="2">
        <v>90978</v>
      </c>
      <c r="F6" s="2">
        <v>2000000</v>
      </c>
      <c r="G6" s="2">
        <v>60</v>
      </c>
      <c r="H6" s="2">
        <v>16.3</v>
      </c>
      <c r="I6" s="2" t="s">
        <v>66</v>
      </c>
      <c r="J6" s="2">
        <v>748</v>
      </c>
      <c r="K6" s="30">
        <v>45167</v>
      </c>
      <c r="L6" s="30" t="s">
        <v>104</v>
      </c>
      <c r="M6" s="2" t="s">
        <v>24</v>
      </c>
      <c r="N6" s="2">
        <v>48955.49</v>
      </c>
      <c r="O6" s="2" t="s">
        <v>60</v>
      </c>
      <c r="P6" s="2" t="s">
        <v>2997</v>
      </c>
      <c r="Q6" s="2" t="s">
        <v>42</v>
      </c>
      <c r="R6" s="2">
        <v>2</v>
      </c>
      <c r="S6" s="2">
        <v>1955940.06</v>
      </c>
      <c r="T6" s="38" t="s">
        <v>2871</v>
      </c>
      <c r="U6" s="13"/>
      <c r="AN6" s="37" t="s">
        <v>3000</v>
      </c>
      <c r="AO6" s="36">
        <v>112</v>
      </c>
    </row>
    <row r="7" spans="1:77" ht="14.4" customHeight="1" thickBot="1" x14ac:dyDescent="0.35">
      <c r="A7" s="3" t="s">
        <v>2703</v>
      </c>
      <c r="B7" s="3" t="s">
        <v>2704</v>
      </c>
      <c r="C7" s="3">
        <v>58</v>
      </c>
      <c r="D7" s="3" t="s">
        <v>30</v>
      </c>
      <c r="E7" s="3">
        <v>124468</v>
      </c>
      <c r="F7" s="3">
        <v>2000000</v>
      </c>
      <c r="G7" s="3">
        <v>36</v>
      </c>
      <c r="H7" s="3">
        <v>13.69</v>
      </c>
      <c r="I7" s="3" t="s">
        <v>66</v>
      </c>
      <c r="J7" s="3">
        <v>515</v>
      </c>
      <c r="K7" s="29">
        <v>44740</v>
      </c>
      <c r="L7" s="29" t="s">
        <v>733</v>
      </c>
      <c r="M7" s="3" t="s">
        <v>24</v>
      </c>
      <c r="N7" s="3">
        <v>68054.52</v>
      </c>
      <c r="O7" s="3" t="s">
        <v>25</v>
      </c>
      <c r="P7" s="3" t="s">
        <v>26</v>
      </c>
      <c r="Q7" s="3" t="s">
        <v>27</v>
      </c>
      <c r="R7" s="3">
        <v>0</v>
      </c>
      <c r="S7" s="3">
        <v>1877501.86</v>
      </c>
      <c r="T7" s="38" t="s">
        <v>2879</v>
      </c>
      <c r="U7" s="13"/>
      <c r="AM7" s="22" t="s">
        <v>0</v>
      </c>
      <c r="AN7" s="14" t="s">
        <v>1</v>
      </c>
      <c r="AO7" s="14" t="s">
        <v>2</v>
      </c>
      <c r="AP7" s="14" t="s">
        <v>3</v>
      </c>
      <c r="AQ7" s="14" t="s">
        <v>4</v>
      </c>
      <c r="AR7" s="14" t="s">
        <v>5</v>
      </c>
      <c r="AS7" s="14" t="s">
        <v>6</v>
      </c>
      <c r="AT7" s="14" t="s">
        <v>7</v>
      </c>
      <c r="AU7" s="14" t="s">
        <v>8</v>
      </c>
      <c r="AV7" s="14" t="s">
        <v>9</v>
      </c>
      <c r="AW7" s="14" t="s">
        <v>10</v>
      </c>
      <c r="AX7" s="14" t="s">
        <v>11</v>
      </c>
      <c r="AY7" s="14" t="s">
        <v>12</v>
      </c>
      <c r="AZ7" s="14" t="s">
        <v>13</v>
      </c>
      <c r="BA7" s="14" t="s">
        <v>14</v>
      </c>
      <c r="BB7" s="14" t="s">
        <v>15</v>
      </c>
      <c r="BC7" s="14" t="s">
        <v>16</v>
      </c>
      <c r="BD7" s="14" t="s">
        <v>17</v>
      </c>
      <c r="BE7" s="23" t="s">
        <v>18</v>
      </c>
      <c r="BG7" s="22" t="s">
        <v>0</v>
      </c>
      <c r="BH7" s="14" t="s">
        <v>1</v>
      </c>
      <c r="BI7" s="14" t="s">
        <v>2</v>
      </c>
      <c r="BJ7" s="14" t="s">
        <v>3</v>
      </c>
      <c r="BK7" s="14" t="s">
        <v>4</v>
      </c>
      <c r="BL7" s="14" t="s">
        <v>5</v>
      </c>
      <c r="BM7" s="14" t="s">
        <v>6</v>
      </c>
      <c r="BN7" s="14" t="s">
        <v>7</v>
      </c>
      <c r="BO7" s="14" t="s">
        <v>8</v>
      </c>
      <c r="BP7" s="14" t="s">
        <v>9</v>
      </c>
      <c r="BQ7" s="14" t="s">
        <v>10</v>
      </c>
      <c r="BR7" s="14" t="s">
        <v>11</v>
      </c>
      <c r="BS7" s="14" t="s">
        <v>12</v>
      </c>
      <c r="BT7" s="14" t="s">
        <v>13</v>
      </c>
      <c r="BU7" s="14" t="s">
        <v>14</v>
      </c>
      <c r="BV7" s="14" t="s">
        <v>15</v>
      </c>
      <c r="BW7" s="14" t="s">
        <v>16</v>
      </c>
      <c r="BX7" s="14" t="s">
        <v>17</v>
      </c>
      <c r="BY7" s="23" t="s">
        <v>18</v>
      </c>
    </row>
    <row r="8" spans="1:77" ht="15" thickTop="1" x14ac:dyDescent="0.3">
      <c r="A8" s="3" t="s">
        <v>2787</v>
      </c>
      <c r="B8" s="3" t="s">
        <v>867</v>
      </c>
      <c r="C8" s="3">
        <v>56</v>
      </c>
      <c r="D8" s="3" t="s">
        <v>30</v>
      </c>
      <c r="E8" s="3">
        <v>187306</v>
      </c>
      <c r="F8" s="3">
        <v>2000000</v>
      </c>
      <c r="G8" s="3">
        <v>12</v>
      </c>
      <c r="H8" s="3">
        <v>20.93</v>
      </c>
      <c r="I8" s="3" t="s">
        <v>31</v>
      </c>
      <c r="J8" s="3">
        <v>521</v>
      </c>
      <c r="K8" s="29">
        <v>45228</v>
      </c>
      <c r="L8" s="29" t="s">
        <v>757</v>
      </c>
      <c r="M8" s="3" t="s">
        <v>24</v>
      </c>
      <c r="N8" s="3">
        <v>186160.36</v>
      </c>
      <c r="O8" s="3" t="s">
        <v>60</v>
      </c>
      <c r="P8" s="3" t="s">
        <v>61</v>
      </c>
      <c r="Q8" s="3" t="s">
        <v>27</v>
      </c>
      <c r="R8" s="3">
        <v>0</v>
      </c>
      <c r="S8" s="3">
        <v>1832455.68</v>
      </c>
      <c r="T8" s="38" t="s">
        <v>2879</v>
      </c>
      <c r="U8" s="13"/>
      <c r="BC8" s="19" t="s">
        <v>100</v>
      </c>
      <c r="BU8" s="20" t="s">
        <v>25</v>
      </c>
      <c r="BW8" s="2" t="s">
        <v>100</v>
      </c>
    </row>
    <row r="9" spans="1:77" x14ac:dyDescent="0.3">
      <c r="A9" s="2" t="s">
        <v>1541</v>
      </c>
      <c r="B9" s="2" t="s">
        <v>1542</v>
      </c>
      <c r="C9" s="2">
        <v>65</v>
      </c>
      <c r="D9" s="2" t="s">
        <v>30</v>
      </c>
      <c r="E9" s="2">
        <v>87806</v>
      </c>
      <c r="F9" s="2">
        <v>2000000</v>
      </c>
      <c r="G9" s="2">
        <v>36</v>
      </c>
      <c r="H9" s="2">
        <v>12.76</v>
      </c>
      <c r="I9" s="2" t="s">
        <v>38</v>
      </c>
      <c r="J9" s="2">
        <v>615</v>
      </c>
      <c r="K9" s="30">
        <v>44687</v>
      </c>
      <c r="L9" s="30" t="s">
        <v>1543</v>
      </c>
      <c r="M9" s="2" t="s">
        <v>24</v>
      </c>
      <c r="N9" s="2">
        <v>67156.94</v>
      </c>
      <c r="O9" s="2" t="s">
        <v>25</v>
      </c>
      <c r="P9" s="2" t="s">
        <v>123</v>
      </c>
      <c r="Q9" s="2" t="s">
        <v>42</v>
      </c>
      <c r="R9" s="2">
        <v>0</v>
      </c>
      <c r="S9" s="2">
        <v>1818676.26</v>
      </c>
      <c r="T9" s="38" t="s">
        <v>2875</v>
      </c>
      <c r="U9" s="13"/>
    </row>
    <row r="10" spans="1:77" ht="14.4" customHeight="1" x14ac:dyDescent="0.3">
      <c r="A10" s="3" t="s">
        <v>1233</v>
      </c>
      <c r="B10" s="3" t="s">
        <v>1174</v>
      </c>
      <c r="C10" s="3">
        <v>30</v>
      </c>
      <c r="D10" s="3" t="s">
        <v>30</v>
      </c>
      <c r="E10" s="3">
        <v>21867</v>
      </c>
      <c r="F10" s="3">
        <v>2000000</v>
      </c>
      <c r="G10" s="3">
        <v>60</v>
      </c>
      <c r="H10" s="3">
        <v>16.28</v>
      </c>
      <c r="I10" s="3" t="s">
        <v>83</v>
      </c>
      <c r="J10" s="3">
        <v>537</v>
      </c>
      <c r="K10" s="29">
        <v>45173</v>
      </c>
      <c r="L10" s="29" t="s">
        <v>1234</v>
      </c>
      <c r="M10" s="3" t="s">
        <v>33</v>
      </c>
      <c r="N10" s="3">
        <v>48934.16</v>
      </c>
      <c r="O10" s="3" t="s">
        <v>105</v>
      </c>
      <c r="P10" s="3" t="s">
        <v>114</v>
      </c>
      <c r="Q10" s="3" t="s">
        <v>27</v>
      </c>
      <c r="R10" s="3">
        <v>1</v>
      </c>
      <c r="S10" s="3">
        <v>1779796.28</v>
      </c>
      <c r="T10" s="38" t="s">
        <v>2879</v>
      </c>
      <c r="U10" s="13"/>
      <c r="AM10" s="12" t="s">
        <v>0</v>
      </c>
      <c r="AN10" s="1" t="s">
        <v>1</v>
      </c>
      <c r="AO10" s="1" t="s">
        <v>2</v>
      </c>
      <c r="AP10" s="1" t="s">
        <v>3</v>
      </c>
      <c r="AQ10" s="1" t="s">
        <v>4</v>
      </c>
      <c r="AR10" s="1" t="s">
        <v>5</v>
      </c>
      <c r="AS10" s="1" t="s">
        <v>6</v>
      </c>
      <c r="AT10" s="16" t="s">
        <v>7</v>
      </c>
      <c r="AU10" s="16" t="s">
        <v>8</v>
      </c>
      <c r="AV10" s="1" t="s">
        <v>9</v>
      </c>
      <c r="AW10" s="1" t="s">
        <v>10</v>
      </c>
      <c r="AX10" s="1" t="s">
        <v>11</v>
      </c>
      <c r="AY10" s="1" t="s">
        <v>12</v>
      </c>
      <c r="AZ10" s="1" t="s">
        <v>13</v>
      </c>
      <c r="BA10" s="1" t="s">
        <v>14</v>
      </c>
      <c r="BB10" s="1" t="s">
        <v>15</v>
      </c>
      <c r="BC10" s="1" t="s">
        <v>16</v>
      </c>
      <c r="BD10" s="1" t="s">
        <v>17</v>
      </c>
      <c r="BE10" s="1" t="s">
        <v>18</v>
      </c>
      <c r="BG10" s="12" t="s">
        <v>0</v>
      </c>
      <c r="BH10" s="1" t="s">
        <v>1</v>
      </c>
      <c r="BI10" s="1" t="s">
        <v>2</v>
      </c>
      <c r="BJ10" s="1" t="s">
        <v>3</v>
      </c>
      <c r="BK10" s="1" t="s">
        <v>4</v>
      </c>
      <c r="BL10" s="1" t="s">
        <v>5</v>
      </c>
      <c r="BM10" s="1" t="s">
        <v>6</v>
      </c>
      <c r="BN10" s="16" t="s">
        <v>7</v>
      </c>
      <c r="BO10" s="16" t="s">
        <v>8</v>
      </c>
      <c r="BP10" s="1" t="s">
        <v>9</v>
      </c>
      <c r="BQ10" s="1" t="s">
        <v>10</v>
      </c>
      <c r="BR10" s="1" t="s">
        <v>11</v>
      </c>
      <c r="BS10" s="1" t="s">
        <v>12</v>
      </c>
      <c r="BT10" s="1" t="s">
        <v>13</v>
      </c>
      <c r="BU10" s="1" t="s">
        <v>14</v>
      </c>
      <c r="BV10" s="1" t="s">
        <v>15</v>
      </c>
      <c r="BW10" s="1" t="s">
        <v>16</v>
      </c>
      <c r="BX10" s="1" t="s">
        <v>17</v>
      </c>
      <c r="BY10" s="1" t="s">
        <v>18</v>
      </c>
    </row>
    <row r="11" spans="1:77" x14ac:dyDescent="0.3">
      <c r="A11" s="3" t="s">
        <v>1949</v>
      </c>
      <c r="B11" s="3" t="s">
        <v>870</v>
      </c>
      <c r="C11" s="3">
        <v>35</v>
      </c>
      <c r="D11" s="3" t="s">
        <v>45</v>
      </c>
      <c r="E11" s="3">
        <v>180098</v>
      </c>
      <c r="F11" s="3">
        <v>2000000</v>
      </c>
      <c r="G11" s="3">
        <v>120</v>
      </c>
      <c r="H11" s="3">
        <v>9.76</v>
      </c>
      <c r="I11" s="3" t="s">
        <v>83</v>
      </c>
      <c r="J11" s="3">
        <v>744</v>
      </c>
      <c r="K11" s="29">
        <v>45212</v>
      </c>
      <c r="L11" s="29" t="s">
        <v>1501</v>
      </c>
      <c r="M11" s="3" t="s">
        <v>24</v>
      </c>
      <c r="N11" s="3">
        <v>26165.06</v>
      </c>
      <c r="O11" s="3" t="s">
        <v>48</v>
      </c>
      <c r="P11" s="3" t="s">
        <v>86</v>
      </c>
      <c r="Q11" s="3" t="s">
        <v>42</v>
      </c>
      <c r="R11" s="3">
        <v>1</v>
      </c>
      <c r="S11" s="3">
        <v>1740965.91</v>
      </c>
      <c r="T11" s="38" t="s">
        <v>2871</v>
      </c>
      <c r="U11" s="13"/>
      <c r="AM11" s="2" t="s">
        <v>2593</v>
      </c>
      <c r="AN11" s="2" t="s">
        <v>1243</v>
      </c>
      <c r="AO11" s="2">
        <v>33</v>
      </c>
      <c r="AP11" s="2" t="s">
        <v>21</v>
      </c>
      <c r="AQ11" s="2">
        <v>175715</v>
      </c>
      <c r="AR11" s="2">
        <v>2000000</v>
      </c>
      <c r="AS11" s="2">
        <v>12</v>
      </c>
      <c r="AT11" s="2">
        <v>16.829999999999998</v>
      </c>
      <c r="AU11" s="2" t="s">
        <v>38</v>
      </c>
      <c r="AV11" s="2">
        <v>879</v>
      </c>
      <c r="AW11" s="30">
        <v>44467</v>
      </c>
      <c r="AX11" s="30" t="s">
        <v>327</v>
      </c>
      <c r="AY11" s="2" t="s">
        <v>24</v>
      </c>
      <c r="AZ11" s="2">
        <v>182248.19</v>
      </c>
      <c r="BA11" s="2" t="s">
        <v>54</v>
      </c>
      <c r="BB11" s="2" t="s">
        <v>304</v>
      </c>
      <c r="BC11" s="2" t="s">
        <v>100</v>
      </c>
      <c r="BD11" s="2">
        <v>8</v>
      </c>
      <c r="BE11" s="2">
        <v>2000000</v>
      </c>
      <c r="BG11" s="3" t="s">
        <v>1027</v>
      </c>
      <c r="BH11" s="3" t="s">
        <v>1028</v>
      </c>
      <c r="BI11" s="3">
        <v>39</v>
      </c>
      <c r="BJ11" s="3" t="s">
        <v>30</v>
      </c>
      <c r="BK11" s="3">
        <v>248648</v>
      </c>
      <c r="BL11" s="3">
        <v>500000</v>
      </c>
      <c r="BM11" s="3">
        <v>48</v>
      </c>
      <c r="BN11" s="3">
        <v>11.32</v>
      </c>
      <c r="BO11" s="3" t="s">
        <v>22</v>
      </c>
      <c r="BP11" s="3">
        <v>377</v>
      </c>
      <c r="BQ11" s="29">
        <v>45026</v>
      </c>
      <c r="BR11" s="29" t="s">
        <v>1029</v>
      </c>
      <c r="BS11" s="3" t="s">
        <v>24</v>
      </c>
      <c r="BT11" s="3">
        <v>13000.6</v>
      </c>
      <c r="BU11" s="3" t="s">
        <v>25</v>
      </c>
      <c r="BV11" s="3" t="s">
        <v>123</v>
      </c>
      <c r="BW11" s="3" t="s">
        <v>100</v>
      </c>
      <c r="BX11" s="3">
        <v>10</v>
      </c>
      <c r="BY11" s="3">
        <v>488299.46</v>
      </c>
    </row>
    <row r="12" spans="1:77" x14ac:dyDescent="0.3">
      <c r="A12" s="3" t="s">
        <v>1390</v>
      </c>
      <c r="B12" s="3" t="s">
        <v>1391</v>
      </c>
      <c r="C12" s="3">
        <v>28</v>
      </c>
      <c r="D12" s="3" t="s">
        <v>45</v>
      </c>
      <c r="E12" s="3">
        <v>113600</v>
      </c>
      <c r="F12" s="3">
        <v>2000000</v>
      </c>
      <c r="G12" s="3">
        <v>36</v>
      </c>
      <c r="H12" s="3">
        <v>7.73</v>
      </c>
      <c r="I12" s="3" t="s">
        <v>31</v>
      </c>
      <c r="J12" s="3">
        <v>382</v>
      </c>
      <c r="K12" s="29">
        <v>44778</v>
      </c>
      <c r="L12" s="29" t="s">
        <v>1392</v>
      </c>
      <c r="M12" s="3" t="s">
        <v>33</v>
      </c>
      <c r="N12" s="3">
        <v>62423.92</v>
      </c>
      <c r="O12" s="3" t="s">
        <v>25</v>
      </c>
      <c r="P12" s="3" t="s">
        <v>26</v>
      </c>
      <c r="Q12" s="3" t="s">
        <v>27</v>
      </c>
      <c r="R12" s="3">
        <v>0</v>
      </c>
      <c r="S12" s="3">
        <v>1719092.36</v>
      </c>
      <c r="T12" s="38" t="s">
        <v>2879</v>
      </c>
      <c r="U12" s="13"/>
      <c r="AM12" s="3" t="s">
        <v>2617</v>
      </c>
      <c r="AN12" s="3" t="s">
        <v>2006</v>
      </c>
      <c r="AO12" s="3">
        <v>40</v>
      </c>
      <c r="AP12" s="3" t="s">
        <v>65</v>
      </c>
      <c r="AQ12" s="3">
        <v>68136</v>
      </c>
      <c r="AR12" s="3">
        <v>2000000</v>
      </c>
      <c r="AS12" s="3">
        <v>60</v>
      </c>
      <c r="AT12" s="3">
        <v>7.85</v>
      </c>
      <c r="AU12" s="3" t="s">
        <v>66</v>
      </c>
      <c r="AV12" s="3">
        <v>492</v>
      </c>
      <c r="AW12" s="29">
        <v>44287</v>
      </c>
      <c r="AX12" s="29" t="s">
        <v>631</v>
      </c>
      <c r="AY12" s="3" t="s">
        <v>24</v>
      </c>
      <c r="AZ12" s="3">
        <v>40409.370000000003</v>
      </c>
      <c r="BA12" s="3" t="s">
        <v>105</v>
      </c>
      <c r="BB12" s="3" t="s">
        <v>118</v>
      </c>
      <c r="BC12" s="3" t="s">
        <v>100</v>
      </c>
      <c r="BD12" s="3">
        <v>12</v>
      </c>
      <c r="BE12" s="3">
        <v>2000000</v>
      </c>
      <c r="BG12" s="3" t="s">
        <v>407</v>
      </c>
      <c r="BH12" s="3" t="s">
        <v>408</v>
      </c>
      <c r="BI12" s="3">
        <v>59</v>
      </c>
      <c r="BJ12" s="3" t="s">
        <v>72</v>
      </c>
      <c r="BK12" s="3">
        <v>107259</v>
      </c>
      <c r="BL12" s="3">
        <v>500000</v>
      </c>
      <c r="BM12" s="3">
        <v>24</v>
      </c>
      <c r="BN12" s="3">
        <v>12</v>
      </c>
      <c r="BO12" s="3" t="s">
        <v>31</v>
      </c>
      <c r="BP12" s="3">
        <v>338</v>
      </c>
      <c r="BQ12" s="29">
        <v>44381</v>
      </c>
      <c r="BR12" s="29" t="s">
        <v>410</v>
      </c>
      <c r="BS12" s="3" t="s">
        <v>33</v>
      </c>
      <c r="BT12" s="3">
        <v>23536.74</v>
      </c>
      <c r="BU12" s="3" t="s">
        <v>25</v>
      </c>
      <c r="BV12" s="3" t="s">
        <v>151</v>
      </c>
      <c r="BW12" s="3" t="s">
        <v>100</v>
      </c>
      <c r="BX12" s="3">
        <v>4</v>
      </c>
      <c r="BY12" s="3">
        <v>457633.87</v>
      </c>
    </row>
    <row r="13" spans="1:77" x14ac:dyDescent="0.3">
      <c r="A13" s="2" t="s">
        <v>961</v>
      </c>
      <c r="B13" s="2" t="s">
        <v>962</v>
      </c>
      <c r="C13" s="2">
        <v>62</v>
      </c>
      <c r="D13" s="2" t="s">
        <v>45</v>
      </c>
      <c r="E13" s="2">
        <v>47301</v>
      </c>
      <c r="F13" s="2">
        <v>2000000</v>
      </c>
      <c r="G13" s="2">
        <v>180</v>
      </c>
      <c r="H13" s="2">
        <v>14.13</v>
      </c>
      <c r="I13" s="2" t="s">
        <v>251</v>
      </c>
      <c r="J13" s="2">
        <v>810</v>
      </c>
      <c r="K13" s="30">
        <v>45083</v>
      </c>
      <c r="L13" s="30" t="s">
        <v>963</v>
      </c>
      <c r="M13" s="2" t="s">
        <v>24</v>
      </c>
      <c r="N13" s="2">
        <v>26809.74</v>
      </c>
      <c r="O13" s="2" t="s">
        <v>25</v>
      </c>
      <c r="P13" s="2" t="s">
        <v>123</v>
      </c>
      <c r="Q13" s="2" t="s">
        <v>35</v>
      </c>
      <c r="R13" s="2">
        <v>11</v>
      </c>
      <c r="S13" s="2">
        <v>1710454.81</v>
      </c>
      <c r="T13" s="38" t="s">
        <v>2867</v>
      </c>
      <c r="U13" s="13"/>
      <c r="AM13" s="3" t="s">
        <v>1224</v>
      </c>
      <c r="AN13" s="3" t="s">
        <v>1225</v>
      </c>
      <c r="AO13" s="3">
        <v>37</v>
      </c>
      <c r="AP13" s="3" t="s">
        <v>45</v>
      </c>
      <c r="AQ13" s="3">
        <v>87319</v>
      </c>
      <c r="AR13" s="3">
        <v>2000000</v>
      </c>
      <c r="AS13" s="3">
        <v>12</v>
      </c>
      <c r="AT13" s="3">
        <v>16.57</v>
      </c>
      <c r="AU13" s="3" t="s">
        <v>73</v>
      </c>
      <c r="AV13" s="3">
        <v>330</v>
      </c>
      <c r="AW13" s="29">
        <v>44896</v>
      </c>
      <c r="AX13" s="29" t="s">
        <v>527</v>
      </c>
      <c r="AY13" s="3" t="s">
        <v>33</v>
      </c>
      <c r="AZ13" s="3">
        <v>182001.62</v>
      </c>
      <c r="BA13" s="3" t="s">
        <v>54</v>
      </c>
      <c r="BB13" s="3" t="s">
        <v>183</v>
      </c>
      <c r="BC13" s="3" t="s">
        <v>100</v>
      </c>
      <c r="BD13" s="3">
        <v>3</v>
      </c>
      <c r="BE13" s="3">
        <v>1672397.08</v>
      </c>
      <c r="BG13" s="3" t="s">
        <v>2380</v>
      </c>
      <c r="BH13" s="3" t="s">
        <v>2381</v>
      </c>
      <c r="BI13" s="3">
        <v>62</v>
      </c>
      <c r="BJ13" s="3" t="s">
        <v>72</v>
      </c>
      <c r="BK13" s="3">
        <v>66491</v>
      </c>
      <c r="BL13" s="3">
        <v>400000</v>
      </c>
      <c r="BM13" s="3">
        <v>24</v>
      </c>
      <c r="BN13" s="3">
        <v>13.91</v>
      </c>
      <c r="BO13" s="3" t="s">
        <v>31</v>
      </c>
      <c r="BP13" s="3">
        <v>502</v>
      </c>
      <c r="BQ13" s="29">
        <v>45194</v>
      </c>
      <c r="BR13" s="29" t="s">
        <v>207</v>
      </c>
      <c r="BS13" s="3" t="s">
        <v>24</v>
      </c>
      <c r="BT13" s="3">
        <v>19188.150000000001</v>
      </c>
      <c r="BU13" s="3" t="s">
        <v>25</v>
      </c>
      <c r="BV13" s="3" t="s">
        <v>123</v>
      </c>
      <c r="BW13" s="3" t="s">
        <v>100</v>
      </c>
      <c r="BX13" s="3">
        <v>9</v>
      </c>
      <c r="BY13" s="3">
        <v>296383.99</v>
      </c>
    </row>
    <row r="14" spans="1:77" x14ac:dyDescent="0.3">
      <c r="A14" s="2" t="s">
        <v>840</v>
      </c>
      <c r="B14" s="2" t="s">
        <v>841</v>
      </c>
      <c r="C14" s="2">
        <v>32</v>
      </c>
      <c r="D14" s="2" t="s">
        <v>65</v>
      </c>
      <c r="E14" s="2">
        <v>34322</v>
      </c>
      <c r="F14" s="2">
        <v>2000000</v>
      </c>
      <c r="G14" s="2">
        <v>12</v>
      </c>
      <c r="H14" s="2">
        <v>11.78</v>
      </c>
      <c r="I14" s="2" t="s">
        <v>38</v>
      </c>
      <c r="J14" s="2">
        <v>567</v>
      </c>
      <c r="K14" s="30">
        <v>44965</v>
      </c>
      <c r="L14" s="30" t="s">
        <v>174</v>
      </c>
      <c r="M14" s="2" t="s">
        <v>24</v>
      </c>
      <c r="N14" s="2">
        <v>177491.81</v>
      </c>
      <c r="O14" s="2" t="s">
        <v>25</v>
      </c>
      <c r="P14" s="2" t="s">
        <v>26</v>
      </c>
      <c r="Q14" s="2" t="s">
        <v>35</v>
      </c>
      <c r="R14" s="2">
        <v>5</v>
      </c>
      <c r="S14" s="2">
        <v>1680514.74</v>
      </c>
      <c r="T14" s="38" t="s">
        <v>2875</v>
      </c>
      <c r="U14" s="13"/>
      <c r="AM14" s="3" t="s">
        <v>1229</v>
      </c>
      <c r="AN14" s="3" t="s">
        <v>1230</v>
      </c>
      <c r="AO14" s="3">
        <v>59</v>
      </c>
      <c r="AP14" s="3" t="s">
        <v>45</v>
      </c>
      <c r="AQ14" s="3">
        <v>194319</v>
      </c>
      <c r="AR14" s="3">
        <v>2000000</v>
      </c>
      <c r="AS14" s="3">
        <v>48</v>
      </c>
      <c r="AT14" s="3">
        <v>20.010000000000002</v>
      </c>
      <c r="AU14" s="3" t="s">
        <v>66</v>
      </c>
      <c r="AV14" s="3">
        <v>836</v>
      </c>
      <c r="AW14" s="29">
        <v>44520</v>
      </c>
      <c r="AX14" s="29" t="s">
        <v>284</v>
      </c>
      <c r="AY14" s="3" t="s">
        <v>24</v>
      </c>
      <c r="AZ14" s="3">
        <v>60871.38</v>
      </c>
      <c r="BA14" s="3" t="s">
        <v>105</v>
      </c>
      <c r="BB14" s="3" t="s">
        <v>118</v>
      </c>
      <c r="BC14" s="3" t="s">
        <v>100</v>
      </c>
      <c r="BD14" s="3">
        <v>12</v>
      </c>
      <c r="BE14" s="3">
        <v>1506941.82</v>
      </c>
      <c r="BG14" s="3" t="s">
        <v>761</v>
      </c>
      <c r="BH14" s="3" t="s">
        <v>756</v>
      </c>
      <c r="BI14" s="3">
        <v>46</v>
      </c>
      <c r="BJ14" s="3" t="s">
        <v>45</v>
      </c>
      <c r="BK14" s="3">
        <v>125326</v>
      </c>
      <c r="BL14" s="3">
        <v>250000</v>
      </c>
      <c r="BM14" s="3">
        <v>240</v>
      </c>
      <c r="BN14" s="3">
        <v>17.399999999999999</v>
      </c>
      <c r="BO14" s="3" t="s">
        <v>31</v>
      </c>
      <c r="BP14" s="3">
        <v>374</v>
      </c>
      <c r="BQ14" s="29">
        <v>44733</v>
      </c>
      <c r="BR14" s="29" t="s">
        <v>763</v>
      </c>
      <c r="BS14" s="3" t="s">
        <v>24</v>
      </c>
      <c r="BT14" s="3">
        <v>3743.24</v>
      </c>
      <c r="BU14" s="3" t="s">
        <v>25</v>
      </c>
      <c r="BV14" s="3" t="s">
        <v>123</v>
      </c>
      <c r="BW14" s="3" t="s">
        <v>100</v>
      </c>
      <c r="BX14" s="3">
        <v>1</v>
      </c>
      <c r="BY14" s="3">
        <v>239893.25</v>
      </c>
    </row>
    <row r="15" spans="1:77" x14ac:dyDescent="0.3">
      <c r="A15" s="3" t="s">
        <v>1255</v>
      </c>
      <c r="B15" s="3" t="s">
        <v>584</v>
      </c>
      <c r="C15" s="3">
        <v>32</v>
      </c>
      <c r="D15" s="3" t="s">
        <v>30</v>
      </c>
      <c r="E15" s="3">
        <v>61888</v>
      </c>
      <c r="F15" s="3">
        <v>2000000</v>
      </c>
      <c r="G15" s="3">
        <v>12</v>
      </c>
      <c r="H15" s="3">
        <v>13.58</v>
      </c>
      <c r="I15" s="3" t="s">
        <v>66</v>
      </c>
      <c r="J15" s="3">
        <v>756</v>
      </c>
      <c r="K15" s="29">
        <v>44612</v>
      </c>
      <c r="L15" s="29" t="s">
        <v>1257</v>
      </c>
      <c r="M15" s="3" t="s">
        <v>24</v>
      </c>
      <c r="N15" s="3">
        <v>179179.24</v>
      </c>
      <c r="O15" s="3" t="s">
        <v>48</v>
      </c>
      <c r="P15" s="3" t="s">
        <v>86</v>
      </c>
      <c r="Q15" s="3" t="s">
        <v>42</v>
      </c>
      <c r="R15" s="3">
        <v>0</v>
      </c>
      <c r="S15" s="3">
        <v>1677477.37</v>
      </c>
      <c r="T15" s="38" t="s">
        <v>2867</v>
      </c>
      <c r="U15" s="13"/>
      <c r="AM15" s="2" t="s">
        <v>2738</v>
      </c>
      <c r="AN15" s="2" t="s">
        <v>2091</v>
      </c>
      <c r="AO15" s="2">
        <v>32</v>
      </c>
      <c r="AP15" s="2" t="s">
        <v>21</v>
      </c>
      <c r="AQ15" s="2">
        <v>40586</v>
      </c>
      <c r="AR15" s="2">
        <v>2000000</v>
      </c>
      <c r="AS15" s="2">
        <v>60</v>
      </c>
      <c r="AT15" s="2">
        <v>11.99</v>
      </c>
      <c r="AU15" s="2" t="s">
        <v>22</v>
      </c>
      <c r="AV15" s="2">
        <v>378</v>
      </c>
      <c r="AW15" s="30">
        <v>44332</v>
      </c>
      <c r="AX15" s="30" t="s">
        <v>443</v>
      </c>
      <c r="AY15" s="2" t="s">
        <v>24</v>
      </c>
      <c r="AZ15" s="2">
        <v>44478.79</v>
      </c>
      <c r="BA15" s="2" t="s">
        <v>105</v>
      </c>
      <c r="BB15" s="2" t="s">
        <v>114</v>
      </c>
      <c r="BC15" s="2" t="s">
        <v>100</v>
      </c>
      <c r="BD15" s="2">
        <v>0</v>
      </c>
      <c r="BE15" s="2">
        <v>1399536.33</v>
      </c>
      <c r="BG15" s="2" t="s">
        <v>2843</v>
      </c>
      <c r="BH15" s="2" t="s">
        <v>2032</v>
      </c>
      <c r="BI15" s="2">
        <v>43</v>
      </c>
      <c r="BJ15" s="2" t="s">
        <v>30</v>
      </c>
      <c r="BK15" s="2">
        <v>144073</v>
      </c>
      <c r="BL15" s="2">
        <v>300000</v>
      </c>
      <c r="BM15" s="2">
        <v>120</v>
      </c>
      <c r="BN15" s="2">
        <v>13.81</v>
      </c>
      <c r="BO15" s="2" t="s">
        <v>46</v>
      </c>
      <c r="BP15" s="2">
        <v>831</v>
      </c>
      <c r="BQ15" s="30">
        <v>45070</v>
      </c>
      <c r="BR15" s="30" t="s">
        <v>703</v>
      </c>
      <c r="BS15" s="2" t="s">
        <v>24</v>
      </c>
      <c r="BT15" s="2">
        <v>4623.78</v>
      </c>
      <c r="BU15" s="2" t="s">
        <v>25</v>
      </c>
      <c r="BV15" s="2" t="s">
        <v>26</v>
      </c>
      <c r="BW15" s="2" t="s">
        <v>100</v>
      </c>
      <c r="BX15" s="2">
        <v>11</v>
      </c>
      <c r="BY15" s="2">
        <v>233417.57</v>
      </c>
    </row>
    <row r="16" spans="1:77" x14ac:dyDescent="0.3">
      <c r="A16" s="2" t="s">
        <v>411</v>
      </c>
      <c r="B16" s="2" t="s">
        <v>412</v>
      </c>
      <c r="C16" s="2">
        <v>51</v>
      </c>
      <c r="D16" s="2" t="s">
        <v>45</v>
      </c>
      <c r="E16" s="2">
        <v>160310</v>
      </c>
      <c r="F16" s="2">
        <v>2000000</v>
      </c>
      <c r="G16" s="2">
        <v>12</v>
      </c>
      <c r="H16" s="2">
        <v>14.02</v>
      </c>
      <c r="I16" s="2" t="s">
        <v>83</v>
      </c>
      <c r="J16" s="2">
        <v>629</v>
      </c>
      <c r="K16" s="30">
        <v>44323</v>
      </c>
      <c r="L16" s="30" t="s">
        <v>413</v>
      </c>
      <c r="M16" s="2" t="s">
        <v>24</v>
      </c>
      <c r="N16" s="2">
        <v>179593.06</v>
      </c>
      <c r="O16" s="2" t="s">
        <v>54</v>
      </c>
      <c r="P16" s="2" t="s">
        <v>164</v>
      </c>
      <c r="Q16" s="2" t="s">
        <v>42</v>
      </c>
      <c r="R16" s="2">
        <v>2</v>
      </c>
      <c r="S16" s="2">
        <v>1676732.49</v>
      </c>
      <c r="T16" s="38" t="s">
        <v>2875</v>
      </c>
      <c r="U16" s="13"/>
      <c r="AM16" s="2" t="s">
        <v>1504</v>
      </c>
      <c r="AN16" s="2" t="s">
        <v>1505</v>
      </c>
      <c r="AO16" s="2">
        <v>57</v>
      </c>
      <c r="AP16" s="2" t="s">
        <v>21</v>
      </c>
      <c r="AQ16" s="2">
        <v>246918</v>
      </c>
      <c r="AR16" s="2">
        <v>1500000</v>
      </c>
      <c r="AS16" s="2">
        <v>36</v>
      </c>
      <c r="AT16" s="2">
        <v>14.63</v>
      </c>
      <c r="AU16" s="2" t="s">
        <v>251</v>
      </c>
      <c r="AV16" s="2">
        <v>619</v>
      </c>
      <c r="AW16" s="30">
        <v>45201</v>
      </c>
      <c r="AX16" s="30" t="s">
        <v>1506</v>
      </c>
      <c r="AY16" s="2" t="s">
        <v>24</v>
      </c>
      <c r="AZ16" s="2">
        <v>51726.62</v>
      </c>
      <c r="BA16" s="2" t="s">
        <v>60</v>
      </c>
      <c r="BB16" s="2" t="s">
        <v>76</v>
      </c>
      <c r="BC16" s="2" t="s">
        <v>100</v>
      </c>
      <c r="BD16" s="2">
        <v>12</v>
      </c>
      <c r="BE16" s="2">
        <v>1174122.29</v>
      </c>
      <c r="BG16" s="3" t="s">
        <v>1663</v>
      </c>
      <c r="BH16" s="3" t="s">
        <v>1664</v>
      </c>
      <c r="BI16" s="3">
        <v>25</v>
      </c>
      <c r="BJ16" s="3" t="s">
        <v>21</v>
      </c>
      <c r="BK16" s="3">
        <v>248061</v>
      </c>
      <c r="BL16" s="3">
        <v>200000</v>
      </c>
      <c r="BM16" s="3">
        <v>48</v>
      </c>
      <c r="BN16" s="3">
        <v>10.15</v>
      </c>
      <c r="BO16" s="3" t="s">
        <v>31</v>
      </c>
      <c r="BP16" s="3">
        <v>302</v>
      </c>
      <c r="BQ16" s="29">
        <v>44288</v>
      </c>
      <c r="BR16" s="29" t="s">
        <v>1057</v>
      </c>
      <c r="BS16" s="3" t="s">
        <v>33</v>
      </c>
      <c r="BT16" s="3">
        <v>5086.9399999999996</v>
      </c>
      <c r="BU16" s="3" t="s">
        <v>25</v>
      </c>
      <c r="BV16" s="3" t="s">
        <v>123</v>
      </c>
      <c r="BW16" s="3" t="s">
        <v>100</v>
      </c>
      <c r="BX16" s="3">
        <v>5</v>
      </c>
      <c r="BY16" s="3">
        <v>181687.02</v>
      </c>
    </row>
    <row r="17" spans="1:77" x14ac:dyDescent="0.3">
      <c r="A17" s="3" t="s">
        <v>1224</v>
      </c>
      <c r="B17" s="3" t="s">
        <v>1225</v>
      </c>
      <c r="C17" s="3">
        <v>37</v>
      </c>
      <c r="D17" s="3" t="s">
        <v>45</v>
      </c>
      <c r="E17" s="3">
        <v>87319</v>
      </c>
      <c r="F17" s="3">
        <v>2000000</v>
      </c>
      <c r="G17" s="3">
        <v>12</v>
      </c>
      <c r="H17" s="3">
        <v>16.57</v>
      </c>
      <c r="I17" s="3" t="s">
        <v>73</v>
      </c>
      <c r="J17" s="3">
        <v>330</v>
      </c>
      <c r="K17" s="29">
        <v>44896</v>
      </c>
      <c r="L17" s="29" t="s">
        <v>527</v>
      </c>
      <c r="M17" s="3" t="s">
        <v>33</v>
      </c>
      <c r="N17" s="3">
        <v>182001.62</v>
      </c>
      <c r="O17" s="3" t="s">
        <v>54</v>
      </c>
      <c r="P17" s="3" t="s">
        <v>183</v>
      </c>
      <c r="Q17" s="3" t="s">
        <v>100</v>
      </c>
      <c r="R17" s="3">
        <v>3</v>
      </c>
      <c r="S17" s="3">
        <v>1672397.08</v>
      </c>
      <c r="T17" s="38" t="s">
        <v>2879</v>
      </c>
      <c r="U17" s="13"/>
      <c r="AM17" s="3" t="s">
        <v>152</v>
      </c>
      <c r="AN17" s="3" t="s">
        <v>153</v>
      </c>
      <c r="AO17" s="3">
        <v>57</v>
      </c>
      <c r="AP17" s="3" t="s">
        <v>65</v>
      </c>
      <c r="AQ17" s="3">
        <v>177702</v>
      </c>
      <c r="AR17" s="3">
        <v>1500000</v>
      </c>
      <c r="AS17" s="3">
        <v>36</v>
      </c>
      <c r="AT17" s="3">
        <v>20.92</v>
      </c>
      <c r="AU17" s="3" t="s">
        <v>83</v>
      </c>
      <c r="AV17" s="3">
        <v>466</v>
      </c>
      <c r="AW17" s="29">
        <v>44877</v>
      </c>
      <c r="AX17" s="29" t="s">
        <v>155</v>
      </c>
      <c r="AY17" s="3" t="s">
        <v>122</v>
      </c>
      <c r="AZ17" s="3">
        <v>56451.01</v>
      </c>
      <c r="BA17" s="3" t="s">
        <v>105</v>
      </c>
      <c r="BB17" s="3" t="s">
        <v>118</v>
      </c>
      <c r="BC17" s="3" t="s">
        <v>100</v>
      </c>
      <c r="BD17" s="3">
        <v>0</v>
      </c>
      <c r="BE17" s="3">
        <v>941135</v>
      </c>
      <c r="BG17" s="2" t="s">
        <v>2480</v>
      </c>
      <c r="BH17" s="2" t="s">
        <v>2481</v>
      </c>
      <c r="BI17" s="2">
        <v>57</v>
      </c>
      <c r="BJ17" s="2" t="s">
        <v>65</v>
      </c>
      <c r="BK17" s="2">
        <v>161537</v>
      </c>
      <c r="BL17" s="2">
        <v>1000000</v>
      </c>
      <c r="BM17" s="2">
        <v>12</v>
      </c>
      <c r="BN17" s="2">
        <v>20.49</v>
      </c>
      <c r="BO17" s="2" t="s">
        <v>31</v>
      </c>
      <c r="BP17" s="2">
        <v>451</v>
      </c>
      <c r="BQ17" s="30">
        <v>44762</v>
      </c>
      <c r="BR17" s="30" t="s">
        <v>1814</v>
      </c>
      <c r="BS17" s="2" t="s">
        <v>24</v>
      </c>
      <c r="BT17" s="2">
        <v>92869.18</v>
      </c>
      <c r="BU17" s="2" t="s">
        <v>25</v>
      </c>
      <c r="BV17" s="2" t="s">
        <v>151</v>
      </c>
      <c r="BW17" s="2" t="s">
        <v>100</v>
      </c>
      <c r="BX17" s="2">
        <v>1</v>
      </c>
      <c r="BY17" s="2">
        <v>80595.12</v>
      </c>
    </row>
    <row r="18" spans="1:77" x14ac:dyDescent="0.3">
      <c r="A18" s="3" t="s">
        <v>2485</v>
      </c>
      <c r="B18" s="3" t="s">
        <v>1123</v>
      </c>
      <c r="C18" s="3">
        <v>34</v>
      </c>
      <c r="D18" s="3" t="s">
        <v>30</v>
      </c>
      <c r="E18" s="3"/>
      <c r="F18" s="3">
        <v>2000000</v>
      </c>
      <c r="G18" s="3">
        <v>36</v>
      </c>
      <c r="H18" s="3">
        <v>19.62</v>
      </c>
      <c r="I18" s="3" t="s">
        <v>46</v>
      </c>
      <c r="J18" s="3">
        <v>806</v>
      </c>
      <c r="K18" s="29">
        <v>45023</v>
      </c>
      <c r="L18" s="29" t="s">
        <v>1062</v>
      </c>
      <c r="M18" s="3" t="s">
        <v>33</v>
      </c>
      <c r="N18" s="3">
        <v>73940.490000000005</v>
      </c>
      <c r="O18" s="3" t="s">
        <v>25</v>
      </c>
      <c r="P18" s="3" t="s">
        <v>151</v>
      </c>
      <c r="Q18" s="3" t="s">
        <v>35</v>
      </c>
      <c r="R18" s="3">
        <v>1</v>
      </c>
      <c r="S18" s="3">
        <v>1600721.35</v>
      </c>
      <c r="T18" s="38" t="s">
        <v>2867</v>
      </c>
      <c r="U18" s="13"/>
      <c r="AA18" t="s">
        <v>3003</v>
      </c>
      <c r="AM18" s="2" t="s">
        <v>939</v>
      </c>
      <c r="AN18" s="2" t="s">
        <v>940</v>
      </c>
      <c r="AO18" s="2">
        <v>44</v>
      </c>
      <c r="AP18" s="2" t="s">
        <v>45</v>
      </c>
      <c r="AQ18" s="2">
        <v>22554</v>
      </c>
      <c r="AR18" s="2">
        <v>1000000</v>
      </c>
      <c r="AS18" s="2">
        <v>36</v>
      </c>
      <c r="AT18" s="2">
        <v>14.5</v>
      </c>
      <c r="AU18" s="2" t="s">
        <v>31</v>
      </c>
      <c r="AV18" s="2">
        <v>415</v>
      </c>
      <c r="AW18" s="30">
        <v>44732</v>
      </c>
      <c r="AX18" s="30" t="s">
        <v>482</v>
      </c>
      <c r="AY18" s="2" t="s">
        <v>24</v>
      </c>
      <c r="AZ18" s="2">
        <v>34420.980000000003</v>
      </c>
      <c r="BA18" s="2" t="s">
        <v>60</v>
      </c>
      <c r="BB18" s="2" t="s">
        <v>76</v>
      </c>
      <c r="BC18" s="2" t="s">
        <v>100</v>
      </c>
      <c r="BD18" s="2">
        <v>0</v>
      </c>
      <c r="BE18" s="2">
        <v>876084.47</v>
      </c>
      <c r="BG18" s="2" t="s">
        <v>2521</v>
      </c>
      <c r="BH18" s="2" t="s">
        <v>2522</v>
      </c>
      <c r="BI18" s="2">
        <v>40</v>
      </c>
      <c r="BJ18" s="2" t="s">
        <v>45</v>
      </c>
      <c r="BK18" s="2">
        <v>31685</v>
      </c>
      <c r="BL18" s="2">
        <v>150000</v>
      </c>
      <c r="BM18" s="2">
        <v>36</v>
      </c>
      <c r="BN18" s="2">
        <v>16.59</v>
      </c>
      <c r="BO18" s="2" t="s">
        <v>38</v>
      </c>
      <c r="BP18" s="2">
        <v>749</v>
      </c>
      <c r="BQ18" s="30">
        <v>45279</v>
      </c>
      <c r="BR18" s="30" t="s">
        <v>75</v>
      </c>
      <c r="BS18" s="2" t="s">
        <v>24</v>
      </c>
      <c r="BT18" s="2">
        <v>5317.35</v>
      </c>
      <c r="BU18" s="2" t="s">
        <v>25</v>
      </c>
      <c r="BV18" s="2" t="s">
        <v>41</v>
      </c>
      <c r="BW18" s="2" t="s">
        <v>100</v>
      </c>
      <c r="BX18" s="2">
        <v>1</v>
      </c>
      <c r="BY18" s="2">
        <v>78215.77</v>
      </c>
    </row>
    <row r="19" spans="1:77" ht="15.6" x14ac:dyDescent="0.3">
      <c r="A19" s="3" t="s">
        <v>1958</v>
      </c>
      <c r="B19" s="3" t="s">
        <v>1959</v>
      </c>
      <c r="C19" s="3">
        <v>34</v>
      </c>
      <c r="D19" s="3" t="s">
        <v>30</v>
      </c>
      <c r="E19" s="3">
        <v>140940</v>
      </c>
      <c r="F19" s="3">
        <v>2000000</v>
      </c>
      <c r="G19" s="3">
        <v>180</v>
      </c>
      <c r="H19" s="3">
        <v>19.32</v>
      </c>
      <c r="I19" s="3" t="s">
        <v>66</v>
      </c>
      <c r="J19" s="3">
        <v>639</v>
      </c>
      <c r="K19" s="29">
        <v>44744</v>
      </c>
      <c r="L19" s="29" t="s">
        <v>373</v>
      </c>
      <c r="M19" s="3" t="s">
        <v>24</v>
      </c>
      <c r="N19" s="3">
        <v>34125.379999999997</v>
      </c>
      <c r="O19" s="3" t="s">
        <v>60</v>
      </c>
      <c r="P19" s="3" t="s">
        <v>192</v>
      </c>
      <c r="Q19" s="3" t="s">
        <v>35</v>
      </c>
      <c r="R19" s="3">
        <v>3</v>
      </c>
      <c r="S19" s="3">
        <v>1570020.21</v>
      </c>
      <c r="T19" s="38" t="s">
        <v>2875</v>
      </c>
      <c r="U19" s="17" t="s">
        <v>2961</v>
      </c>
      <c r="AM19" s="2" t="s">
        <v>895</v>
      </c>
      <c r="AN19" s="2" t="s">
        <v>896</v>
      </c>
      <c r="AO19" s="2">
        <v>46</v>
      </c>
      <c r="AP19" s="2" t="s">
        <v>72</v>
      </c>
      <c r="AQ19" s="2">
        <v>167836</v>
      </c>
      <c r="AR19" s="2">
        <v>1500000</v>
      </c>
      <c r="AS19" s="2">
        <v>48</v>
      </c>
      <c r="AT19" s="2">
        <v>12.48</v>
      </c>
      <c r="AU19" s="2" t="s">
        <v>83</v>
      </c>
      <c r="AV19" s="2">
        <v>847</v>
      </c>
      <c r="AW19" s="30">
        <v>44545</v>
      </c>
      <c r="AX19" s="30" t="s">
        <v>403</v>
      </c>
      <c r="AY19" s="2" t="s">
        <v>24</v>
      </c>
      <c r="AZ19" s="2">
        <v>39855.19</v>
      </c>
      <c r="BA19" s="2" t="s">
        <v>60</v>
      </c>
      <c r="BB19" s="2" t="s">
        <v>61</v>
      </c>
      <c r="BC19" s="2" t="s">
        <v>100</v>
      </c>
      <c r="BD19" s="2">
        <v>8</v>
      </c>
      <c r="BE19" s="2">
        <v>818476.25</v>
      </c>
      <c r="BG19" s="2" t="s">
        <v>1197</v>
      </c>
      <c r="BH19" s="2" t="s">
        <v>1198</v>
      </c>
      <c r="BI19" s="2">
        <v>49</v>
      </c>
      <c r="BJ19" s="2" t="s">
        <v>65</v>
      </c>
      <c r="BK19" s="2">
        <v>242496</v>
      </c>
      <c r="BL19" s="2">
        <v>75000</v>
      </c>
      <c r="BM19" s="2">
        <v>48</v>
      </c>
      <c r="BN19" s="2">
        <v>18.34</v>
      </c>
      <c r="BO19" s="2" t="s">
        <v>46</v>
      </c>
      <c r="BP19" s="2">
        <v>691</v>
      </c>
      <c r="BQ19" s="30">
        <v>44850</v>
      </c>
      <c r="BR19" s="30" t="s">
        <v>1199</v>
      </c>
      <c r="BS19" s="2" t="s">
        <v>24</v>
      </c>
      <c r="BT19" s="2">
        <v>2216.4699999999998</v>
      </c>
      <c r="BU19" s="2" t="s">
        <v>25</v>
      </c>
      <c r="BV19" s="2" t="s">
        <v>151</v>
      </c>
      <c r="BW19" s="2" t="s">
        <v>100</v>
      </c>
      <c r="BX19" s="2">
        <v>8</v>
      </c>
      <c r="BY19" s="2">
        <v>71010.350000000006</v>
      </c>
    </row>
    <row r="20" spans="1:77" x14ac:dyDescent="0.3">
      <c r="A20" s="3" t="s">
        <v>2003</v>
      </c>
      <c r="B20" s="3" t="s">
        <v>2004</v>
      </c>
      <c r="C20" s="3">
        <v>28</v>
      </c>
      <c r="D20" s="3" t="s">
        <v>72</v>
      </c>
      <c r="E20" s="3">
        <v>52387</v>
      </c>
      <c r="F20" s="3">
        <v>2000000</v>
      </c>
      <c r="G20" s="3">
        <v>60</v>
      </c>
      <c r="H20" s="3">
        <v>15.43</v>
      </c>
      <c r="I20" s="3" t="s">
        <v>22</v>
      </c>
      <c r="J20" s="3">
        <v>810</v>
      </c>
      <c r="K20" s="29">
        <v>44802</v>
      </c>
      <c r="L20" s="29" t="s">
        <v>534</v>
      </c>
      <c r="M20" s="3" t="s">
        <v>24</v>
      </c>
      <c r="N20" s="3">
        <v>48032.480000000003</v>
      </c>
      <c r="O20" s="3" t="s">
        <v>25</v>
      </c>
      <c r="P20" s="3" t="s">
        <v>2998</v>
      </c>
      <c r="Q20" s="3" t="s">
        <v>35</v>
      </c>
      <c r="R20" s="3">
        <v>5</v>
      </c>
      <c r="S20" s="3">
        <v>1567707.68</v>
      </c>
      <c r="T20" s="38" t="s">
        <v>2867</v>
      </c>
      <c r="U20" s="13"/>
      <c r="AM20" s="2" t="s">
        <v>1551</v>
      </c>
      <c r="AN20" s="2" t="s">
        <v>1366</v>
      </c>
      <c r="AO20" s="2">
        <v>62</v>
      </c>
      <c r="AP20" s="2" t="s">
        <v>65</v>
      </c>
      <c r="AQ20" s="2">
        <v>222360</v>
      </c>
      <c r="AR20" s="2">
        <v>1000000</v>
      </c>
      <c r="AS20" s="2">
        <v>36</v>
      </c>
      <c r="AT20" s="2">
        <v>7.54</v>
      </c>
      <c r="AU20" s="2" t="s">
        <v>83</v>
      </c>
      <c r="AV20" s="2">
        <v>612</v>
      </c>
      <c r="AW20" s="30">
        <v>44520</v>
      </c>
      <c r="AX20" s="30" t="s">
        <v>1552</v>
      </c>
      <c r="AY20" s="2" t="s">
        <v>24</v>
      </c>
      <c r="AZ20" s="2">
        <v>31124.59</v>
      </c>
      <c r="BA20" s="2" t="s">
        <v>48</v>
      </c>
      <c r="BB20" s="2" t="s">
        <v>375</v>
      </c>
      <c r="BC20" s="2" t="s">
        <v>100</v>
      </c>
      <c r="BD20" s="2">
        <v>1</v>
      </c>
      <c r="BE20" s="2">
        <v>803915.08</v>
      </c>
      <c r="BG20" s="3" t="s">
        <v>2706</v>
      </c>
      <c r="BH20" s="3" t="s">
        <v>2707</v>
      </c>
      <c r="BI20" s="3">
        <v>55</v>
      </c>
      <c r="BJ20" s="3" t="s">
        <v>30</v>
      </c>
      <c r="BK20" s="3">
        <v>190047</v>
      </c>
      <c r="BL20" s="3">
        <v>1000000</v>
      </c>
      <c r="BM20" s="3">
        <v>240</v>
      </c>
      <c r="BN20" s="3">
        <v>17.399999999999999</v>
      </c>
      <c r="BO20" s="3" t="s">
        <v>83</v>
      </c>
      <c r="BP20" s="3">
        <v>531</v>
      </c>
      <c r="BQ20" s="29">
        <v>44869</v>
      </c>
      <c r="BR20" s="29" t="s">
        <v>502</v>
      </c>
      <c r="BS20" s="3" t="s">
        <v>33</v>
      </c>
      <c r="BT20" s="3">
        <v>14972.95</v>
      </c>
      <c r="BU20" s="3" t="s">
        <v>25</v>
      </c>
      <c r="BV20" s="3" t="s">
        <v>41</v>
      </c>
      <c r="BW20" s="3" t="s">
        <v>100</v>
      </c>
      <c r="BX20" s="3">
        <v>7</v>
      </c>
      <c r="BY20" s="3">
        <v>70179.8</v>
      </c>
    </row>
    <row r="21" spans="1:77" x14ac:dyDescent="0.3">
      <c r="A21" s="2" t="s">
        <v>2839</v>
      </c>
      <c r="B21" s="2" t="s">
        <v>2840</v>
      </c>
      <c r="C21" s="2">
        <v>23</v>
      </c>
      <c r="D21" s="2" t="s">
        <v>45</v>
      </c>
      <c r="E21" s="2">
        <v>51514</v>
      </c>
      <c r="F21" s="2">
        <v>2000000</v>
      </c>
      <c r="G21" s="2">
        <v>120</v>
      </c>
      <c r="H21" s="2">
        <v>10.32</v>
      </c>
      <c r="I21" s="2" t="s">
        <v>251</v>
      </c>
      <c r="J21" s="2">
        <v>520</v>
      </c>
      <c r="K21" s="30">
        <v>44347</v>
      </c>
      <c r="L21" s="30" t="s">
        <v>1478</v>
      </c>
      <c r="M21" s="2" t="s">
        <v>24</v>
      </c>
      <c r="N21" s="2">
        <v>26785.82</v>
      </c>
      <c r="O21" s="2" t="s">
        <v>54</v>
      </c>
      <c r="P21" s="2" t="s">
        <v>99</v>
      </c>
      <c r="Q21" s="2" t="s">
        <v>42</v>
      </c>
      <c r="R21" s="2">
        <v>2</v>
      </c>
      <c r="S21" s="2">
        <v>1566069.72</v>
      </c>
      <c r="T21" s="38" t="s">
        <v>2879</v>
      </c>
      <c r="U21" s="13"/>
      <c r="AM21" s="2" t="s">
        <v>2253</v>
      </c>
      <c r="AN21" s="2" t="s">
        <v>2254</v>
      </c>
      <c r="AO21" s="2">
        <v>61</v>
      </c>
      <c r="AP21" s="2" t="s">
        <v>65</v>
      </c>
      <c r="AQ21" s="2">
        <v>152207</v>
      </c>
      <c r="AR21" s="2">
        <v>1500000</v>
      </c>
      <c r="AS21" s="2">
        <v>48</v>
      </c>
      <c r="AT21" s="2">
        <v>8.35</v>
      </c>
      <c r="AU21" s="2" t="s">
        <v>31</v>
      </c>
      <c r="AV21" s="2">
        <v>558</v>
      </c>
      <c r="AW21" s="30">
        <v>44505</v>
      </c>
      <c r="AX21" s="30" t="s">
        <v>766</v>
      </c>
      <c r="AY21" s="2" t="s">
        <v>24</v>
      </c>
      <c r="AZ21" s="2">
        <v>36866.32</v>
      </c>
      <c r="BA21" s="2" t="s">
        <v>60</v>
      </c>
      <c r="BB21" s="2" t="s">
        <v>61</v>
      </c>
      <c r="BC21" s="2" t="s">
        <v>100</v>
      </c>
      <c r="BD21" s="2">
        <v>11</v>
      </c>
      <c r="BE21" s="2">
        <v>803226.55</v>
      </c>
      <c r="BG21" s="3" t="s">
        <v>1051</v>
      </c>
      <c r="BH21" s="3" t="s">
        <v>1052</v>
      </c>
      <c r="BI21" s="3">
        <v>58</v>
      </c>
      <c r="BJ21" s="3" t="s">
        <v>30</v>
      </c>
      <c r="BK21" s="3">
        <v>29656</v>
      </c>
      <c r="BL21" s="3">
        <v>100000</v>
      </c>
      <c r="BM21" s="3">
        <v>60</v>
      </c>
      <c r="BN21" s="3">
        <v>20.88</v>
      </c>
      <c r="BO21" s="3" t="s">
        <v>73</v>
      </c>
      <c r="BP21" s="3">
        <v>877</v>
      </c>
      <c r="BQ21" s="29">
        <v>45116</v>
      </c>
      <c r="BR21" s="29" t="s">
        <v>392</v>
      </c>
      <c r="BS21" s="3" t="s">
        <v>24</v>
      </c>
      <c r="BT21" s="3">
        <v>2698.59</v>
      </c>
      <c r="BU21" s="3" t="s">
        <v>25</v>
      </c>
      <c r="BV21" s="3" t="s">
        <v>151</v>
      </c>
      <c r="BW21" s="3" t="s">
        <v>100</v>
      </c>
      <c r="BX21" s="3">
        <v>1</v>
      </c>
      <c r="BY21" s="3">
        <v>68426.5</v>
      </c>
    </row>
    <row r="22" spans="1:77" x14ac:dyDescent="0.3">
      <c r="A22" s="2" t="s">
        <v>2805</v>
      </c>
      <c r="B22" s="2" t="s">
        <v>2806</v>
      </c>
      <c r="C22" s="2">
        <v>64</v>
      </c>
      <c r="D22" s="2" t="s">
        <v>72</v>
      </c>
      <c r="E22" s="2">
        <v>241200</v>
      </c>
      <c r="F22" s="2">
        <v>2000000</v>
      </c>
      <c r="G22" s="2">
        <v>12</v>
      </c>
      <c r="H22" s="2">
        <v>8.7100000000000009</v>
      </c>
      <c r="I22" s="2" t="s">
        <v>251</v>
      </c>
      <c r="J22" s="2">
        <v>899</v>
      </c>
      <c r="K22" s="30">
        <v>45181</v>
      </c>
      <c r="L22" s="30" t="s">
        <v>848</v>
      </c>
      <c r="M22" s="2" t="s">
        <v>24</v>
      </c>
      <c r="N22" s="2">
        <v>174634.11</v>
      </c>
      <c r="O22" s="2" t="s">
        <v>25</v>
      </c>
      <c r="P22" s="2" t="s">
        <v>26</v>
      </c>
      <c r="Q22" s="2" t="s">
        <v>35</v>
      </c>
      <c r="R22" s="2">
        <v>11</v>
      </c>
      <c r="S22" s="2">
        <v>1528487.9</v>
      </c>
      <c r="T22" s="38" t="s">
        <v>2867</v>
      </c>
      <c r="U22" s="13"/>
      <c r="AM22" s="3" t="s">
        <v>2669</v>
      </c>
      <c r="AN22" s="3" t="s">
        <v>189</v>
      </c>
      <c r="AO22" s="3">
        <v>35</v>
      </c>
      <c r="AP22" s="3" t="s">
        <v>72</v>
      </c>
      <c r="AQ22" s="3">
        <v>248651</v>
      </c>
      <c r="AR22" s="3">
        <v>1000000</v>
      </c>
      <c r="AS22" s="3">
        <v>12</v>
      </c>
      <c r="AT22" s="3">
        <v>7.64</v>
      </c>
      <c r="AU22" s="3" t="s">
        <v>38</v>
      </c>
      <c r="AV22" s="3">
        <v>583</v>
      </c>
      <c r="AW22" s="29">
        <v>44648</v>
      </c>
      <c r="AX22" s="29" t="s">
        <v>931</v>
      </c>
      <c r="AY22" s="3" t="s">
        <v>24</v>
      </c>
      <c r="AZ22" s="3">
        <v>86822.07</v>
      </c>
      <c r="BA22" s="3" t="s">
        <v>48</v>
      </c>
      <c r="BB22" s="3" t="s">
        <v>80</v>
      </c>
      <c r="BC22" s="3" t="s">
        <v>100</v>
      </c>
      <c r="BD22" s="3">
        <v>3</v>
      </c>
      <c r="BE22" s="3">
        <v>765580.41</v>
      </c>
      <c r="BG22" s="2" t="s">
        <v>1712</v>
      </c>
      <c r="BH22" s="2" t="s">
        <v>1713</v>
      </c>
      <c r="BI22" s="2">
        <v>36</v>
      </c>
      <c r="BJ22" s="2" t="s">
        <v>65</v>
      </c>
      <c r="BK22" s="2">
        <v>34514</v>
      </c>
      <c r="BL22" s="2">
        <v>150000</v>
      </c>
      <c r="BM22" s="2">
        <v>48</v>
      </c>
      <c r="BN22" s="2">
        <v>9.8800000000000008</v>
      </c>
      <c r="BO22" s="2" t="s">
        <v>66</v>
      </c>
      <c r="BP22" s="2">
        <v>364</v>
      </c>
      <c r="BQ22" s="30">
        <v>44246</v>
      </c>
      <c r="BR22" s="30" t="s">
        <v>1714</v>
      </c>
      <c r="BS22" s="2" t="s">
        <v>24</v>
      </c>
      <c r="BT22" s="2">
        <v>3795.75</v>
      </c>
      <c r="BU22" s="2" t="s">
        <v>25</v>
      </c>
      <c r="BV22" s="2" t="s">
        <v>26</v>
      </c>
      <c r="BW22" s="2" t="s">
        <v>100</v>
      </c>
      <c r="BX22" s="2">
        <v>7</v>
      </c>
      <c r="BY22" s="2">
        <v>57763.27</v>
      </c>
    </row>
    <row r="23" spans="1:77" x14ac:dyDescent="0.3">
      <c r="A23" s="3" t="s">
        <v>56</v>
      </c>
      <c r="B23" s="3" t="s">
        <v>57</v>
      </c>
      <c r="C23" s="3">
        <v>65</v>
      </c>
      <c r="D23" s="3" t="s">
        <v>21</v>
      </c>
      <c r="E23" s="3">
        <v>235948</v>
      </c>
      <c r="F23" s="3">
        <v>2000000</v>
      </c>
      <c r="G23" s="3">
        <v>12</v>
      </c>
      <c r="H23" s="3">
        <v>10.82</v>
      </c>
      <c r="I23" s="3" t="s">
        <v>46</v>
      </c>
      <c r="J23" s="3">
        <v>623</v>
      </c>
      <c r="K23" s="29">
        <v>44841</v>
      </c>
      <c r="L23" s="29" t="s">
        <v>59</v>
      </c>
      <c r="M23" s="3" t="s">
        <v>24</v>
      </c>
      <c r="N23" s="3">
        <v>176595.44</v>
      </c>
      <c r="O23" s="3" t="s">
        <v>60</v>
      </c>
      <c r="P23" s="3" t="s">
        <v>61</v>
      </c>
      <c r="Q23" s="3" t="s">
        <v>62</v>
      </c>
      <c r="R23" s="3">
        <v>0</v>
      </c>
      <c r="S23" s="3">
        <v>1523192.31</v>
      </c>
      <c r="T23" s="38" t="s">
        <v>2875</v>
      </c>
      <c r="U23" s="13"/>
      <c r="AM23" s="3" t="s">
        <v>873</v>
      </c>
      <c r="AN23" s="3" t="s">
        <v>464</v>
      </c>
      <c r="AO23" s="3">
        <v>30</v>
      </c>
      <c r="AP23" s="3" t="s">
        <v>45</v>
      </c>
      <c r="AQ23" s="3">
        <v>245511</v>
      </c>
      <c r="AR23" s="3">
        <v>750000</v>
      </c>
      <c r="AS23" s="3">
        <v>12</v>
      </c>
      <c r="AT23" s="3">
        <v>10.02</v>
      </c>
      <c r="AU23" s="3" t="s">
        <v>83</v>
      </c>
      <c r="AV23" s="3">
        <v>359</v>
      </c>
      <c r="AW23" s="29">
        <v>44935</v>
      </c>
      <c r="AX23" s="29" t="s">
        <v>875</v>
      </c>
      <c r="AY23" s="3" t="s">
        <v>24</v>
      </c>
      <c r="AZ23" s="3">
        <v>65943.89</v>
      </c>
      <c r="BA23" s="3" t="s">
        <v>105</v>
      </c>
      <c r="BB23" s="3" t="s">
        <v>114</v>
      </c>
      <c r="BC23" s="3" t="s">
        <v>100</v>
      </c>
      <c r="BD23" s="3">
        <v>7</v>
      </c>
      <c r="BE23" s="3">
        <v>750000</v>
      </c>
      <c r="BG23" s="3" t="s">
        <v>732</v>
      </c>
      <c r="BH23" s="3" t="s">
        <v>512</v>
      </c>
      <c r="BI23" s="3">
        <v>37</v>
      </c>
      <c r="BJ23" s="3" t="s">
        <v>65</v>
      </c>
      <c r="BK23" s="3">
        <v>143308</v>
      </c>
      <c r="BL23" s="3">
        <v>100000</v>
      </c>
      <c r="BM23" s="3">
        <v>60</v>
      </c>
      <c r="BN23" s="3">
        <v>16.600000000000001</v>
      </c>
      <c r="BO23" s="3" t="s">
        <v>73</v>
      </c>
      <c r="BP23" s="3">
        <v>762</v>
      </c>
      <c r="BQ23" s="29">
        <v>44766</v>
      </c>
      <c r="BR23" s="29" t="s">
        <v>734</v>
      </c>
      <c r="BS23" s="3" t="s">
        <v>33</v>
      </c>
      <c r="BT23" s="3">
        <v>2463.8000000000002</v>
      </c>
      <c r="BU23" s="3" t="s">
        <v>25</v>
      </c>
      <c r="BV23" s="3" t="s">
        <v>26</v>
      </c>
      <c r="BW23" s="3" t="s">
        <v>100</v>
      </c>
      <c r="BX23" s="3">
        <v>6</v>
      </c>
      <c r="BY23" s="3">
        <v>29042.560000000001</v>
      </c>
    </row>
    <row r="24" spans="1:77" x14ac:dyDescent="0.3">
      <c r="A24" s="3" t="s">
        <v>1229</v>
      </c>
      <c r="B24" s="3" t="s">
        <v>1230</v>
      </c>
      <c r="C24" s="3">
        <v>59</v>
      </c>
      <c r="D24" s="3" t="s">
        <v>45</v>
      </c>
      <c r="E24" s="3">
        <v>194319</v>
      </c>
      <c r="F24" s="3">
        <v>2000000</v>
      </c>
      <c r="G24" s="3">
        <v>48</v>
      </c>
      <c r="H24" s="3">
        <v>20.010000000000002</v>
      </c>
      <c r="I24" s="3" t="s">
        <v>66</v>
      </c>
      <c r="J24" s="3">
        <v>836</v>
      </c>
      <c r="K24" s="29">
        <v>44520</v>
      </c>
      <c r="L24" s="29" t="s">
        <v>284</v>
      </c>
      <c r="M24" s="3" t="s">
        <v>24</v>
      </c>
      <c r="N24" s="3">
        <v>60871.38</v>
      </c>
      <c r="O24" s="3" t="s">
        <v>105</v>
      </c>
      <c r="P24" s="3" t="s">
        <v>118</v>
      </c>
      <c r="Q24" s="3" t="s">
        <v>100</v>
      </c>
      <c r="R24" s="3">
        <v>12</v>
      </c>
      <c r="S24" s="3">
        <v>1506941.82</v>
      </c>
      <c r="T24" s="38" t="s">
        <v>2867</v>
      </c>
      <c r="U24" s="13"/>
      <c r="AM24" s="3" t="s">
        <v>1966</v>
      </c>
      <c r="AN24" s="3" t="s">
        <v>1967</v>
      </c>
      <c r="AO24" s="3">
        <v>53</v>
      </c>
      <c r="AP24" s="3" t="s">
        <v>21</v>
      </c>
      <c r="AQ24" s="3">
        <v>84573</v>
      </c>
      <c r="AR24" s="3">
        <v>2000000</v>
      </c>
      <c r="AS24" s="3">
        <v>24</v>
      </c>
      <c r="AT24" s="3">
        <v>18.940000000000001</v>
      </c>
      <c r="AU24" s="3" t="s">
        <v>251</v>
      </c>
      <c r="AV24" s="3">
        <v>450</v>
      </c>
      <c r="AW24" s="29">
        <v>45176</v>
      </c>
      <c r="AX24" s="29" t="s">
        <v>1457</v>
      </c>
      <c r="AY24" s="3" t="s">
        <v>33</v>
      </c>
      <c r="AZ24" s="3">
        <v>100758.94</v>
      </c>
      <c r="BA24" s="3" t="s">
        <v>48</v>
      </c>
      <c r="BB24" s="3" t="s">
        <v>86</v>
      </c>
      <c r="BC24" s="3" t="s">
        <v>100</v>
      </c>
      <c r="BD24" s="3">
        <v>6</v>
      </c>
      <c r="BE24" s="3">
        <v>730437.36</v>
      </c>
      <c r="BG24" s="2" t="s">
        <v>716</v>
      </c>
      <c r="BH24" s="2" t="s">
        <v>717</v>
      </c>
      <c r="BI24" s="2">
        <v>50</v>
      </c>
      <c r="BJ24" s="2" t="s">
        <v>65</v>
      </c>
      <c r="BK24" s="2">
        <v>58844</v>
      </c>
      <c r="BL24" s="2">
        <v>75000</v>
      </c>
      <c r="BM24" s="2">
        <v>12</v>
      </c>
      <c r="BN24" s="2">
        <v>19.04</v>
      </c>
      <c r="BO24" s="2" t="s">
        <v>83</v>
      </c>
      <c r="BP24" s="2">
        <v>599</v>
      </c>
      <c r="BQ24" s="30">
        <v>44788</v>
      </c>
      <c r="BR24" s="30" t="s">
        <v>718</v>
      </c>
      <c r="BS24" s="2" t="s">
        <v>33</v>
      </c>
      <c r="BT24" s="2">
        <v>6913.18</v>
      </c>
      <c r="BU24" s="2" t="s">
        <v>25</v>
      </c>
      <c r="BV24" s="2" t="s">
        <v>151</v>
      </c>
      <c r="BW24" s="2" t="s">
        <v>100</v>
      </c>
      <c r="BX24" s="2">
        <v>3</v>
      </c>
      <c r="BY24" s="2">
        <v>25225.1</v>
      </c>
    </row>
    <row r="25" spans="1:77" x14ac:dyDescent="0.3">
      <c r="A25" s="2" t="s">
        <v>1442</v>
      </c>
      <c r="B25" s="2" t="s">
        <v>1443</v>
      </c>
      <c r="C25" s="2">
        <v>58</v>
      </c>
      <c r="D25" s="2" t="s">
        <v>65</v>
      </c>
      <c r="E25" s="2">
        <v>103784</v>
      </c>
      <c r="F25" s="2">
        <v>1500000</v>
      </c>
      <c r="G25" s="2">
        <v>24</v>
      </c>
      <c r="H25" s="2">
        <v>18.11</v>
      </c>
      <c r="I25" s="2" t="s">
        <v>46</v>
      </c>
      <c r="J25" s="2">
        <v>442</v>
      </c>
      <c r="K25" s="30">
        <v>45019</v>
      </c>
      <c r="L25" s="30" t="s">
        <v>1444</v>
      </c>
      <c r="M25" s="2" t="s">
        <v>24</v>
      </c>
      <c r="N25" s="2">
        <v>74965.899999999994</v>
      </c>
      <c r="O25" s="2" t="s">
        <v>54</v>
      </c>
      <c r="P25" s="2" t="s">
        <v>304</v>
      </c>
      <c r="Q25" s="2" t="s">
        <v>27</v>
      </c>
      <c r="R25" s="2">
        <v>1</v>
      </c>
      <c r="S25" s="2">
        <v>1500000</v>
      </c>
      <c r="T25" s="38" t="s">
        <v>2879</v>
      </c>
      <c r="U25" s="13"/>
      <c r="AM25" s="2" t="s">
        <v>2391</v>
      </c>
      <c r="AN25" s="2" t="s">
        <v>2392</v>
      </c>
      <c r="AO25" s="2">
        <v>61</v>
      </c>
      <c r="AP25" s="2" t="s">
        <v>30</v>
      </c>
      <c r="AQ25" s="2">
        <v>164686</v>
      </c>
      <c r="AR25" s="2">
        <v>1000000</v>
      </c>
      <c r="AS25" s="2">
        <v>36</v>
      </c>
      <c r="AT25" s="2">
        <v>12.19</v>
      </c>
      <c r="AU25" s="2" t="s">
        <v>83</v>
      </c>
      <c r="AV25" s="2">
        <v>705</v>
      </c>
      <c r="AW25" s="30">
        <v>44863</v>
      </c>
      <c r="AX25" s="30" t="s">
        <v>972</v>
      </c>
      <c r="AY25" s="2" t="s">
        <v>24</v>
      </c>
      <c r="AZ25" s="2">
        <v>33305.129999999997</v>
      </c>
      <c r="BA25" s="2" t="s">
        <v>105</v>
      </c>
      <c r="BB25" s="2" t="s">
        <v>159</v>
      </c>
      <c r="BC25" s="2" t="s">
        <v>100</v>
      </c>
      <c r="BD25" s="2">
        <v>9</v>
      </c>
      <c r="BE25" s="2">
        <v>700253.83</v>
      </c>
      <c r="BG25" s="3" t="s">
        <v>119</v>
      </c>
      <c r="BH25" s="3" t="s">
        <v>120</v>
      </c>
      <c r="BI25" s="3">
        <v>49</v>
      </c>
      <c r="BJ25" s="3" t="s">
        <v>45</v>
      </c>
      <c r="BK25" s="3">
        <v>188505</v>
      </c>
      <c r="BL25" s="3">
        <v>1500000</v>
      </c>
      <c r="BM25" s="3">
        <v>180</v>
      </c>
      <c r="BN25" s="3">
        <v>9.74</v>
      </c>
      <c r="BO25" s="3" t="s">
        <v>66</v>
      </c>
      <c r="BP25" s="3">
        <v>522</v>
      </c>
      <c r="BQ25" s="29">
        <v>44321</v>
      </c>
      <c r="BR25" s="29" t="s">
        <v>121</v>
      </c>
      <c r="BS25" s="3" t="s">
        <v>122</v>
      </c>
      <c r="BT25" s="3">
        <v>15881.33</v>
      </c>
      <c r="BU25" s="3" t="s">
        <v>25</v>
      </c>
      <c r="BV25" s="3" t="s">
        <v>123</v>
      </c>
      <c r="BW25" s="3" t="s">
        <v>100</v>
      </c>
      <c r="BX25" s="3">
        <v>11</v>
      </c>
      <c r="BY25" s="3">
        <v>0</v>
      </c>
    </row>
    <row r="26" spans="1:77" x14ac:dyDescent="0.3">
      <c r="A26" s="3" t="s">
        <v>1708</v>
      </c>
      <c r="B26" s="3" t="s">
        <v>177</v>
      </c>
      <c r="C26" s="3">
        <v>26</v>
      </c>
      <c r="D26" s="3" t="s">
        <v>45</v>
      </c>
      <c r="E26" s="3">
        <v>48619</v>
      </c>
      <c r="F26" s="3">
        <v>1500000</v>
      </c>
      <c r="G26" s="3">
        <v>24</v>
      </c>
      <c r="H26" s="3">
        <v>9.35</v>
      </c>
      <c r="I26" s="3" t="s">
        <v>83</v>
      </c>
      <c r="J26" s="3">
        <v>835</v>
      </c>
      <c r="K26" s="29">
        <v>45288</v>
      </c>
      <c r="L26" s="29" t="s">
        <v>686</v>
      </c>
      <c r="M26" s="3" t="s">
        <v>33</v>
      </c>
      <c r="N26" s="3">
        <v>68768.240000000005</v>
      </c>
      <c r="O26" s="3" t="s">
        <v>48</v>
      </c>
      <c r="P26" s="3" t="s">
        <v>86</v>
      </c>
      <c r="Q26" s="3" t="s">
        <v>42</v>
      </c>
      <c r="R26" s="3">
        <v>2</v>
      </c>
      <c r="S26" s="3">
        <v>1500000</v>
      </c>
      <c r="T26" s="38" t="s">
        <v>2867</v>
      </c>
      <c r="U26" s="13"/>
      <c r="AM26" s="3" t="s">
        <v>1711</v>
      </c>
      <c r="AN26" s="3" t="s">
        <v>1491</v>
      </c>
      <c r="AO26" s="3">
        <v>55</v>
      </c>
      <c r="AP26" s="3" t="s">
        <v>72</v>
      </c>
      <c r="AQ26" s="3">
        <v>246683</v>
      </c>
      <c r="AR26" s="3">
        <v>1500000</v>
      </c>
      <c r="AS26" s="3">
        <v>48</v>
      </c>
      <c r="AT26" s="3">
        <v>8.18</v>
      </c>
      <c r="AU26" s="3" t="s">
        <v>73</v>
      </c>
      <c r="AV26" s="3">
        <v>845</v>
      </c>
      <c r="AW26" s="29">
        <v>44595</v>
      </c>
      <c r="AX26" s="29" t="s">
        <v>1556</v>
      </c>
      <c r="AY26" s="3" t="s">
        <v>24</v>
      </c>
      <c r="AZ26" s="3">
        <v>36746.25</v>
      </c>
      <c r="BA26" s="3" t="s">
        <v>60</v>
      </c>
      <c r="BB26" s="3" t="s">
        <v>61</v>
      </c>
      <c r="BC26" s="3" t="s">
        <v>100</v>
      </c>
      <c r="BD26" s="3">
        <v>0</v>
      </c>
      <c r="BE26" s="3">
        <v>673209.38</v>
      </c>
      <c r="BG26" s="2" t="s">
        <v>722</v>
      </c>
      <c r="BH26" s="2" t="s">
        <v>723</v>
      </c>
      <c r="BI26" s="2">
        <v>41</v>
      </c>
      <c r="BJ26" s="2" t="s">
        <v>72</v>
      </c>
      <c r="BK26" s="2">
        <v>132894</v>
      </c>
      <c r="BL26" s="2">
        <v>200000</v>
      </c>
      <c r="BM26" s="2">
        <v>84</v>
      </c>
      <c r="BN26" s="2">
        <v>20</v>
      </c>
      <c r="BO26" s="2" t="s">
        <v>22</v>
      </c>
      <c r="BP26" s="2">
        <v>749</v>
      </c>
      <c r="BQ26" s="30">
        <v>44915</v>
      </c>
      <c r="BR26" s="30" t="s">
        <v>725</v>
      </c>
      <c r="BS26" s="2" t="s">
        <v>24</v>
      </c>
      <c r="BT26" s="2">
        <v>4441.24</v>
      </c>
      <c r="BU26" s="2" t="s">
        <v>25</v>
      </c>
      <c r="BV26" s="2" t="s">
        <v>34</v>
      </c>
      <c r="BW26" s="2" t="s">
        <v>100</v>
      </c>
      <c r="BX26" s="2">
        <v>3</v>
      </c>
      <c r="BY26" s="2">
        <v>0</v>
      </c>
    </row>
    <row r="27" spans="1:77" x14ac:dyDescent="0.3">
      <c r="A27" s="3" t="s">
        <v>2568</v>
      </c>
      <c r="B27" s="3" t="s">
        <v>2569</v>
      </c>
      <c r="C27" s="3">
        <v>31</v>
      </c>
      <c r="D27" s="3" t="s">
        <v>30</v>
      </c>
      <c r="E27" s="3">
        <v>208425</v>
      </c>
      <c r="F27" s="3">
        <v>2000000</v>
      </c>
      <c r="G27" s="3">
        <v>120</v>
      </c>
      <c r="H27" s="3">
        <v>13.58</v>
      </c>
      <c r="I27" s="3" t="s">
        <v>46</v>
      </c>
      <c r="J27" s="3">
        <v>442</v>
      </c>
      <c r="K27" s="29">
        <v>45015</v>
      </c>
      <c r="L27" s="29" t="s">
        <v>1415</v>
      </c>
      <c r="M27" s="3" t="s">
        <v>24</v>
      </c>
      <c r="N27" s="3">
        <v>30550.22</v>
      </c>
      <c r="O27" s="3" t="s">
        <v>48</v>
      </c>
      <c r="P27" s="3" t="s">
        <v>80</v>
      </c>
      <c r="Q27" s="3" t="s">
        <v>42</v>
      </c>
      <c r="R27" s="3">
        <v>2</v>
      </c>
      <c r="S27" s="3">
        <v>1477591.24</v>
      </c>
      <c r="T27" s="38" t="s">
        <v>2879</v>
      </c>
      <c r="U27" s="13"/>
      <c r="AM27" s="2" t="s">
        <v>2043</v>
      </c>
      <c r="AN27" s="2" t="s">
        <v>1756</v>
      </c>
      <c r="AO27" s="2">
        <v>54</v>
      </c>
      <c r="AP27" s="2" t="s">
        <v>72</v>
      </c>
      <c r="AQ27" s="2">
        <v>180528</v>
      </c>
      <c r="AR27" s="2">
        <v>750000</v>
      </c>
      <c r="AS27" s="2">
        <v>120</v>
      </c>
      <c r="AT27" s="2">
        <v>19.72</v>
      </c>
      <c r="AU27" s="2" t="s">
        <v>66</v>
      </c>
      <c r="AV27" s="2">
        <v>866</v>
      </c>
      <c r="AW27" s="30">
        <v>44388</v>
      </c>
      <c r="AX27" s="30" t="s">
        <v>2044</v>
      </c>
      <c r="AY27" s="2" t="s">
        <v>33</v>
      </c>
      <c r="AZ27" s="2">
        <v>14355.21</v>
      </c>
      <c r="BA27" s="2" t="s">
        <v>105</v>
      </c>
      <c r="BB27" s="2" t="s">
        <v>130</v>
      </c>
      <c r="BC27" s="2" t="s">
        <v>100</v>
      </c>
      <c r="BD27" s="2">
        <v>3</v>
      </c>
      <c r="BE27" s="2">
        <v>607883.42000000004</v>
      </c>
      <c r="BG27" s="2" t="s">
        <v>764</v>
      </c>
      <c r="BH27" s="2" t="s">
        <v>765</v>
      </c>
      <c r="BI27" s="2">
        <v>47</v>
      </c>
      <c r="BJ27" s="2" t="s">
        <v>45</v>
      </c>
      <c r="BK27" s="2">
        <v>90101</v>
      </c>
      <c r="BL27" s="2">
        <v>1000000</v>
      </c>
      <c r="BM27" s="2">
        <v>240</v>
      </c>
      <c r="BN27" s="2">
        <v>18.62</v>
      </c>
      <c r="BO27" s="2" t="s">
        <v>73</v>
      </c>
      <c r="BP27" s="2">
        <v>711</v>
      </c>
      <c r="BQ27" s="30">
        <v>44509</v>
      </c>
      <c r="BR27" s="30" t="s">
        <v>264</v>
      </c>
      <c r="BS27" s="2" t="s">
        <v>33</v>
      </c>
      <c r="BT27" s="2">
        <v>15911.88</v>
      </c>
      <c r="BU27" s="2" t="s">
        <v>25</v>
      </c>
      <c r="BV27" s="2" t="s">
        <v>123</v>
      </c>
      <c r="BW27" s="2" t="s">
        <v>100</v>
      </c>
      <c r="BX27" s="2">
        <v>8</v>
      </c>
      <c r="BY27" s="2">
        <v>0</v>
      </c>
    </row>
    <row r="28" spans="1:77" x14ac:dyDescent="0.3">
      <c r="A28" s="3" t="s">
        <v>2412</v>
      </c>
      <c r="B28" s="3" t="s">
        <v>2248</v>
      </c>
      <c r="C28" s="3">
        <v>58</v>
      </c>
      <c r="D28" s="3" t="s">
        <v>21</v>
      </c>
      <c r="E28" s="3">
        <v>249158</v>
      </c>
      <c r="F28" s="3">
        <v>1500000</v>
      </c>
      <c r="G28" s="3">
        <v>36</v>
      </c>
      <c r="H28" s="3">
        <v>10.24</v>
      </c>
      <c r="I28" s="3" t="s">
        <v>251</v>
      </c>
      <c r="J28" s="3">
        <v>511</v>
      </c>
      <c r="K28" s="29">
        <v>45289</v>
      </c>
      <c r="L28" s="29" t="s">
        <v>2413</v>
      </c>
      <c r="M28" s="3" t="s">
        <v>33</v>
      </c>
      <c r="N28" s="3">
        <v>48569.97</v>
      </c>
      <c r="O28" s="3" t="s">
        <v>48</v>
      </c>
      <c r="P28" s="3" t="s">
        <v>86</v>
      </c>
      <c r="Q28" s="3" t="s">
        <v>35</v>
      </c>
      <c r="R28" s="3">
        <v>1</v>
      </c>
      <c r="S28" s="3">
        <v>1456287.03</v>
      </c>
      <c r="T28" s="38" t="s">
        <v>2879</v>
      </c>
      <c r="U28" s="13"/>
      <c r="AM28" s="3" t="s">
        <v>1027</v>
      </c>
      <c r="AN28" s="3" t="s">
        <v>1028</v>
      </c>
      <c r="AO28" s="3">
        <v>39</v>
      </c>
      <c r="AP28" s="3" t="s">
        <v>30</v>
      </c>
      <c r="AQ28" s="3">
        <v>248648</v>
      </c>
      <c r="AR28" s="3">
        <v>500000</v>
      </c>
      <c r="AS28" s="3">
        <v>48</v>
      </c>
      <c r="AT28" s="3">
        <v>11.32</v>
      </c>
      <c r="AU28" s="3" t="s">
        <v>22</v>
      </c>
      <c r="AV28" s="3">
        <v>377</v>
      </c>
      <c r="AW28" s="29">
        <v>45026</v>
      </c>
      <c r="AX28" s="29" t="s">
        <v>1029</v>
      </c>
      <c r="AY28" s="3" t="s">
        <v>24</v>
      </c>
      <c r="AZ28" s="3">
        <v>13000.6</v>
      </c>
      <c r="BA28" s="3" t="s">
        <v>25</v>
      </c>
      <c r="BB28" s="3" t="s">
        <v>123</v>
      </c>
      <c r="BC28" s="3" t="s">
        <v>100</v>
      </c>
      <c r="BD28" s="3">
        <v>10</v>
      </c>
      <c r="BE28" s="3">
        <v>488299.46</v>
      </c>
      <c r="BG28" s="3" t="s">
        <v>776</v>
      </c>
      <c r="BH28" s="3" t="s">
        <v>777</v>
      </c>
      <c r="BI28" s="3">
        <v>24</v>
      </c>
      <c r="BJ28" s="3" t="s">
        <v>72</v>
      </c>
      <c r="BK28" s="3">
        <v>79107</v>
      </c>
      <c r="BL28" s="3">
        <v>50000</v>
      </c>
      <c r="BM28" s="3">
        <v>180</v>
      </c>
      <c r="BN28" s="3">
        <v>12.78</v>
      </c>
      <c r="BO28" s="3" t="s">
        <v>251</v>
      </c>
      <c r="BP28" s="3">
        <v>483</v>
      </c>
      <c r="BQ28" s="29">
        <v>45055</v>
      </c>
      <c r="BR28" s="29" t="s">
        <v>313</v>
      </c>
      <c r="BS28" s="3" t="s">
        <v>24</v>
      </c>
      <c r="BT28" s="3">
        <v>625.4</v>
      </c>
      <c r="BU28" s="3" t="s">
        <v>25</v>
      </c>
      <c r="BV28" s="3" t="s">
        <v>123</v>
      </c>
      <c r="BW28" s="3" t="s">
        <v>100</v>
      </c>
      <c r="BX28" s="3">
        <v>12</v>
      </c>
      <c r="BY28" s="3">
        <v>0</v>
      </c>
    </row>
    <row r="29" spans="1:77" x14ac:dyDescent="0.3">
      <c r="A29" s="3" t="s">
        <v>1124</v>
      </c>
      <c r="B29" s="3" t="s">
        <v>1125</v>
      </c>
      <c r="C29" s="3">
        <v>23</v>
      </c>
      <c r="D29" s="3" t="s">
        <v>65</v>
      </c>
      <c r="E29" s="3">
        <v>152358</v>
      </c>
      <c r="F29" s="3">
        <v>2000000</v>
      </c>
      <c r="G29" s="3">
        <v>24</v>
      </c>
      <c r="H29" s="3">
        <v>9.01</v>
      </c>
      <c r="I29" s="3" t="s">
        <v>251</v>
      </c>
      <c r="J29" s="3">
        <v>386</v>
      </c>
      <c r="K29" s="29">
        <v>44778</v>
      </c>
      <c r="L29" s="29" t="s">
        <v>713</v>
      </c>
      <c r="M29" s="3" t="s">
        <v>24</v>
      </c>
      <c r="N29" s="3">
        <v>91378.66</v>
      </c>
      <c r="O29" s="3" t="s">
        <v>60</v>
      </c>
      <c r="P29" s="3" t="s">
        <v>61</v>
      </c>
      <c r="Q29" s="3" t="s">
        <v>35</v>
      </c>
      <c r="R29" s="3">
        <v>3</v>
      </c>
      <c r="S29" s="3">
        <v>1424314.44</v>
      </c>
      <c r="T29" s="38" t="s">
        <v>2879</v>
      </c>
      <c r="U29" s="13"/>
      <c r="AM29" s="3" t="s">
        <v>407</v>
      </c>
      <c r="AN29" s="3" t="s">
        <v>408</v>
      </c>
      <c r="AO29" s="3">
        <v>59</v>
      </c>
      <c r="AP29" s="3" t="s">
        <v>72</v>
      </c>
      <c r="AQ29" s="3">
        <v>107259</v>
      </c>
      <c r="AR29" s="3">
        <v>500000</v>
      </c>
      <c r="AS29" s="3">
        <v>24</v>
      </c>
      <c r="AT29" s="3">
        <v>12</v>
      </c>
      <c r="AU29" s="3" t="s">
        <v>31</v>
      </c>
      <c r="AV29" s="3">
        <v>338</v>
      </c>
      <c r="AW29" s="29">
        <v>44381</v>
      </c>
      <c r="AX29" s="29" t="s">
        <v>410</v>
      </c>
      <c r="AY29" s="3" t="s">
        <v>33</v>
      </c>
      <c r="AZ29" s="3">
        <v>23536.74</v>
      </c>
      <c r="BA29" s="3" t="s">
        <v>25</v>
      </c>
      <c r="BB29" s="3" t="s">
        <v>151</v>
      </c>
      <c r="BC29" s="3" t="s">
        <v>100</v>
      </c>
      <c r="BD29" s="3">
        <v>4</v>
      </c>
      <c r="BE29" s="3">
        <v>457633.87</v>
      </c>
      <c r="BG29" s="3" t="s">
        <v>1293</v>
      </c>
      <c r="BH29" s="3" t="s">
        <v>1294</v>
      </c>
      <c r="BI29" s="3">
        <v>42</v>
      </c>
      <c r="BJ29" s="3" t="s">
        <v>30</v>
      </c>
      <c r="BK29" s="3">
        <v>216714</v>
      </c>
      <c r="BL29" s="3">
        <v>75000</v>
      </c>
      <c r="BM29" s="3">
        <v>240</v>
      </c>
      <c r="BN29" s="3">
        <v>17.309999999999999</v>
      </c>
      <c r="BO29" s="3" t="s">
        <v>251</v>
      </c>
      <c r="BP29" s="3">
        <v>510</v>
      </c>
      <c r="BQ29" s="29">
        <v>45266</v>
      </c>
      <c r="BR29" s="29" t="s">
        <v>1295</v>
      </c>
      <c r="BS29" s="3" t="s">
        <v>122</v>
      </c>
      <c r="BT29" s="3">
        <v>1117.82</v>
      </c>
      <c r="BU29" s="3" t="s">
        <v>25</v>
      </c>
      <c r="BV29" s="3" t="s">
        <v>41</v>
      </c>
      <c r="BW29" s="3" t="s">
        <v>100</v>
      </c>
      <c r="BX29" s="3">
        <v>6</v>
      </c>
      <c r="BY29" s="3">
        <v>0</v>
      </c>
    </row>
    <row r="30" spans="1:77" ht="15.6" x14ac:dyDescent="0.3">
      <c r="A30" s="2" t="s">
        <v>2557</v>
      </c>
      <c r="B30" s="2" t="s">
        <v>2355</v>
      </c>
      <c r="C30" s="2">
        <v>23</v>
      </c>
      <c r="D30" s="2" t="s">
        <v>30</v>
      </c>
      <c r="E30" s="2">
        <v>226347</v>
      </c>
      <c r="F30" s="2">
        <v>2000000</v>
      </c>
      <c r="G30" s="2">
        <v>24</v>
      </c>
      <c r="H30" s="2">
        <v>11.02</v>
      </c>
      <c r="I30" s="2" t="s">
        <v>251</v>
      </c>
      <c r="J30" s="2">
        <v>682</v>
      </c>
      <c r="K30" s="30">
        <v>44375</v>
      </c>
      <c r="L30" s="30" t="s">
        <v>1632</v>
      </c>
      <c r="M30" s="2" t="s">
        <v>122</v>
      </c>
      <c r="N30" s="2">
        <v>93234.25</v>
      </c>
      <c r="O30" s="2" t="s">
        <v>25</v>
      </c>
      <c r="P30" s="2" t="s">
        <v>34</v>
      </c>
      <c r="Q30" s="2" t="s">
        <v>35</v>
      </c>
      <c r="R30" s="2">
        <v>9</v>
      </c>
      <c r="S30" s="2">
        <v>1412624.23</v>
      </c>
      <c r="T30" s="38" t="s">
        <v>2871</v>
      </c>
      <c r="U30" s="17" t="s">
        <v>2962</v>
      </c>
      <c r="AM30" s="3" t="s">
        <v>1703</v>
      </c>
      <c r="AN30" s="3" t="s">
        <v>1704</v>
      </c>
      <c r="AO30" s="3">
        <v>34</v>
      </c>
      <c r="AP30" s="3" t="s">
        <v>72</v>
      </c>
      <c r="AQ30" s="3">
        <v>228983</v>
      </c>
      <c r="AR30" s="3">
        <v>750000</v>
      </c>
      <c r="AS30" s="3">
        <v>60</v>
      </c>
      <c r="AT30" s="3">
        <v>19.22</v>
      </c>
      <c r="AU30" s="3" t="s">
        <v>83</v>
      </c>
      <c r="AV30" s="3">
        <v>539</v>
      </c>
      <c r="AW30" s="29">
        <v>45206</v>
      </c>
      <c r="AX30" s="29" t="s">
        <v>1132</v>
      </c>
      <c r="AY30" s="3" t="s">
        <v>24</v>
      </c>
      <c r="AZ30" s="3">
        <v>19546.32</v>
      </c>
      <c r="BA30" s="3" t="s">
        <v>60</v>
      </c>
      <c r="BB30" s="3" t="s">
        <v>61</v>
      </c>
      <c r="BC30" s="3" t="s">
        <v>100</v>
      </c>
      <c r="BD30" s="3">
        <v>0</v>
      </c>
      <c r="BE30" s="3">
        <v>450941.3</v>
      </c>
      <c r="BG30" s="2" t="s">
        <v>1583</v>
      </c>
      <c r="BH30" s="2" t="s">
        <v>1584</v>
      </c>
      <c r="BI30" s="2">
        <v>35</v>
      </c>
      <c r="BJ30" s="2" t="s">
        <v>21</v>
      </c>
      <c r="BK30" s="2">
        <v>62357</v>
      </c>
      <c r="BL30" s="2">
        <v>100000</v>
      </c>
      <c r="BM30" s="2">
        <v>240</v>
      </c>
      <c r="BN30" s="2">
        <v>19.43</v>
      </c>
      <c r="BO30" s="2" t="s">
        <v>83</v>
      </c>
      <c r="BP30" s="2">
        <v>897</v>
      </c>
      <c r="BQ30" s="30">
        <v>44566</v>
      </c>
      <c r="BR30" s="30" t="s">
        <v>1472</v>
      </c>
      <c r="BS30" s="2" t="s">
        <v>122</v>
      </c>
      <c r="BT30" s="2">
        <v>1654.2</v>
      </c>
      <c r="BU30" s="2" t="s">
        <v>25</v>
      </c>
      <c r="BV30" s="2" t="s">
        <v>123</v>
      </c>
      <c r="BW30" s="2" t="s">
        <v>100</v>
      </c>
      <c r="BX30" s="2">
        <v>12</v>
      </c>
      <c r="BY30" s="2">
        <v>0</v>
      </c>
    </row>
    <row r="31" spans="1:77" x14ac:dyDescent="0.3">
      <c r="A31" s="3" t="s">
        <v>2112</v>
      </c>
      <c r="B31" s="3" t="s">
        <v>807</v>
      </c>
      <c r="C31" s="3">
        <v>49</v>
      </c>
      <c r="D31" s="3" t="s">
        <v>65</v>
      </c>
      <c r="E31" s="3">
        <v>163547</v>
      </c>
      <c r="F31" s="3">
        <v>2000000</v>
      </c>
      <c r="G31" s="3">
        <v>84</v>
      </c>
      <c r="H31" s="3">
        <v>11.68</v>
      </c>
      <c r="I31" s="3" t="s">
        <v>46</v>
      </c>
      <c r="J31" s="3">
        <v>810</v>
      </c>
      <c r="K31" s="29">
        <v>45268</v>
      </c>
      <c r="L31" s="29" t="s">
        <v>74</v>
      </c>
      <c r="M31" s="3" t="s">
        <v>24</v>
      </c>
      <c r="N31" s="3">
        <v>34964.120000000003</v>
      </c>
      <c r="O31" s="3" t="s">
        <v>105</v>
      </c>
      <c r="P31" s="3" t="s">
        <v>118</v>
      </c>
      <c r="Q31" s="3" t="s">
        <v>42</v>
      </c>
      <c r="R31" s="3">
        <v>2</v>
      </c>
      <c r="S31" s="3">
        <v>1402113.55</v>
      </c>
      <c r="T31" s="38" t="s">
        <v>2867</v>
      </c>
      <c r="U31" s="13"/>
      <c r="AM31" s="3" t="s">
        <v>1426</v>
      </c>
      <c r="AN31" s="3" t="s">
        <v>1427</v>
      </c>
      <c r="AO31" s="3">
        <v>52</v>
      </c>
      <c r="AP31" s="3" t="s">
        <v>45</v>
      </c>
      <c r="AQ31" s="3">
        <v>192814</v>
      </c>
      <c r="AR31" s="3">
        <v>500000</v>
      </c>
      <c r="AS31" s="3">
        <v>60</v>
      </c>
      <c r="AT31" s="3">
        <v>14.05</v>
      </c>
      <c r="AU31" s="3" t="s">
        <v>38</v>
      </c>
      <c r="AV31" s="3">
        <v>367</v>
      </c>
      <c r="AW31" s="29">
        <v>44997</v>
      </c>
      <c r="AX31" s="29" t="s">
        <v>1428</v>
      </c>
      <c r="AY31" s="3" t="s">
        <v>33</v>
      </c>
      <c r="AZ31" s="3">
        <v>11647.09</v>
      </c>
      <c r="BA31" s="3" t="s">
        <v>105</v>
      </c>
      <c r="BB31" s="3" t="s">
        <v>118</v>
      </c>
      <c r="BC31" s="3" t="s">
        <v>100</v>
      </c>
      <c r="BD31" s="3">
        <v>1</v>
      </c>
      <c r="BE31" s="3">
        <v>447588.09</v>
      </c>
      <c r="BG31" s="2" t="s">
        <v>1764</v>
      </c>
      <c r="BH31" s="2" t="s">
        <v>1765</v>
      </c>
      <c r="BI31" s="2">
        <v>26</v>
      </c>
      <c r="BJ31" s="2" t="s">
        <v>45</v>
      </c>
      <c r="BK31" s="2">
        <v>116301</v>
      </c>
      <c r="BL31" s="2">
        <v>150000</v>
      </c>
      <c r="BM31" s="2">
        <v>180</v>
      </c>
      <c r="BN31" s="2">
        <v>9.08</v>
      </c>
      <c r="BO31" s="2" t="s">
        <v>31</v>
      </c>
      <c r="BP31" s="2">
        <v>611</v>
      </c>
      <c r="BQ31" s="30">
        <v>44560</v>
      </c>
      <c r="BR31" s="30" t="s">
        <v>808</v>
      </c>
      <c r="BS31" s="2" t="s">
        <v>24</v>
      </c>
      <c r="BT31" s="2">
        <v>1528.55</v>
      </c>
      <c r="BU31" s="2" t="s">
        <v>25</v>
      </c>
      <c r="BV31" s="2" t="s">
        <v>34</v>
      </c>
      <c r="BW31" s="2" t="s">
        <v>100</v>
      </c>
      <c r="BX31" s="2">
        <v>1</v>
      </c>
      <c r="BY31" s="2">
        <v>0</v>
      </c>
    </row>
    <row r="32" spans="1:77" x14ac:dyDescent="0.3">
      <c r="A32" s="2" t="s">
        <v>2738</v>
      </c>
      <c r="B32" s="2" t="s">
        <v>2091</v>
      </c>
      <c r="C32" s="2">
        <v>32</v>
      </c>
      <c r="D32" s="2" t="s">
        <v>21</v>
      </c>
      <c r="E32" s="2">
        <v>40586</v>
      </c>
      <c r="F32" s="2">
        <v>2000000</v>
      </c>
      <c r="G32" s="2">
        <v>60</v>
      </c>
      <c r="H32" s="2">
        <v>11.99</v>
      </c>
      <c r="I32" s="2" t="s">
        <v>22</v>
      </c>
      <c r="J32" s="2">
        <v>378</v>
      </c>
      <c r="K32" s="30">
        <v>44332</v>
      </c>
      <c r="L32" s="30" t="s">
        <v>443</v>
      </c>
      <c r="M32" s="2" t="s">
        <v>24</v>
      </c>
      <c r="N32" s="2">
        <v>44478.79</v>
      </c>
      <c r="O32" s="2" t="s">
        <v>105</v>
      </c>
      <c r="P32" s="2" t="s">
        <v>114</v>
      </c>
      <c r="Q32" s="2" t="s">
        <v>100</v>
      </c>
      <c r="R32" s="2">
        <v>0</v>
      </c>
      <c r="S32" s="2">
        <v>1399536.33</v>
      </c>
      <c r="T32" s="38" t="s">
        <v>2879</v>
      </c>
      <c r="U32" s="13"/>
      <c r="AM32" s="2" t="s">
        <v>1496</v>
      </c>
      <c r="AN32" s="2" t="s">
        <v>377</v>
      </c>
      <c r="AO32" s="2">
        <v>53</v>
      </c>
      <c r="AP32" s="2" t="s">
        <v>21</v>
      </c>
      <c r="AQ32" s="2">
        <v>215492</v>
      </c>
      <c r="AR32" s="2">
        <v>1500000</v>
      </c>
      <c r="AS32" s="2">
        <v>60</v>
      </c>
      <c r="AT32" s="2">
        <v>18.47</v>
      </c>
      <c r="AU32" s="2" t="s">
        <v>73</v>
      </c>
      <c r="AV32" s="2">
        <v>664</v>
      </c>
      <c r="AW32" s="30">
        <v>45244</v>
      </c>
      <c r="AX32" s="30" t="s">
        <v>437</v>
      </c>
      <c r="AY32" s="2" t="s">
        <v>24</v>
      </c>
      <c r="AZ32" s="2">
        <v>38474.699999999997</v>
      </c>
      <c r="BA32" s="2" t="s">
        <v>60</v>
      </c>
      <c r="BB32" s="2" t="s">
        <v>69</v>
      </c>
      <c r="BC32" s="2" t="s">
        <v>100</v>
      </c>
      <c r="BD32" s="2">
        <v>6</v>
      </c>
      <c r="BE32" s="2">
        <v>426555.87</v>
      </c>
      <c r="BG32" s="2" t="s">
        <v>1872</v>
      </c>
      <c r="BH32" s="2" t="s">
        <v>1873</v>
      </c>
      <c r="BI32" s="2">
        <v>51</v>
      </c>
      <c r="BJ32" s="2" t="s">
        <v>65</v>
      </c>
      <c r="BK32" s="2">
        <v>87146</v>
      </c>
      <c r="BL32" s="2">
        <v>1000000</v>
      </c>
      <c r="BM32" s="2">
        <v>180</v>
      </c>
      <c r="BN32" s="2">
        <v>12.83</v>
      </c>
      <c r="BO32" s="2" t="s">
        <v>22</v>
      </c>
      <c r="BP32" s="2">
        <v>419</v>
      </c>
      <c r="BQ32" s="30">
        <v>45240</v>
      </c>
      <c r="BR32" s="30" t="s">
        <v>1874</v>
      </c>
      <c r="BS32" s="2" t="s">
        <v>24</v>
      </c>
      <c r="BT32" s="2">
        <v>12540.77</v>
      </c>
      <c r="BU32" s="2" t="s">
        <v>25</v>
      </c>
      <c r="BV32" s="2" t="s">
        <v>26</v>
      </c>
      <c r="BW32" s="2" t="s">
        <v>100</v>
      </c>
      <c r="BX32" s="2">
        <v>7</v>
      </c>
      <c r="BY32" s="2">
        <v>0</v>
      </c>
    </row>
    <row r="33" spans="1:77" x14ac:dyDescent="0.3">
      <c r="A33" s="2" t="s">
        <v>1826</v>
      </c>
      <c r="B33" s="2" t="s">
        <v>1827</v>
      </c>
      <c r="C33" s="2">
        <v>54</v>
      </c>
      <c r="D33" s="2" t="s">
        <v>65</v>
      </c>
      <c r="E33" s="2">
        <v>181456</v>
      </c>
      <c r="F33" s="2">
        <v>1500000</v>
      </c>
      <c r="G33" s="2">
        <v>84</v>
      </c>
      <c r="H33" s="2">
        <v>17.600000000000001</v>
      </c>
      <c r="I33" s="2" t="s">
        <v>73</v>
      </c>
      <c r="J33" s="2">
        <v>734</v>
      </c>
      <c r="K33" s="30">
        <v>44937</v>
      </c>
      <c r="L33" s="30" t="s">
        <v>875</v>
      </c>
      <c r="M33" s="2" t="s">
        <v>24</v>
      </c>
      <c r="N33" s="2">
        <v>31176.06</v>
      </c>
      <c r="O33" s="2" t="s">
        <v>105</v>
      </c>
      <c r="P33" s="2" t="s">
        <v>159</v>
      </c>
      <c r="Q33" s="2" t="s">
        <v>42</v>
      </c>
      <c r="R33" s="2">
        <v>1</v>
      </c>
      <c r="S33" s="2">
        <v>1387766.18</v>
      </c>
      <c r="T33" s="38" t="s">
        <v>2871</v>
      </c>
      <c r="U33" s="13"/>
      <c r="AM33" s="2" t="s">
        <v>2230</v>
      </c>
      <c r="AN33" s="2" t="s">
        <v>1421</v>
      </c>
      <c r="AO33" s="2">
        <v>48</v>
      </c>
      <c r="AP33" s="2" t="s">
        <v>72</v>
      </c>
      <c r="AQ33" s="2">
        <v>162392</v>
      </c>
      <c r="AR33" s="2">
        <v>2000000</v>
      </c>
      <c r="AS33" s="2">
        <v>84</v>
      </c>
      <c r="AT33" s="2">
        <v>11.29</v>
      </c>
      <c r="AU33" s="2" t="s">
        <v>38</v>
      </c>
      <c r="AV33" s="2">
        <v>721</v>
      </c>
      <c r="AW33" s="30">
        <v>44730</v>
      </c>
      <c r="AX33" s="30" t="s">
        <v>2231</v>
      </c>
      <c r="AY33" s="2" t="s">
        <v>24</v>
      </c>
      <c r="AZ33" s="2">
        <v>34550.589999999997</v>
      </c>
      <c r="BA33" s="2" t="s">
        <v>60</v>
      </c>
      <c r="BB33" s="2" t="s">
        <v>76</v>
      </c>
      <c r="BC33" s="2" t="s">
        <v>100</v>
      </c>
      <c r="BD33" s="2">
        <v>6</v>
      </c>
      <c r="BE33" s="2">
        <v>414127.92</v>
      </c>
      <c r="BG33" s="3" t="s">
        <v>2169</v>
      </c>
      <c r="BH33" s="3" t="s">
        <v>1690</v>
      </c>
      <c r="BI33" s="3">
        <v>30</v>
      </c>
      <c r="BJ33" s="3" t="s">
        <v>45</v>
      </c>
      <c r="BK33" s="3">
        <v>75433</v>
      </c>
      <c r="BL33" s="3">
        <v>200000</v>
      </c>
      <c r="BM33" s="3">
        <v>240</v>
      </c>
      <c r="BN33" s="3">
        <v>10.56</v>
      </c>
      <c r="BO33" s="3" t="s">
        <v>38</v>
      </c>
      <c r="BP33" s="3">
        <v>445</v>
      </c>
      <c r="BQ33" s="29">
        <v>45126</v>
      </c>
      <c r="BR33" s="29" t="s">
        <v>1307</v>
      </c>
      <c r="BS33" s="3" t="s">
        <v>24</v>
      </c>
      <c r="BT33" s="3">
        <v>2004.83</v>
      </c>
      <c r="BU33" s="3" t="s">
        <v>25</v>
      </c>
      <c r="BV33" s="3" t="s">
        <v>34</v>
      </c>
      <c r="BW33" s="3" t="s">
        <v>100</v>
      </c>
      <c r="BX33" s="3">
        <v>11</v>
      </c>
      <c r="BY33" s="3">
        <v>0</v>
      </c>
    </row>
    <row r="34" spans="1:77" x14ac:dyDescent="0.3">
      <c r="A34" s="2" t="s">
        <v>950</v>
      </c>
      <c r="B34" s="2" t="s">
        <v>951</v>
      </c>
      <c r="C34" s="2">
        <v>42</v>
      </c>
      <c r="D34" s="2" t="s">
        <v>72</v>
      </c>
      <c r="E34" s="2">
        <v>145383</v>
      </c>
      <c r="F34" s="2">
        <v>1500000</v>
      </c>
      <c r="G34" s="2">
        <v>12</v>
      </c>
      <c r="H34" s="2">
        <v>8.99</v>
      </c>
      <c r="I34" s="2" t="s">
        <v>73</v>
      </c>
      <c r="J34" s="2">
        <v>336</v>
      </c>
      <c r="K34" s="30">
        <v>44820</v>
      </c>
      <c r="L34" s="30" t="s">
        <v>953</v>
      </c>
      <c r="M34" s="2" t="s">
        <v>24</v>
      </c>
      <c r="N34" s="2">
        <v>131170.26</v>
      </c>
      <c r="O34" s="2" t="s">
        <v>54</v>
      </c>
      <c r="P34" s="2" t="s">
        <v>99</v>
      </c>
      <c r="Q34" s="2" t="s">
        <v>42</v>
      </c>
      <c r="R34" s="2">
        <v>0</v>
      </c>
      <c r="S34" s="2">
        <v>1381946.77</v>
      </c>
      <c r="T34" s="38" t="s">
        <v>2879</v>
      </c>
      <c r="U34" s="13"/>
      <c r="AM34" s="3" t="s">
        <v>2434</v>
      </c>
      <c r="AN34" s="3" t="s">
        <v>1627</v>
      </c>
      <c r="AO34" s="3">
        <v>64</v>
      </c>
      <c r="AP34" s="3" t="s">
        <v>45</v>
      </c>
      <c r="AQ34" s="3">
        <v>151293</v>
      </c>
      <c r="AR34" s="3">
        <v>500000</v>
      </c>
      <c r="AS34" s="3">
        <v>60</v>
      </c>
      <c r="AT34" s="3">
        <v>18.52</v>
      </c>
      <c r="AU34" s="3" t="s">
        <v>251</v>
      </c>
      <c r="AV34" s="3">
        <v>635</v>
      </c>
      <c r="AW34" s="29">
        <v>44267</v>
      </c>
      <c r="AX34" s="29" t="s">
        <v>934</v>
      </c>
      <c r="AY34" s="3" t="s">
        <v>24</v>
      </c>
      <c r="AZ34" s="3">
        <v>12838.58</v>
      </c>
      <c r="BA34" s="3" t="s">
        <v>60</v>
      </c>
      <c r="BB34" s="3" t="s">
        <v>61</v>
      </c>
      <c r="BC34" s="3" t="s">
        <v>100</v>
      </c>
      <c r="BD34" s="3">
        <v>10</v>
      </c>
      <c r="BE34" s="3">
        <v>396007.5</v>
      </c>
      <c r="BG34" s="3" t="s">
        <v>2515</v>
      </c>
      <c r="BH34" s="3" t="s">
        <v>1456</v>
      </c>
      <c r="BI34" s="3">
        <v>48</v>
      </c>
      <c r="BJ34" s="3" t="s">
        <v>65</v>
      </c>
      <c r="BK34" s="3">
        <v>87898</v>
      </c>
      <c r="BL34" s="3">
        <v>150000</v>
      </c>
      <c r="BM34" s="3">
        <v>180</v>
      </c>
      <c r="BN34" s="3">
        <v>11.17</v>
      </c>
      <c r="BO34" s="3" t="s">
        <v>46</v>
      </c>
      <c r="BP34" s="3">
        <v>704</v>
      </c>
      <c r="BQ34" s="29">
        <v>44653</v>
      </c>
      <c r="BR34" s="29" t="s">
        <v>2239</v>
      </c>
      <c r="BS34" s="3" t="s">
        <v>24</v>
      </c>
      <c r="BT34" s="3">
        <v>1720.94</v>
      </c>
      <c r="BU34" s="3" t="s">
        <v>25</v>
      </c>
      <c r="BV34" s="3" t="s">
        <v>41</v>
      </c>
      <c r="BW34" s="3" t="s">
        <v>100</v>
      </c>
      <c r="BX34" s="3">
        <v>2</v>
      </c>
      <c r="BY34" s="3">
        <v>0</v>
      </c>
    </row>
    <row r="35" spans="1:77" x14ac:dyDescent="0.3">
      <c r="A35" s="2" t="s">
        <v>2668</v>
      </c>
      <c r="B35" s="2" t="s">
        <v>1853</v>
      </c>
      <c r="C35" s="2">
        <v>33</v>
      </c>
      <c r="D35" s="2" t="s">
        <v>72</v>
      </c>
      <c r="E35" s="2">
        <v>109721</v>
      </c>
      <c r="F35" s="2">
        <v>2000000</v>
      </c>
      <c r="G35" s="2">
        <v>12</v>
      </c>
      <c r="H35" s="2">
        <v>8.1</v>
      </c>
      <c r="I35" s="2" t="s">
        <v>22</v>
      </c>
      <c r="J35" s="2">
        <v>584</v>
      </c>
      <c r="K35" s="30">
        <v>44457</v>
      </c>
      <c r="L35" s="30" t="s">
        <v>327</v>
      </c>
      <c r="M35" s="2" t="s">
        <v>24</v>
      </c>
      <c r="N35" s="2">
        <v>174069.34</v>
      </c>
      <c r="O35" s="2" t="s">
        <v>25</v>
      </c>
      <c r="P35" s="2" t="s">
        <v>123</v>
      </c>
      <c r="Q35" s="2" t="s">
        <v>42</v>
      </c>
      <c r="R35" s="2">
        <v>2</v>
      </c>
      <c r="S35" s="2">
        <v>1373350.38</v>
      </c>
      <c r="T35" s="38" t="s">
        <v>2875</v>
      </c>
      <c r="U35" s="13"/>
      <c r="AM35" s="2" t="s">
        <v>2194</v>
      </c>
      <c r="AN35" s="2" t="s">
        <v>2195</v>
      </c>
      <c r="AO35" s="2">
        <v>39</v>
      </c>
      <c r="AP35" s="2" t="s">
        <v>21</v>
      </c>
      <c r="AQ35" s="2">
        <v>234154</v>
      </c>
      <c r="AR35" s="2">
        <v>750000</v>
      </c>
      <c r="AS35" s="2">
        <v>60</v>
      </c>
      <c r="AT35" s="2">
        <v>20.71</v>
      </c>
      <c r="AU35" s="2" t="s">
        <v>38</v>
      </c>
      <c r="AV35" s="2">
        <v>548</v>
      </c>
      <c r="AW35" s="30">
        <v>44433</v>
      </c>
      <c r="AX35" s="30" t="s">
        <v>221</v>
      </c>
      <c r="AY35" s="2" t="s">
        <v>24</v>
      </c>
      <c r="AZ35" s="2">
        <v>20167.86</v>
      </c>
      <c r="BA35" s="2" t="s">
        <v>48</v>
      </c>
      <c r="BB35" s="2" t="s">
        <v>86</v>
      </c>
      <c r="BC35" s="2" t="s">
        <v>100</v>
      </c>
      <c r="BD35" s="2">
        <v>7</v>
      </c>
      <c r="BE35" s="2">
        <v>386978.52</v>
      </c>
    </row>
    <row r="36" spans="1:77" ht="15.6" x14ac:dyDescent="0.3">
      <c r="A36" s="2" t="s">
        <v>2749</v>
      </c>
      <c r="B36" s="2" t="s">
        <v>1640</v>
      </c>
      <c r="C36" s="2">
        <v>26</v>
      </c>
      <c r="D36" s="2" t="s">
        <v>65</v>
      </c>
      <c r="E36" s="2">
        <v>95841</v>
      </c>
      <c r="F36" s="2">
        <v>1500000</v>
      </c>
      <c r="G36" s="2">
        <v>60</v>
      </c>
      <c r="H36" s="2">
        <v>13.4</v>
      </c>
      <c r="I36" s="2" t="s">
        <v>46</v>
      </c>
      <c r="J36" s="2">
        <v>591</v>
      </c>
      <c r="K36" s="30">
        <v>44478</v>
      </c>
      <c r="L36" s="30" t="s">
        <v>479</v>
      </c>
      <c r="M36" s="2" t="s">
        <v>24</v>
      </c>
      <c r="N36" s="2">
        <v>34437.54</v>
      </c>
      <c r="O36" s="2" t="s">
        <v>48</v>
      </c>
      <c r="P36" s="2" t="s">
        <v>86</v>
      </c>
      <c r="Q36" s="2" t="s">
        <v>42</v>
      </c>
      <c r="R36" s="2">
        <v>2</v>
      </c>
      <c r="S36" s="2">
        <v>1345031.07</v>
      </c>
      <c r="T36" s="38" t="s">
        <v>2875</v>
      </c>
      <c r="U36" s="13"/>
      <c r="AM36" s="2" t="s">
        <v>1755</v>
      </c>
      <c r="AN36" s="2" t="s">
        <v>1756</v>
      </c>
      <c r="AO36" s="2">
        <v>56</v>
      </c>
      <c r="AP36" s="2" t="s">
        <v>21</v>
      </c>
      <c r="AQ36" s="2">
        <v>17237</v>
      </c>
      <c r="AR36" s="2">
        <v>2000000</v>
      </c>
      <c r="AS36" s="2">
        <v>60</v>
      </c>
      <c r="AT36" s="2">
        <v>11.59</v>
      </c>
      <c r="AU36" s="2" t="s">
        <v>38</v>
      </c>
      <c r="AV36" s="2">
        <v>713</v>
      </c>
      <c r="AW36" s="30">
        <v>44221</v>
      </c>
      <c r="AX36" s="30" t="s">
        <v>1757</v>
      </c>
      <c r="AY36" s="2"/>
      <c r="AZ36" s="2">
        <v>44075.63</v>
      </c>
      <c r="BA36" s="2" t="s">
        <v>60</v>
      </c>
      <c r="BB36" s="2" t="s">
        <v>69</v>
      </c>
      <c r="BC36" s="2" t="s">
        <v>100</v>
      </c>
      <c r="BD36" s="2">
        <v>12</v>
      </c>
      <c r="BE36" s="2">
        <v>373609.25</v>
      </c>
      <c r="BG36" s="17"/>
    </row>
    <row r="37" spans="1:77" x14ac:dyDescent="0.3">
      <c r="A37" s="2" t="s">
        <v>1835</v>
      </c>
      <c r="B37" s="2" t="s">
        <v>1836</v>
      </c>
      <c r="C37" s="2">
        <v>22</v>
      </c>
      <c r="D37" s="2" t="s">
        <v>21</v>
      </c>
      <c r="E37" s="2">
        <v>33308</v>
      </c>
      <c r="F37" s="2">
        <v>2000000</v>
      </c>
      <c r="G37" s="2">
        <v>120</v>
      </c>
      <c r="H37" s="2">
        <v>15.11</v>
      </c>
      <c r="I37" s="2" t="s">
        <v>66</v>
      </c>
      <c r="J37" s="2">
        <v>741</v>
      </c>
      <c r="K37" s="30">
        <v>44472</v>
      </c>
      <c r="L37" s="30" t="s">
        <v>487</v>
      </c>
      <c r="M37" s="2" t="s">
        <v>33</v>
      </c>
      <c r="N37" s="2">
        <v>32401.85</v>
      </c>
      <c r="O37" s="2" t="s">
        <v>105</v>
      </c>
      <c r="P37" s="2" t="s">
        <v>159</v>
      </c>
      <c r="Q37" s="2" t="s">
        <v>42</v>
      </c>
      <c r="R37" s="2">
        <v>1</v>
      </c>
      <c r="S37" s="2">
        <v>1329281.71</v>
      </c>
      <c r="T37" s="38" t="s">
        <v>2871</v>
      </c>
      <c r="U37" s="13"/>
      <c r="AM37" s="3" t="s">
        <v>2735</v>
      </c>
      <c r="AN37" s="3" t="s">
        <v>1859</v>
      </c>
      <c r="AO37" s="3">
        <v>49</v>
      </c>
      <c r="AP37" s="3" t="s">
        <v>72</v>
      </c>
      <c r="AQ37" s="3">
        <v>34950</v>
      </c>
      <c r="AR37" s="3">
        <v>2000000</v>
      </c>
      <c r="AS37" s="3">
        <v>60</v>
      </c>
      <c r="AT37" s="3">
        <v>15.26</v>
      </c>
      <c r="AU37" s="3" t="s">
        <v>73</v>
      </c>
      <c r="AV37" s="3">
        <v>316</v>
      </c>
      <c r="AW37" s="29">
        <v>44301</v>
      </c>
      <c r="AX37" s="29" t="s">
        <v>1159</v>
      </c>
      <c r="AY37" s="3" t="s">
        <v>24</v>
      </c>
      <c r="AZ37" s="3">
        <v>47853.25</v>
      </c>
      <c r="BA37" s="3" t="s">
        <v>54</v>
      </c>
      <c r="BB37" s="3" t="s">
        <v>183</v>
      </c>
      <c r="BC37" s="3" t="s">
        <v>100</v>
      </c>
      <c r="BD37" s="3">
        <v>12</v>
      </c>
      <c r="BE37" s="3">
        <v>363418.85</v>
      </c>
    </row>
    <row r="38" spans="1:77" x14ac:dyDescent="0.3">
      <c r="A38" s="2" t="s">
        <v>2629</v>
      </c>
      <c r="B38" s="2" t="s">
        <v>1895</v>
      </c>
      <c r="C38" s="2">
        <v>53</v>
      </c>
      <c r="D38" s="2" t="s">
        <v>30</v>
      </c>
      <c r="E38" s="2">
        <v>33928</v>
      </c>
      <c r="F38" s="2">
        <v>1500000</v>
      </c>
      <c r="G38" s="2">
        <v>60</v>
      </c>
      <c r="H38" s="2">
        <v>11.01</v>
      </c>
      <c r="I38" s="2" t="s">
        <v>73</v>
      </c>
      <c r="J38" s="2">
        <v>610</v>
      </c>
      <c r="K38" s="30">
        <v>44588</v>
      </c>
      <c r="L38" s="30" t="s">
        <v>615</v>
      </c>
      <c r="M38" s="2" t="s">
        <v>24</v>
      </c>
      <c r="N38" s="2">
        <v>32621.119999999999</v>
      </c>
      <c r="O38" s="2" t="s">
        <v>105</v>
      </c>
      <c r="P38" s="2" t="s">
        <v>2999</v>
      </c>
      <c r="Q38" s="2" t="s">
        <v>62</v>
      </c>
      <c r="R38" s="2">
        <v>2</v>
      </c>
      <c r="S38" s="2">
        <v>1323845.95</v>
      </c>
      <c r="T38" s="38" t="s">
        <v>2875</v>
      </c>
      <c r="U38" s="13"/>
      <c r="AM38" s="3" t="s">
        <v>184</v>
      </c>
      <c r="AN38" s="3" t="s">
        <v>185</v>
      </c>
      <c r="AO38" s="3">
        <v>23</v>
      </c>
      <c r="AP38" s="3" t="s">
        <v>72</v>
      </c>
      <c r="AQ38" s="3">
        <v>79184</v>
      </c>
      <c r="AR38" s="3">
        <v>400000</v>
      </c>
      <c r="AS38" s="3">
        <v>24</v>
      </c>
      <c r="AT38" s="3">
        <v>14.1</v>
      </c>
      <c r="AU38" s="3" t="s">
        <v>83</v>
      </c>
      <c r="AV38" s="3">
        <v>693</v>
      </c>
      <c r="AW38" s="29">
        <v>44208</v>
      </c>
      <c r="AX38" s="29" t="s">
        <v>187</v>
      </c>
      <c r="AY38" s="3" t="s">
        <v>24</v>
      </c>
      <c r="AZ38" s="3">
        <v>19224.060000000001</v>
      </c>
      <c r="BA38" s="3" t="s">
        <v>60</v>
      </c>
      <c r="BB38" s="3" t="s">
        <v>76</v>
      </c>
      <c r="BC38" s="3" t="s">
        <v>100</v>
      </c>
      <c r="BD38" s="3">
        <v>3</v>
      </c>
      <c r="BE38" s="3">
        <v>330793.38</v>
      </c>
    </row>
    <row r="39" spans="1:77" x14ac:dyDescent="0.3">
      <c r="A39" s="3" t="s">
        <v>1984</v>
      </c>
      <c r="B39" s="3" t="s">
        <v>1985</v>
      </c>
      <c r="C39" s="3">
        <v>65</v>
      </c>
      <c r="D39" s="3" t="s">
        <v>65</v>
      </c>
      <c r="E39" s="3">
        <v>160268</v>
      </c>
      <c r="F39" s="3">
        <v>1500000</v>
      </c>
      <c r="G39" s="3">
        <v>60</v>
      </c>
      <c r="H39" s="3">
        <v>20.83</v>
      </c>
      <c r="I39" s="3" t="s">
        <v>66</v>
      </c>
      <c r="J39" s="3">
        <v>532</v>
      </c>
      <c r="K39" s="29">
        <v>45265</v>
      </c>
      <c r="L39" s="29" t="s">
        <v>74</v>
      </c>
      <c r="M39" s="3" t="s">
        <v>24</v>
      </c>
      <c r="N39" s="3">
        <v>40436.730000000003</v>
      </c>
      <c r="O39" s="3" t="s">
        <v>60</v>
      </c>
      <c r="P39" s="3" t="s">
        <v>192</v>
      </c>
      <c r="Q39" s="3" t="s">
        <v>42</v>
      </c>
      <c r="R39" s="3">
        <v>1</v>
      </c>
      <c r="S39" s="3">
        <v>1318034.71</v>
      </c>
      <c r="T39" s="38" t="s">
        <v>2879</v>
      </c>
      <c r="U39" s="13"/>
      <c r="AM39" s="3" t="s">
        <v>1157</v>
      </c>
      <c r="AN39" s="3" t="s">
        <v>1158</v>
      </c>
      <c r="AO39" s="3">
        <v>60</v>
      </c>
      <c r="AP39" s="3" t="s">
        <v>30</v>
      </c>
      <c r="AQ39" s="3">
        <v>112359</v>
      </c>
      <c r="AR39" s="3">
        <v>2000000</v>
      </c>
      <c r="AS39" s="3">
        <v>24</v>
      </c>
      <c r="AT39" s="3">
        <v>11.11</v>
      </c>
      <c r="AU39" s="3" t="s">
        <v>31</v>
      </c>
      <c r="AV39" s="3">
        <v>393</v>
      </c>
      <c r="AW39" s="29">
        <v>44319</v>
      </c>
      <c r="AX39" s="29" t="s">
        <v>539</v>
      </c>
      <c r="AY39" s="3" t="s">
        <v>24</v>
      </c>
      <c r="AZ39" s="3">
        <v>93317.85</v>
      </c>
      <c r="BA39" s="3" t="s">
        <v>54</v>
      </c>
      <c r="BB39" s="3" t="s">
        <v>183</v>
      </c>
      <c r="BC39" s="3" t="s">
        <v>100</v>
      </c>
      <c r="BD39" s="3">
        <v>12</v>
      </c>
      <c r="BE39" s="3">
        <v>320278.7</v>
      </c>
    </row>
    <row r="40" spans="1:77" x14ac:dyDescent="0.3">
      <c r="A40" s="3" t="s">
        <v>1078</v>
      </c>
      <c r="B40" s="3" t="s">
        <v>1079</v>
      </c>
      <c r="C40" s="3">
        <v>60</v>
      </c>
      <c r="D40" s="3" t="s">
        <v>45</v>
      </c>
      <c r="E40" s="3">
        <v>150217</v>
      </c>
      <c r="F40" s="3">
        <v>1500000</v>
      </c>
      <c r="G40" s="3">
        <v>48</v>
      </c>
      <c r="H40" s="3">
        <v>16.420000000000002</v>
      </c>
      <c r="I40" s="3" t="s">
        <v>46</v>
      </c>
      <c r="J40" s="3">
        <v>668</v>
      </c>
      <c r="K40" s="29">
        <v>44762</v>
      </c>
      <c r="L40" s="29" t="s">
        <v>1080</v>
      </c>
      <c r="M40" s="3" t="s">
        <v>24</v>
      </c>
      <c r="N40" s="3">
        <v>42833.77</v>
      </c>
      <c r="O40" s="3" t="s">
        <v>105</v>
      </c>
      <c r="P40" s="3" t="s">
        <v>114</v>
      </c>
      <c r="Q40" s="3" t="s">
        <v>35</v>
      </c>
      <c r="R40" s="3">
        <v>2</v>
      </c>
      <c r="S40" s="3">
        <v>1307248.03</v>
      </c>
      <c r="T40" s="38" t="s">
        <v>2871</v>
      </c>
      <c r="U40" s="13"/>
      <c r="AM40" s="3" t="s">
        <v>2013</v>
      </c>
      <c r="AN40" s="3" t="s">
        <v>2014</v>
      </c>
      <c r="AO40" s="3">
        <v>26</v>
      </c>
      <c r="AP40" s="3" t="s">
        <v>30</v>
      </c>
      <c r="AQ40" s="3">
        <v>116770</v>
      </c>
      <c r="AR40" s="3">
        <v>400000</v>
      </c>
      <c r="AS40" s="3">
        <v>24</v>
      </c>
      <c r="AT40" s="3">
        <v>12.56</v>
      </c>
      <c r="AU40" s="3" t="s">
        <v>31</v>
      </c>
      <c r="AV40" s="3">
        <v>847</v>
      </c>
      <c r="AW40" s="29">
        <v>44418</v>
      </c>
      <c r="AX40" s="29" t="s">
        <v>137</v>
      </c>
      <c r="AY40" s="3" t="s">
        <v>24</v>
      </c>
      <c r="AZ40" s="3">
        <v>18934.169999999998</v>
      </c>
      <c r="BA40" s="3" t="s">
        <v>60</v>
      </c>
      <c r="BB40" s="3" t="s">
        <v>172</v>
      </c>
      <c r="BC40" s="3" t="s">
        <v>100</v>
      </c>
      <c r="BD40" s="3">
        <v>1</v>
      </c>
      <c r="BE40" s="3">
        <v>314796.23</v>
      </c>
    </row>
    <row r="41" spans="1:77" x14ac:dyDescent="0.3">
      <c r="A41" s="3" t="s">
        <v>2457</v>
      </c>
      <c r="B41" s="3" t="s">
        <v>2458</v>
      </c>
      <c r="C41" s="3">
        <v>64</v>
      </c>
      <c r="D41" s="3" t="s">
        <v>21</v>
      </c>
      <c r="E41" s="3">
        <v>42253</v>
      </c>
      <c r="F41" s="3">
        <v>2000000</v>
      </c>
      <c r="G41" s="3">
        <v>180</v>
      </c>
      <c r="H41" s="3">
        <v>15.63</v>
      </c>
      <c r="I41" s="3" t="s">
        <v>73</v>
      </c>
      <c r="J41" s="3">
        <v>831</v>
      </c>
      <c r="K41" s="29">
        <v>44398</v>
      </c>
      <c r="L41" s="29" t="s">
        <v>1026</v>
      </c>
      <c r="M41" s="3" t="s">
        <v>24</v>
      </c>
      <c r="N41" s="3">
        <v>28859.72</v>
      </c>
      <c r="O41" s="3" t="s">
        <v>60</v>
      </c>
      <c r="P41" s="3" t="s">
        <v>172</v>
      </c>
      <c r="Q41" s="3" t="s">
        <v>27</v>
      </c>
      <c r="R41" s="3">
        <v>2</v>
      </c>
      <c r="S41" s="3">
        <v>1298708.8</v>
      </c>
      <c r="T41" s="38" t="s">
        <v>2867</v>
      </c>
      <c r="U41" s="13"/>
      <c r="AM41" s="3" t="s">
        <v>2380</v>
      </c>
      <c r="AN41" s="3" t="s">
        <v>2381</v>
      </c>
      <c r="AO41" s="3">
        <v>62</v>
      </c>
      <c r="AP41" s="3" t="s">
        <v>72</v>
      </c>
      <c r="AQ41" s="3">
        <v>66491</v>
      </c>
      <c r="AR41" s="3">
        <v>400000</v>
      </c>
      <c r="AS41" s="3">
        <v>24</v>
      </c>
      <c r="AT41" s="3">
        <v>13.91</v>
      </c>
      <c r="AU41" s="3" t="s">
        <v>31</v>
      </c>
      <c r="AV41" s="3">
        <v>502</v>
      </c>
      <c r="AW41" s="29">
        <v>45194</v>
      </c>
      <c r="AX41" s="29" t="s">
        <v>207</v>
      </c>
      <c r="AY41" s="3" t="s">
        <v>24</v>
      </c>
      <c r="AZ41" s="3">
        <v>19188.150000000001</v>
      </c>
      <c r="BA41" s="3" t="s">
        <v>25</v>
      </c>
      <c r="BB41" s="3" t="s">
        <v>123</v>
      </c>
      <c r="BC41" s="3" t="s">
        <v>100</v>
      </c>
      <c r="BD41" s="3">
        <v>9</v>
      </c>
      <c r="BE41" s="3">
        <v>296383.99</v>
      </c>
    </row>
    <row r="42" spans="1:77" x14ac:dyDescent="0.3">
      <c r="A42" s="2" t="s">
        <v>799</v>
      </c>
      <c r="B42" s="2" t="s">
        <v>800</v>
      </c>
      <c r="C42" s="2">
        <v>47</v>
      </c>
      <c r="D42" s="2" t="s">
        <v>65</v>
      </c>
      <c r="E42" s="2">
        <v>160739</v>
      </c>
      <c r="F42" s="2">
        <v>1500000</v>
      </c>
      <c r="G42" s="2">
        <v>240</v>
      </c>
      <c r="H42" s="2">
        <v>11.12</v>
      </c>
      <c r="I42" s="2" t="s">
        <v>31</v>
      </c>
      <c r="J42" s="2">
        <v>404</v>
      </c>
      <c r="K42" s="30">
        <v>44652</v>
      </c>
      <c r="L42" s="30" t="s">
        <v>802</v>
      </c>
      <c r="M42" s="2" t="s">
        <v>24</v>
      </c>
      <c r="N42" s="2">
        <v>15605.51</v>
      </c>
      <c r="O42" s="2" t="s">
        <v>105</v>
      </c>
      <c r="P42" s="2" t="s">
        <v>114</v>
      </c>
      <c r="Q42" s="2" t="s">
        <v>42</v>
      </c>
      <c r="R42" s="2">
        <v>0</v>
      </c>
      <c r="S42" s="2">
        <v>1289325.6100000001</v>
      </c>
      <c r="T42" s="38" t="s">
        <v>2879</v>
      </c>
      <c r="U42" s="13"/>
      <c r="AM42" s="2" t="s">
        <v>1235</v>
      </c>
      <c r="AN42" s="2" t="s">
        <v>1236</v>
      </c>
      <c r="AO42" s="2">
        <v>63</v>
      </c>
      <c r="AP42" s="2" t="s">
        <v>21</v>
      </c>
      <c r="AQ42" s="2">
        <v>63228</v>
      </c>
      <c r="AR42" s="2">
        <v>300000</v>
      </c>
      <c r="AS42" s="2">
        <v>180</v>
      </c>
      <c r="AT42" s="2">
        <v>14.37</v>
      </c>
      <c r="AU42" s="2" t="s">
        <v>251</v>
      </c>
      <c r="AV42" s="2">
        <v>497</v>
      </c>
      <c r="AW42" s="30">
        <v>44749</v>
      </c>
      <c r="AX42" s="30" t="s">
        <v>1237</v>
      </c>
      <c r="AY42" s="2" t="s">
        <v>24</v>
      </c>
      <c r="AZ42" s="2">
        <v>4070.07</v>
      </c>
      <c r="BA42" s="2" t="s">
        <v>105</v>
      </c>
      <c r="BB42" s="2" t="s">
        <v>114</v>
      </c>
      <c r="BC42" s="2" t="s">
        <v>100</v>
      </c>
      <c r="BD42" s="2">
        <v>6</v>
      </c>
      <c r="BE42" s="2">
        <v>289010.81</v>
      </c>
    </row>
    <row r="43" spans="1:77" x14ac:dyDescent="0.3">
      <c r="A43" s="2" t="s">
        <v>1122</v>
      </c>
      <c r="B43" s="2" t="s">
        <v>1123</v>
      </c>
      <c r="C43" s="2">
        <v>33</v>
      </c>
      <c r="D43" s="2" t="s">
        <v>72</v>
      </c>
      <c r="E43" s="2">
        <v>47778</v>
      </c>
      <c r="F43" s="2">
        <v>1500000</v>
      </c>
      <c r="G43" s="2">
        <v>48</v>
      </c>
      <c r="H43" s="2">
        <v>17.100000000000001</v>
      </c>
      <c r="I43" s="2" t="s">
        <v>22</v>
      </c>
      <c r="J43" s="2">
        <v>515</v>
      </c>
      <c r="K43" s="30">
        <v>44327</v>
      </c>
      <c r="L43" s="30" t="s">
        <v>1020</v>
      </c>
      <c r="M43" s="2" t="s">
        <v>33</v>
      </c>
      <c r="N43" s="2">
        <v>43360.21</v>
      </c>
      <c r="O43" s="2" t="s">
        <v>105</v>
      </c>
      <c r="P43" s="2" t="s">
        <v>118</v>
      </c>
      <c r="Q43" s="2" t="s">
        <v>42</v>
      </c>
      <c r="R43" s="2">
        <v>0</v>
      </c>
      <c r="S43" s="2">
        <v>1265854.8700000001</v>
      </c>
      <c r="T43" s="38" t="s">
        <v>2879</v>
      </c>
      <c r="U43" s="13"/>
      <c r="AM43" s="3" t="s">
        <v>2210</v>
      </c>
      <c r="AN43" s="3" t="s">
        <v>2211</v>
      </c>
      <c r="AO43" s="3">
        <v>28</v>
      </c>
      <c r="AP43" s="3" t="s">
        <v>30</v>
      </c>
      <c r="AQ43" s="3">
        <v>92948</v>
      </c>
      <c r="AR43" s="3">
        <v>400000</v>
      </c>
      <c r="AS43" s="3">
        <v>84</v>
      </c>
      <c r="AT43" s="3">
        <v>8.1999999999999993</v>
      </c>
      <c r="AU43" s="3" t="s">
        <v>73</v>
      </c>
      <c r="AV43" s="3">
        <v>592</v>
      </c>
      <c r="AW43" s="29">
        <v>44490</v>
      </c>
      <c r="AX43" s="29" t="s">
        <v>2212</v>
      </c>
      <c r="AY43" s="3" t="s">
        <v>24</v>
      </c>
      <c r="AZ43" s="3">
        <v>6274.42</v>
      </c>
      <c r="BA43" s="3" t="s">
        <v>48</v>
      </c>
      <c r="BB43" s="3" t="s">
        <v>80</v>
      </c>
      <c r="BC43" s="3" t="s">
        <v>100</v>
      </c>
      <c r="BD43" s="3">
        <v>5</v>
      </c>
      <c r="BE43" s="3">
        <v>275766.48</v>
      </c>
    </row>
    <row r="44" spans="1:77" x14ac:dyDescent="0.3">
      <c r="A44" s="3" t="s">
        <v>862</v>
      </c>
      <c r="B44" s="3" t="s">
        <v>863</v>
      </c>
      <c r="C44" s="3">
        <v>58</v>
      </c>
      <c r="D44" s="3" t="s">
        <v>45</v>
      </c>
      <c r="E44" s="3">
        <v>167745</v>
      </c>
      <c r="F44" s="3">
        <v>2000000</v>
      </c>
      <c r="G44" s="3">
        <v>24</v>
      </c>
      <c r="H44" s="3">
        <v>20.91</v>
      </c>
      <c r="I44" s="3" t="s">
        <v>22</v>
      </c>
      <c r="J44" s="3">
        <v>592</v>
      </c>
      <c r="K44" s="29">
        <v>44981</v>
      </c>
      <c r="L44" s="29" t="s">
        <v>864</v>
      </c>
      <c r="M44" s="3" t="s">
        <v>24</v>
      </c>
      <c r="N44" s="3">
        <v>102682.91</v>
      </c>
      <c r="O44" s="3" t="s">
        <v>54</v>
      </c>
      <c r="P44" s="3" t="s">
        <v>183</v>
      </c>
      <c r="Q44" s="3" t="s">
        <v>42</v>
      </c>
      <c r="R44" s="3">
        <v>1</v>
      </c>
      <c r="S44" s="3">
        <v>1260683.05</v>
      </c>
      <c r="T44" s="38" t="s">
        <v>2875</v>
      </c>
      <c r="U44" s="13"/>
      <c r="AM44" s="2" t="s">
        <v>1795</v>
      </c>
      <c r="AN44" s="2" t="s">
        <v>1796</v>
      </c>
      <c r="AO44" s="2">
        <v>63</v>
      </c>
      <c r="AP44" s="2" t="s">
        <v>21</v>
      </c>
      <c r="AQ44" s="2">
        <v>18140</v>
      </c>
      <c r="AR44" s="2">
        <v>300000</v>
      </c>
      <c r="AS44" s="2">
        <v>48</v>
      </c>
      <c r="AT44" s="2">
        <v>14.15</v>
      </c>
      <c r="AU44" s="2" t="s">
        <v>22</v>
      </c>
      <c r="AV44" s="2">
        <v>585</v>
      </c>
      <c r="AW44" s="30">
        <v>44644</v>
      </c>
      <c r="AX44" s="30" t="s">
        <v>1797</v>
      </c>
      <c r="AY44" s="2" t="s">
        <v>33</v>
      </c>
      <c r="AZ44" s="2">
        <v>8220.5300000000007</v>
      </c>
      <c r="BA44" s="2" t="s">
        <v>54</v>
      </c>
      <c r="BB44" s="2" t="s">
        <v>183</v>
      </c>
      <c r="BC44" s="2" t="s">
        <v>100</v>
      </c>
      <c r="BD44" s="2">
        <v>0</v>
      </c>
      <c r="BE44" s="2">
        <v>270406.09000000003</v>
      </c>
    </row>
    <row r="45" spans="1:77" ht="15.6" x14ac:dyDescent="0.3">
      <c r="A45" s="2" t="s">
        <v>2772</v>
      </c>
      <c r="B45" s="2" t="s">
        <v>2773</v>
      </c>
      <c r="C45" s="2">
        <v>22</v>
      </c>
      <c r="D45" s="2" t="s">
        <v>65</v>
      </c>
      <c r="E45" s="2">
        <v>220965</v>
      </c>
      <c r="F45" s="2">
        <v>2000000</v>
      </c>
      <c r="G45" s="2">
        <v>240</v>
      </c>
      <c r="H45" s="2">
        <v>8.4499999999999993</v>
      </c>
      <c r="I45" s="2" t="s">
        <v>31</v>
      </c>
      <c r="J45" s="2">
        <v>656</v>
      </c>
      <c r="K45" s="30">
        <v>44761</v>
      </c>
      <c r="L45" s="30" t="s">
        <v>1344</v>
      </c>
      <c r="M45" s="2" t="s">
        <v>24</v>
      </c>
      <c r="N45" s="2">
        <v>17293.23</v>
      </c>
      <c r="O45" s="2" t="s">
        <v>48</v>
      </c>
      <c r="P45" s="2" t="s">
        <v>86</v>
      </c>
      <c r="Q45" s="2" t="s">
        <v>42</v>
      </c>
      <c r="R45" s="2">
        <v>1</v>
      </c>
      <c r="S45" s="2">
        <v>1206240.74</v>
      </c>
      <c r="T45" s="38" t="s">
        <v>2871</v>
      </c>
      <c r="U45" s="17" t="s">
        <v>2963</v>
      </c>
      <c r="AM45" s="3" t="s">
        <v>1342</v>
      </c>
      <c r="AN45" s="3" t="s">
        <v>1343</v>
      </c>
      <c r="AO45" s="3">
        <v>61</v>
      </c>
      <c r="AP45" s="3" t="s">
        <v>72</v>
      </c>
      <c r="AQ45" s="3">
        <v>90187</v>
      </c>
      <c r="AR45" s="3">
        <v>400000</v>
      </c>
      <c r="AS45" s="3">
        <v>24</v>
      </c>
      <c r="AT45" s="3">
        <v>9.34</v>
      </c>
      <c r="AU45" s="3" t="s">
        <v>22</v>
      </c>
      <c r="AV45" s="3">
        <v>584</v>
      </c>
      <c r="AW45" s="29">
        <v>44760</v>
      </c>
      <c r="AX45" s="29" t="s">
        <v>1344</v>
      </c>
      <c r="AY45" s="3" t="s">
        <v>24</v>
      </c>
      <c r="AZ45" s="3">
        <v>18336.36</v>
      </c>
      <c r="BA45" s="3" t="s">
        <v>48</v>
      </c>
      <c r="BB45" s="3" t="s">
        <v>86</v>
      </c>
      <c r="BC45" s="3" t="s">
        <v>100</v>
      </c>
      <c r="BD45" s="3">
        <v>9</v>
      </c>
      <c r="BE45" s="3">
        <v>267978.21000000002</v>
      </c>
    </row>
    <row r="46" spans="1:77" x14ac:dyDescent="0.3">
      <c r="A46" s="3" t="s">
        <v>827</v>
      </c>
      <c r="B46" s="3" t="s">
        <v>125</v>
      </c>
      <c r="C46" s="3">
        <v>23</v>
      </c>
      <c r="D46" s="3" t="s">
        <v>30</v>
      </c>
      <c r="E46" s="3">
        <v>168776</v>
      </c>
      <c r="F46" s="3">
        <v>1500000</v>
      </c>
      <c r="G46" s="3">
        <v>36</v>
      </c>
      <c r="H46" s="3">
        <v>18.73</v>
      </c>
      <c r="I46" s="3" t="s">
        <v>38</v>
      </c>
      <c r="J46" s="3">
        <v>374</v>
      </c>
      <c r="K46" s="29">
        <v>44886</v>
      </c>
      <c r="L46" s="29" t="s">
        <v>829</v>
      </c>
      <c r="M46" s="3" t="s">
        <v>24</v>
      </c>
      <c r="N46" s="3">
        <v>54779.48</v>
      </c>
      <c r="O46" s="3" t="s">
        <v>48</v>
      </c>
      <c r="P46" s="3" t="s">
        <v>80</v>
      </c>
      <c r="Q46" s="3" t="s">
        <v>27</v>
      </c>
      <c r="R46" s="3">
        <v>2</v>
      </c>
      <c r="S46" s="3">
        <v>1204190.81</v>
      </c>
      <c r="T46" s="38" t="s">
        <v>2879</v>
      </c>
      <c r="U46" s="13"/>
      <c r="AM46" s="3" t="s">
        <v>761</v>
      </c>
      <c r="AN46" s="3" t="s">
        <v>756</v>
      </c>
      <c r="AO46" s="3">
        <v>46</v>
      </c>
      <c r="AP46" s="3" t="s">
        <v>45</v>
      </c>
      <c r="AQ46" s="3">
        <v>125326</v>
      </c>
      <c r="AR46" s="3">
        <v>250000</v>
      </c>
      <c r="AS46" s="3">
        <v>240</v>
      </c>
      <c r="AT46" s="3">
        <v>17.399999999999999</v>
      </c>
      <c r="AU46" s="3" t="s">
        <v>31</v>
      </c>
      <c r="AV46" s="3">
        <v>374</v>
      </c>
      <c r="AW46" s="29">
        <v>44733</v>
      </c>
      <c r="AX46" s="29" t="s">
        <v>763</v>
      </c>
      <c r="AY46" s="3" t="s">
        <v>24</v>
      </c>
      <c r="AZ46" s="3">
        <v>3743.24</v>
      </c>
      <c r="BA46" s="3" t="s">
        <v>25</v>
      </c>
      <c r="BB46" s="3" t="s">
        <v>123</v>
      </c>
      <c r="BC46" s="3" t="s">
        <v>100</v>
      </c>
      <c r="BD46" s="3">
        <v>1</v>
      </c>
      <c r="BE46" s="3">
        <v>239893.25</v>
      </c>
    </row>
    <row r="47" spans="1:77" x14ac:dyDescent="0.3">
      <c r="A47" s="3" t="s">
        <v>401</v>
      </c>
      <c r="B47" s="3" t="s">
        <v>20</v>
      </c>
      <c r="C47" s="3">
        <v>55</v>
      </c>
      <c r="D47" s="3" t="s">
        <v>45</v>
      </c>
      <c r="E47" s="3"/>
      <c r="F47" s="3">
        <v>2000000</v>
      </c>
      <c r="G47" s="3">
        <v>84</v>
      </c>
      <c r="H47" s="3">
        <v>12.59</v>
      </c>
      <c r="I47" s="3" t="s">
        <v>251</v>
      </c>
      <c r="J47" s="3">
        <v>541</v>
      </c>
      <c r="K47" s="29">
        <v>44552</v>
      </c>
      <c r="L47" s="29" t="s">
        <v>403</v>
      </c>
      <c r="M47" s="3" t="s">
        <v>24</v>
      </c>
      <c r="N47" s="3">
        <v>35939.61</v>
      </c>
      <c r="O47" s="3" t="s">
        <v>25</v>
      </c>
      <c r="P47" s="3" t="s">
        <v>34</v>
      </c>
      <c r="Q47" s="3" t="s">
        <v>42</v>
      </c>
      <c r="R47" s="3">
        <v>1</v>
      </c>
      <c r="S47" s="3">
        <v>1191358.77</v>
      </c>
      <c r="T47" s="38" t="s">
        <v>2879</v>
      </c>
      <c r="U47" s="13"/>
      <c r="AM47" s="2" t="s">
        <v>2843</v>
      </c>
      <c r="AN47" s="2" t="s">
        <v>2032</v>
      </c>
      <c r="AO47" s="2">
        <v>43</v>
      </c>
      <c r="AP47" s="2" t="s">
        <v>30</v>
      </c>
      <c r="AQ47" s="2">
        <v>144073</v>
      </c>
      <c r="AR47" s="2">
        <v>300000</v>
      </c>
      <c r="AS47" s="2">
        <v>120</v>
      </c>
      <c r="AT47" s="2">
        <v>13.81</v>
      </c>
      <c r="AU47" s="2" t="s">
        <v>46</v>
      </c>
      <c r="AV47" s="2">
        <v>831</v>
      </c>
      <c r="AW47" s="30">
        <v>45070</v>
      </c>
      <c r="AX47" s="30" t="s">
        <v>703</v>
      </c>
      <c r="AY47" s="2" t="s">
        <v>24</v>
      </c>
      <c r="AZ47" s="2">
        <v>4623.78</v>
      </c>
      <c r="BA47" s="2" t="s">
        <v>25</v>
      </c>
      <c r="BB47" s="2" t="s">
        <v>26</v>
      </c>
      <c r="BC47" s="2" t="s">
        <v>100</v>
      </c>
      <c r="BD47" s="2">
        <v>11</v>
      </c>
      <c r="BE47" s="2">
        <v>233417.57</v>
      </c>
    </row>
    <row r="48" spans="1:77" x14ac:dyDescent="0.3">
      <c r="A48" s="3" t="s">
        <v>1884</v>
      </c>
      <c r="B48" s="3" t="s">
        <v>1885</v>
      </c>
      <c r="C48" s="3">
        <v>30</v>
      </c>
      <c r="D48" s="3" t="s">
        <v>45</v>
      </c>
      <c r="E48" s="3">
        <v>143566</v>
      </c>
      <c r="F48" s="3">
        <v>1500000</v>
      </c>
      <c r="G48" s="3">
        <v>84</v>
      </c>
      <c r="H48" s="3">
        <v>15.08</v>
      </c>
      <c r="I48" s="3" t="s">
        <v>38</v>
      </c>
      <c r="J48" s="3">
        <v>851</v>
      </c>
      <c r="K48" s="29">
        <v>44288</v>
      </c>
      <c r="L48" s="29" t="s">
        <v>959</v>
      </c>
      <c r="M48" s="3"/>
      <c r="N48" s="3">
        <v>29012.5</v>
      </c>
      <c r="O48" s="3" t="s">
        <v>54</v>
      </c>
      <c r="P48" s="3" t="s">
        <v>2996</v>
      </c>
      <c r="Q48" s="3" t="s">
        <v>42</v>
      </c>
      <c r="R48" s="3">
        <v>2</v>
      </c>
      <c r="S48" s="3">
        <v>1186665</v>
      </c>
      <c r="T48" s="38" t="s">
        <v>2867</v>
      </c>
      <c r="U48" s="13"/>
      <c r="AM48" s="2" t="s">
        <v>1868</v>
      </c>
      <c r="AN48" s="2" t="s">
        <v>1869</v>
      </c>
      <c r="AO48" s="2">
        <v>65</v>
      </c>
      <c r="AP48" s="2" t="s">
        <v>30</v>
      </c>
      <c r="AQ48" s="2">
        <v>113711</v>
      </c>
      <c r="AR48" s="2">
        <v>300000</v>
      </c>
      <c r="AS48" s="2">
        <v>36</v>
      </c>
      <c r="AT48" s="2">
        <v>20.93</v>
      </c>
      <c r="AU48" s="2" t="s">
        <v>22</v>
      </c>
      <c r="AV48" s="2">
        <v>664</v>
      </c>
      <c r="AW48" s="30">
        <v>45252</v>
      </c>
      <c r="AX48" s="30" t="s">
        <v>1214</v>
      </c>
      <c r="AY48" s="2" t="s">
        <v>24</v>
      </c>
      <c r="AZ48" s="2">
        <v>11291.74</v>
      </c>
      <c r="BA48" s="2" t="s">
        <v>60</v>
      </c>
      <c r="BB48" s="2" t="s">
        <v>192</v>
      </c>
      <c r="BC48" s="2" t="s">
        <v>100</v>
      </c>
      <c r="BD48" s="2">
        <v>0</v>
      </c>
      <c r="BE48" s="2">
        <v>228862.04</v>
      </c>
    </row>
    <row r="49" spans="1:57" x14ac:dyDescent="0.3">
      <c r="A49" s="3" t="s">
        <v>1409</v>
      </c>
      <c r="B49" s="3" t="s">
        <v>1410</v>
      </c>
      <c r="C49" s="3">
        <v>40</v>
      </c>
      <c r="D49" s="3" t="s">
        <v>45</v>
      </c>
      <c r="E49" s="3">
        <v>56101</v>
      </c>
      <c r="F49" s="3">
        <v>2000000</v>
      </c>
      <c r="G49" s="3">
        <v>36</v>
      </c>
      <c r="H49" s="3">
        <v>15.88</v>
      </c>
      <c r="I49" s="3" t="s">
        <v>83</v>
      </c>
      <c r="J49" s="3">
        <v>388</v>
      </c>
      <c r="K49" s="29">
        <v>45166</v>
      </c>
      <c r="L49" s="29" t="s">
        <v>234</v>
      </c>
      <c r="M49" s="3" t="s">
        <v>33</v>
      </c>
      <c r="N49" s="3">
        <v>70195.64</v>
      </c>
      <c r="O49" s="3" t="s">
        <v>60</v>
      </c>
      <c r="P49" s="3" t="s">
        <v>69</v>
      </c>
      <c r="Q49" s="3" t="s">
        <v>42</v>
      </c>
      <c r="R49" s="3">
        <v>1</v>
      </c>
      <c r="S49" s="3">
        <v>1178711.01</v>
      </c>
      <c r="T49" s="38" t="s">
        <v>2879</v>
      </c>
      <c r="U49" s="13"/>
      <c r="AM49" s="2" t="s">
        <v>2375</v>
      </c>
      <c r="AN49" s="2" t="s">
        <v>1093</v>
      </c>
      <c r="AO49" s="2">
        <v>45</v>
      </c>
      <c r="AP49" s="2" t="s">
        <v>72</v>
      </c>
      <c r="AQ49" s="2">
        <v>119462</v>
      </c>
      <c r="AR49" s="2">
        <v>1000000</v>
      </c>
      <c r="AS49" s="2">
        <v>24</v>
      </c>
      <c r="AT49" s="2">
        <v>21.3</v>
      </c>
      <c r="AU49" s="2" t="s">
        <v>22</v>
      </c>
      <c r="AV49" s="2">
        <v>577</v>
      </c>
      <c r="AW49" s="30">
        <v>44359</v>
      </c>
      <c r="AX49" s="30" t="s">
        <v>1788</v>
      </c>
      <c r="AY49" s="2" t="s">
        <v>24</v>
      </c>
      <c r="AZ49" s="2">
        <v>51533.120000000003</v>
      </c>
      <c r="BA49" s="2" t="s">
        <v>54</v>
      </c>
      <c r="BB49" s="2" t="s">
        <v>99</v>
      </c>
      <c r="BC49" s="2" t="s">
        <v>100</v>
      </c>
      <c r="BD49" s="2">
        <v>11</v>
      </c>
      <c r="BE49" s="2">
        <v>211543.26</v>
      </c>
    </row>
    <row r="50" spans="1:57" x14ac:dyDescent="0.3">
      <c r="A50" s="2" t="s">
        <v>1504</v>
      </c>
      <c r="B50" s="2" t="s">
        <v>1505</v>
      </c>
      <c r="C50" s="2">
        <v>57</v>
      </c>
      <c r="D50" s="2" t="s">
        <v>21</v>
      </c>
      <c r="E50" s="2">
        <v>246918</v>
      </c>
      <c r="F50" s="2">
        <v>1500000</v>
      </c>
      <c r="G50" s="2">
        <v>36</v>
      </c>
      <c r="H50" s="2">
        <v>14.63</v>
      </c>
      <c r="I50" s="2" t="s">
        <v>251</v>
      </c>
      <c r="J50" s="2">
        <v>619</v>
      </c>
      <c r="K50" s="30">
        <v>45201</v>
      </c>
      <c r="L50" s="30" t="s">
        <v>1506</v>
      </c>
      <c r="M50" s="2" t="s">
        <v>24</v>
      </c>
      <c r="N50" s="2">
        <v>51726.62</v>
      </c>
      <c r="O50" s="2" t="s">
        <v>60</v>
      </c>
      <c r="P50" s="2" t="s">
        <v>2997</v>
      </c>
      <c r="Q50" s="2" t="s">
        <v>100</v>
      </c>
      <c r="R50" s="2">
        <v>12</v>
      </c>
      <c r="S50" s="2">
        <v>1174122.29</v>
      </c>
      <c r="T50" s="38" t="s">
        <v>2875</v>
      </c>
      <c r="U50" s="13"/>
      <c r="AM50" s="3" t="s">
        <v>258</v>
      </c>
      <c r="AN50" s="3" t="s">
        <v>259</v>
      </c>
      <c r="AO50" s="3">
        <v>27</v>
      </c>
      <c r="AP50" s="3" t="s">
        <v>30</v>
      </c>
      <c r="AQ50" s="3">
        <v>46051</v>
      </c>
      <c r="AR50" s="3">
        <v>500000</v>
      </c>
      <c r="AS50" s="3">
        <v>120</v>
      </c>
      <c r="AT50" s="3">
        <v>16.29</v>
      </c>
      <c r="AU50" s="3" t="s">
        <v>83</v>
      </c>
      <c r="AV50" s="3">
        <v>835</v>
      </c>
      <c r="AW50" s="29">
        <v>45075</v>
      </c>
      <c r="AX50" s="29" t="s">
        <v>261</v>
      </c>
      <c r="AY50" s="3" t="s">
        <v>24</v>
      </c>
      <c r="AZ50" s="3">
        <v>8466.24</v>
      </c>
      <c r="BA50" s="3" t="s">
        <v>60</v>
      </c>
      <c r="BB50" s="3" t="s">
        <v>76</v>
      </c>
      <c r="BC50" s="3" t="s">
        <v>100</v>
      </c>
      <c r="BD50" s="3">
        <v>7</v>
      </c>
      <c r="BE50" s="3">
        <v>210454.59</v>
      </c>
    </row>
    <row r="51" spans="1:57" x14ac:dyDescent="0.3">
      <c r="A51" s="3" t="s">
        <v>1974</v>
      </c>
      <c r="B51" s="3" t="s">
        <v>1975</v>
      </c>
      <c r="C51" s="3">
        <v>44</v>
      </c>
      <c r="D51" s="3" t="s">
        <v>21</v>
      </c>
      <c r="E51" s="3">
        <v>237495</v>
      </c>
      <c r="F51" s="3">
        <v>2000000</v>
      </c>
      <c r="G51" s="3">
        <v>36</v>
      </c>
      <c r="H51" s="3">
        <v>11.77</v>
      </c>
      <c r="I51" s="3" t="s">
        <v>251</v>
      </c>
      <c r="J51" s="3">
        <v>864</v>
      </c>
      <c r="K51" s="29">
        <v>44311</v>
      </c>
      <c r="L51" s="29" t="s">
        <v>1138</v>
      </c>
      <c r="M51" s="3" t="s">
        <v>24</v>
      </c>
      <c r="N51" s="3">
        <v>66209.13</v>
      </c>
      <c r="O51" s="3" t="s">
        <v>60</v>
      </c>
      <c r="P51" s="3" t="s">
        <v>192</v>
      </c>
      <c r="Q51" s="3" t="s">
        <v>27</v>
      </c>
      <c r="R51" s="3">
        <v>0</v>
      </c>
      <c r="S51" s="3">
        <v>1165764.96</v>
      </c>
      <c r="T51" s="38" t="s">
        <v>2867</v>
      </c>
      <c r="U51" s="13"/>
      <c r="AM51" s="3" t="s">
        <v>1219</v>
      </c>
      <c r="AN51" s="3" t="s">
        <v>1220</v>
      </c>
      <c r="AO51" s="3">
        <v>40</v>
      </c>
      <c r="AP51" s="3" t="s">
        <v>65</v>
      </c>
      <c r="AQ51" s="3">
        <v>75599</v>
      </c>
      <c r="AR51" s="3">
        <v>300000</v>
      </c>
      <c r="AS51" s="3">
        <v>240</v>
      </c>
      <c r="AT51" s="3">
        <v>21.66</v>
      </c>
      <c r="AU51" s="3" t="s">
        <v>22</v>
      </c>
      <c r="AV51" s="3">
        <v>623</v>
      </c>
      <c r="AW51" s="29">
        <v>44578</v>
      </c>
      <c r="AX51" s="29" t="s">
        <v>614</v>
      </c>
      <c r="AY51" s="3" t="s">
        <v>24</v>
      </c>
      <c r="AZ51" s="3">
        <v>5489.99</v>
      </c>
      <c r="BA51" s="3" t="s">
        <v>60</v>
      </c>
      <c r="BB51" s="3" t="s">
        <v>69</v>
      </c>
      <c r="BC51" s="3" t="s">
        <v>100</v>
      </c>
      <c r="BD51" s="3">
        <v>8</v>
      </c>
      <c r="BE51" s="3">
        <v>191298.2</v>
      </c>
    </row>
    <row r="52" spans="1:57" x14ac:dyDescent="0.3">
      <c r="A52" s="2" t="s">
        <v>1738</v>
      </c>
      <c r="B52" s="2" t="s">
        <v>1739</v>
      </c>
      <c r="C52" s="2">
        <v>51</v>
      </c>
      <c r="D52" s="2" t="s">
        <v>30</v>
      </c>
      <c r="E52" s="2">
        <v>111899</v>
      </c>
      <c r="F52" s="2">
        <v>2000000</v>
      </c>
      <c r="G52" s="2">
        <v>84</v>
      </c>
      <c r="H52" s="2">
        <v>17.079999999999998</v>
      </c>
      <c r="I52" s="2" t="s">
        <v>73</v>
      </c>
      <c r="J52" s="2">
        <v>366</v>
      </c>
      <c r="K52" s="30">
        <v>44589</v>
      </c>
      <c r="L52" s="30" t="s">
        <v>1740</v>
      </c>
      <c r="M52" s="2" t="s">
        <v>24</v>
      </c>
      <c r="N52" s="2">
        <v>40964.129999999997</v>
      </c>
      <c r="O52" s="2" t="s">
        <v>25</v>
      </c>
      <c r="P52" s="2" t="s">
        <v>34</v>
      </c>
      <c r="Q52" s="2" t="s">
        <v>35</v>
      </c>
      <c r="R52" s="2">
        <v>2</v>
      </c>
      <c r="S52" s="2">
        <v>1115174.79</v>
      </c>
      <c r="T52" s="38" t="s">
        <v>2879</v>
      </c>
      <c r="U52" s="13"/>
      <c r="AM52" s="3" t="s">
        <v>1663</v>
      </c>
      <c r="AN52" s="3" t="s">
        <v>1664</v>
      </c>
      <c r="AO52" s="3">
        <v>25</v>
      </c>
      <c r="AP52" s="3" t="s">
        <v>21</v>
      </c>
      <c r="AQ52" s="3">
        <v>248061</v>
      </c>
      <c r="AR52" s="3">
        <v>200000</v>
      </c>
      <c r="AS52" s="3">
        <v>48</v>
      </c>
      <c r="AT52" s="3">
        <v>10.15</v>
      </c>
      <c r="AU52" s="3" t="s">
        <v>31</v>
      </c>
      <c r="AV52" s="3">
        <v>302</v>
      </c>
      <c r="AW52" s="29">
        <v>44288</v>
      </c>
      <c r="AX52" s="29" t="s">
        <v>1057</v>
      </c>
      <c r="AY52" s="3" t="s">
        <v>33</v>
      </c>
      <c r="AZ52" s="3">
        <v>5086.9399999999996</v>
      </c>
      <c r="BA52" s="3" t="s">
        <v>25</v>
      </c>
      <c r="BB52" s="3" t="s">
        <v>123</v>
      </c>
      <c r="BC52" s="3" t="s">
        <v>100</v>
      </c>
      <c r="BD52" s="3">
        <v>5</v>
      </c>
      <c r="BE52" s="3">
        <v>181687.02</v>
      </c>
    </row>
    <row r="53" spans="1:57" x14ac:dyDescent="0.3">
      <c r="A53" s="3" t="s">
        <v>2404</v>
      </c>
      <c r="B53" s="3" t="s">
        <v>2405</v>
      </c>
      <c r="C53" s="3">
        <v>23</v>
      </c>
      <c r="D53" s="3" t="s">
        <v>30</v>
      </c>
      <c r="E53" s="3">
        <v>217401</v>
      </c>
      <c r="F53" s="3">
        <v>2000000</v>
      </c>
      <c r="G53" s="3">
        <v>24</v>
      </c>
      <c r="H53" s="3">
        <v>20.13</v>
      </c>
      <c r="I53" s="3" t="s">
        <v>38</v>
      </c>
      <c r="J53" s="3">
        <v>669</v>
      </c>
      <c r="K53" s="29">
        <v>45156</v>
      </c>
      <c r="L53" s="29" t="s">
        <v>1411</v>
      </c>
      <c r="M53" s="3" t="s">
        <v>24</v>
      </c>
      <c r="N53" s="3">
        <v>101918.66</v>
      </c>
      <c r="O53" s="3" t="s">
        <v>60</v>
      </c>
      <c r="P53" s="3" t="s">
        <v>192</v>
      </c>
      <c r="Q53" s="3" t="s">
        <v>42</v>
      </c>
      <c r="R53" s="3">
        <v>0</v>
      </c>
      <c r="S53" s="3">
        <v>1082732.06</v>
      </c>
      <c r="T53" s="38" t="s">
        <v>2871</v>
      </c>
      <c r="U53" s="13"/>
      <c r="AM53" s="3" t="s">
        <v>738</v>
      </c>
      <c r="AN53" s="3" t="s">
        <v>2060</v>
      </c>
      <c r="AO53" s="3">
        <v>39</v>
      </c>
      <c r="AP53" s="3" t="s">
        <v>21</v>
      </c>
      <c r="AQ53" s="3">
        <v>232145</v>
      </c>
      <c r="AR53" s="3">
        <v>200000</v>
      </c>
      <c r="AS53" s="3">
        <v>84</v>
      </c>
      <c r="AT53" s="3">
        <v>15.44</v>
      </c>
      <c r="AU53" s="3" t="s">
        <v>251</v>
      </c>
      <c r="AV53" s="3">
        <v>879</v>
      </c>
      <c r="AW53" s="29">
        <v>44291</v>
      </c>
      <c r="AX53" s="29" t="s">
        <v>740</v>
      </c>
      <c r="AY53" s="3" t="s">
        <v>24</v>
      </c>
      <c r="AZ53" s="3">
        <v>3908.89</v>
      </c>
      <c r="BA53" s="3" t="s">
        <v>60</v>
      </c>
      <c r="BB53" s="3" t="s">
        <v>61</v>
      </c>
      <c r="BC53" s="3" t="s">
        <v>100</v>
      </c>
      <c r="BD53" s="3">
        <v>10</v>
      </c>
      <c r="BE53" s="3">
        <v>178891.99</v>
      </c>
    </row>
    <row r="54" spans="1:57" x14ac:dyDescent="0.3">
      <c r="A54" s="3" t="s">
        <v>1758</v>
      </c>
      <c r="B54" s="3" t="s">
        <v>1759</v>
      </c>
      <c r="C54" s="3">
        <v>47</v>
      </c>
      <c r="D54" s="3" t="s">
        <v>30</v>
      </c>
      <c r="E54" s="3">
        <v>74487</v>
      </c>
      <c r="F54" s="3">
        <v>1500000</v>
      </c>
      <c r="G54" s="3">
        <v>48</v>
      </c>
      <c r="H54" s="3">
        <v>14.38</v>
      </c>
      <c r="I54" s="3" t="s">
        <v>31</v>
      </c>
      <c r="J54" s="3">
        <v>772</v>
      </c>
      <c r="K54" s="29">
        <v>45075</v>
      </c>
      <c r="L54" s="29" t="s">
        <v>406</v>
      </c>
      <c r="M54" s="3" t="s">
        <v>24</v>
      </c>
      <c r="N54" s="3">
        <v>41276.22</v>
      </c>
      <c r="O54" s="3" t="s">
        <v>48</v>
      </c>
      <c r="P54" s="3" t="s">
        <v>49</v>
      </c>
      <c r="Q54" s="3" t="s">
        <v>42</v>
      </c>
      <c r="R54" s="3">
        <v>1</v>
      </c>
      <c r="S54" s="3">
        <v>1054216.82</v>
      </c>
      <c r="T54" s="38" t="s">
        <v>2867</v>
      </c>
      <c r="U54" s="13"/>
      <c r="AM54" s="3" t="s">
        <v>2407</v>
      </c>
      <c r="AN54" s="3" t="s">
        <v>976</v>
      </c>
      <c r="AO54" s="3">
        <v>54</v>
      </c>
      <c r="AP54" s="3" t="s">
        <v>21</v>
      </c>
      <c r="AQ54" s="3">
        <v>19247</v>
      </c>
      <c r="AR54" s="3">
        <v>750000</v>
      </c>
      <c r="AS54" s="3">
        <v>120</v>
      </c>
      <c r="AT54" s="3">
        <v>21.94</v>
      </c>
      <c r="AU54" s="3" t="s">
        <v>38</v>
      </c>
      <c r="AV54" s="3">
        <v>851</v>
      </c>
      <c r="AW54" s="29">
        <v>44334</v>
      </c>
      <c r="AX54" s="29" t="s">
        <v>2074</v>
      </c>
      <c r="AY54" s="3"/>
      <c r="AZ54" s="3">
        <v>15471.64</v>
      </c>
      <c r="BA54" s="3" t="s">
        <v>60</v>
      </c>
      <c r="BB54" s="3" t="s">
        <v>61</v>
      </c>
      <c r="BC54" s="3" t="s">
        <v>100</v>
      </c>
      <c r="BD54" s="3">
        <v>9</v>
      </c>
      <c r="BE54" s="3">
        <v>165172.01</v>
      </c>
    </row>
    <row r="55" spans="1:57" x14ac:dyDescent="0.3">
      <c r="A55" s="2" t="s">
        <v>2174</v>
      </c>
      <c r="B55" s="2" t="s">
        <v>2175</v>
      </c>
      <c r="C55" s="2">
        <v>38</v>
      </c>
      <c r="D55" s="2" t="s">
        <v>45</v>
      </c>
      <c r="E55" s="2">
        <v>71765</v>
      </c>
      <c r="F55" s="2">
        <v>2000000</v>
      </c>
      <c r="G55" s="2">
        <v>12</v>
      </c>
      <c r="H55" s="2">
        <v>12.44</v>
      </c>
      <c r="I55" s="2" t="s">
        <v>73</v>
      </c>
      <c r="J55" s="2">
        <v>737</v>
      </c>
      <c r="K55" s="30">
        <v>44785</v>
      </c>
      <c r="L55" s="30" t="s">
        <v>506</v>
      </c>
      <c r="M55" s="2" t="s">
        <v>24</v>
      </c>
      <c r="N55" s="2">
        <v>178109.51</v>
      </c>
      <c r="O55" s="2" t="s">
        <v>25</v>
      </c>
      <c r="P55" s="2" t="s">
        <v>26</v>
      </c>
      <c r="Q55" s="2" t="s">
        <v>42</v>
      </c>
      <c r="R55" s="2">
        <v>2</v>
      </c>
      <c r="S55" s="2">
        <v>1038208.65</v>
      </c>
      <c r="T55" s="38" t="s">
        <v>2871</v>
      </c>
      <c r="U55" s="13"/>
      <c r="AM55" s="2" t="s">
        <v>2665</v>
      </c>
      <c r="AN55" s="2" t="s">
        <v>2666</v>
      </c>
      <c r="AO55" s="2">
        <v>56</v>
      </c>
      <c r="AP55" s="2" t="s">
        <v>21</v>
      </c>
      <c r="AQ55" s="2">
        <v>53362</v>
      </c>
      <c r="AR55" s="2">
        <v>200000</v>
      </c>
      <c r="AS55" s="2">
        <v>24</v>
      </c>
      <c r="AT55" s="2">
        <v>11.16</v>
      </c>
      <c r="AU55" s="2" t="s">
        <v>73</v>
      </c>
      <c r="AV55" s="2">
        <v>863</v>
      </c>
      <c r="AW55" s="30">
        <v>44718</v>
      </c>
      <c r="AX55" s="30" t="s">
        <v>853</v>
      </c>
      <c r="AY55" s="2" t="s">
        <v>24</v>
      </c>
      <c r="AZ55" s="2">
        <v>9336.43</v>
      </c>
      <c r="BA55" s="2" t="s">
        <v>60</v>
      </c>
      <c r="BB55" s="2" t="s">
        <v>172</v>
      </c>
      <c r="BC55" s="2" t="s">
        <v>100</v>
      </c>
      <c r="BD55" s="2">
        <v>1</v>
      </c>
      <c r="BE55" s="2">
        <v>149583.28</v>
      </c>
    </row>
    <row r="56" spans="1:57" x14ac:dyDescent="0.3">
      <c r="A56" s="2" t="s">
        <v>2562</v>
      </c>
      <c r="B56" s="2" t="s">
        <v>421</v>
      </c>
      <c r="C56" s="2">
        <v>56</v>
      </c>
      <c r="D56" s="2" t="s">
        <v>45</v>
      </c>
      <c r="E56" s="2">
        <v>64635</v>
      </c>
      <c r="F56" s="2">
        <v>1500000</v>
      </c>
      <c r="G56" s="2">
        <v>24</v>
      </c>
      <c r="H56" s="2">
        <v>17.690000000000001</v>
      </c>
      <c r="I56" s="2" t="s">
        <v>22</v>
      </c>
      <c r="J56" s="2" t="s">
        <v>2882</v>
      </c>
      <c r="K56" s="30">
        <v>44529</v>
      </c>
      <c r="L56" s="30" t="s">
        <v>1510</v>
      </c>
      <c r="M56" s="2" t="s">
        <v>24</v>
      </c>
      <c r="N56" s="2">
        <v>74661.67</v>
      </c>
      <c r="O56" s="2" t="s">
        <v>105</v>
      </c>
      <c r="P56" s="2" t="s">
        <v>130</v>
      </c>
      <c r="Q56" s="2" t="s">
        <v>35</v>
      </c>
      <c r="R56" s="2">
        <v>12</v>
      </c>
      <c r="S56" s="2">
        <v>1029631.48</v>
      </c>
      <c r="T56" s="38" t="s">
        <v>2883</v>
      </c>
      <c r="U56" s="13"/>
      <c r="AM56" s="3" t="s">
        <v>878</v>
      </c>
      <c r="AN56" s="3" t="s">
        <v>879</v>
      </c>
      <c r="AO56" s="3">
        <v>44</v>
      </c>
      <c r="AP56" s="3" t="s">
        <v>30</v>
      </c>
      <c r="AQ56" s="3">
        <v>234585</v>
      </c>
      <c r="AR56" s="3">
        <v>200000</v>
      </c>
      <c r="AS56" s="3">
        <v>24</v>
      </c>
      <c r="AT56" s="3">
        <v>11.63</v>
      </c>
      <c r="AU56" s="3" t="s">
        <v>73</v>
      </c>
      <c r="AV56" s="3">
        <v>350</v>
      </c>
      <c r="AW56" s="29">
        <v>44650</v>
      </c>
      <c r="AX56" s="29" t="s">
        <v>817</v>
      </c>
      <c r="AY56" s="3" t="s">
        <v>33</v>
      </c>
      <c r="AZ56" s="3">
        <v>9380.17</v>
      </c>
      <c r="BA56" s="3" t="s">
        <v>105</v>
      </c>
      <c r="BB56" s="3" t="s">
        <v>106</v>
      </c>
      <c r="BC56" s="3" t="s">
        <v>100</v>
      </c>
      <c r="BD56" s="3">
        <v>12</v>
      </c>
      <c r="BE56" s="3">
        <v>149347.07999999999</v>
      </c>
    </row>
    <row r="57" spans="1:57" x14ac:dyDescent="0.3">
      <c r="A57" s="2" t="s">
        <v>918</v>
      </c>
      <c r="B57" s="2" t="s">
        <v>919</v>
      </c>
      <c r="C57" s="2">
        <v>29</v>
      </c>
      <c r="D57" s="2" t="s">
        <v>21</v>
      </c>
      <c r="E57" s="2"/>
      <c r="F57" s="2">
        <v>1000000</v>
      </c>
      <c r="G57" s="2">
        <v>12</v>
      </c>
      <c r="H57" s="2">
        <v>12.94</v>
      </c>
      <c r="I57" s="2" t="s">
        <v>66</v>
      </c>
      <c r="J57" s="2">
        <v>847</v>
      </c>
      <c r="K57" s="30">
        <v>44418</v>
      </c>
      <c r="L57" s="30" t="s">
        <v>920</v>
      </c>
      <c r="M57" s="2" t="s">
        <v>122</v>
      </c>
      <c r="N57" s="2">
        <v>89289.13</v>
      </c>
      <c r="O57" s="2" t="s">
        <v>54</v>
      </c>
      <c r="P57" s="2" t="s">
        <v>304</v>
      </c>
      <c r="Q57" s="2" t="s">
        <v>35</v>
      </c>
      <c r="R57" s="2">
        <v>9</v>
      </c>
      <c r="S57" s="2">
        <v>1000000</v>
      </c>
      <c r="T57" s="38" t="s">
        <v>2867</v>
      </c>
      <c r="U57" s="13"/>
      <c r="AM57" s="3" t="s">
        <v>2247</v>
      </c>
      <c r="AN57" s="3" t="s">
        <v>2248</v>
      </c>
      <c r="AO57" s="3">
        <v>28</v>
      </c>
      <c r="AP57" s="3" t="s">
        <v>21</v>
      </c>
      <c r="AQ57" s="3">
        <v>186979</v>
      </c>
      <c r="AR57" s="3">
        <v>750000</v>
      </c>
      <c r="AS57" s="3">
        <v>180</v>
      </c>
      <c r="AT57" s="3">
        <v>12.96</v>
      </c>
      <c r="AU57" s="3" t="s">
        <v>73</v>
      </c>
      <c r="AV57" s="3">
        <v>395</v>
      </c>
      <c r="AW57" s="29">
        <v>45186</v>
      </c>
      <c r="AX57" s="29" t="s">
        <v>1908</v>
      </c>
      <c r="AY57" s="3" t="s">
        <v>24</v>
      </c>
      <c r="AZ57" s="3">
        <v>9469.58</v>
      </c>
      <c r="BA57" s="3" t="s">
        <v>105</v>
      </c>
      <c r="BB57" s="3" t="s">
        <v>118</v>
      </c>
      <c r="BC57" s="3" t="s">
        <v>100</v>
      </c>
      <c r="BD57" s="3">
        <v>8</v>
      </c>
      <c r="BE57" s="3">
        <v>144893.84</v>
      </c>
    </row>
    <row r="58" spans="1:57" x14ac:dyDescent="0.3">
      <c r="A58" s="2" t="s">
        <v>2615</v>
      </c>
      <c r="B58" s="2" t="s">
        <v>2616</v>
      </c>
      <c r="C58" s="2">
        <v>35</v>
      </c>
      <c r="D58" s="2" t="s">
        <v>72</v>
      </c>
      <c r="E58" s="2">
        <v>119212</v>
      </c>
      <c r="F58" s="2">
        <v>1000000</v>
      </c>
      <c r="G58" s="2">
        <v>120</v>
      </c>
      <c r="H58" s="2">
        <v>7.93</v>
      </c>
      <c r="I58" s="2" t="s">
        <v>31</v>
      </c>
      <c r="J58" s="2">
        <v>742</v>
      </c>
      <c r="K58" s="30">
        <v>44287</v>
      </c>
      <c r="L58" s="30" t="s">
        <v>625</v>
      </c>
      <c r="M58" s="2" t="s">
        <v>24</v>
      </c>
      <c r="N58" s="2">
        <v>12095.8</v>
      </c>
      <c r="O58" s="2" t="s">
        <v>60</v>
      </c>
      <c r="P58" s="2" t="s">
        <v>2997</v>
      </c>
      <c r="Q58" s="2" t="s">
        <v>35</v>
      </c>
      <c r="R58" s="2">
        <v>2</v>
      </c>
      <c r="S58" s="2">
        <v>989113.78</v>
      </c>
      <c r="T58" s="38" t="s">
        <v>2871</v>
      </c>
      <c r="U58" s="13"/>
      <c r="AM58" s="3" t="s">
        <v>969</v>
      </c>
      <c r="AN58" s="3" t="s">
        <v>970</v>
      </c>
      <c r="AO58" s="3">
        <v>34</v>
      </c>
      <c r="AP58" s="3" t="s">
        <v>30</v>
      </c>
      <c r="AQ58" s="3">
        <v>178621</v>
      </c>
      <c r="AR58" s="3">
        <v>1500000</v>
      </c>
      <c r="AS58" s="3">
        <v>60</v>
      </c>
      <c r="AT58" s="3">
        <v>17.46</v>
      </c>
      <c r="AU58" s="3" t="s">
        <v>251</v>
      </c>
      <c r="AV58" s="3">
        <v>482</v>
      </c>
      <c r="AW58" s="29">
        <v>44857</v>
      </c>
      <c r="AX58" s="29" t="s">
        <v>972</v>
      </c>
      <c r="AY58" s="3" t="s">
        <v>24</v>
      </c>
      <c r="AZ58" s="3">
        <v>37650.879999999997</v>
      </c>
      <c r="BA58" s="3" t="s">
        <v>54</v>
      </c>
      <c r="BB58" s="3" t="s">
        <v>99</v>
      </c>
      <c r="BC58" s="3" t="s">
        <v>100</v>
      </c>
      <c r="BD58" s="3">
        <v>11</v>
      </c>
      <c r="BE58" s="3">
        <v>144568.32000000001</v>
      </c>
    </row>
    <row r="59" spans="1:57" ht="15.6" x14ac:dyDescent="0.3">
      <c r="A59" s="3" t="s">
        <v>1903</v>
      </c>
      <c r="B59" s="3" t="s">
        <v>1281</v>
      </c>
      <c r="C59" s="3">
        <v>53</v>
      </c>
      <c r="D59" s="3" t="s">
        <v>45</v>
      </c>
      <c r="E59" s="3">
        <v>194600</v>
      </c>
      <c r="F59" s="3">
        <v>1000000</v>
      </c>
      <c r="G59" s="3">
        <v>240</v>
      </c>
      <c r="H59" s="3">
        <v>17.62</v>
      </c>
      <c r="I59" s="3" t="s">
        <v>73</v>
      </c>
      <c r="J59" s="3">
        <v>314</v>
      </c>
      <c r="K59" s="29">
        <v>45067</v>
      </c>
      <c r="L59" s="29" t="s">
        <v>656</v>
      </c>
      <c r="M59" s="3" t="s">
        <v>33</v>
      </c>
      <c r="N59" s="3">
        <v>15141.3</v>
      </c>
      <c r="O59" s="3" t="s">
        <v>54</v>
      </c>
      <c r="P59" s="3" t="s">
        <v>2996</v>
      </c>
      <c r="Q59" s="3" t="s">
        <v>35</v>
      </c>
      <c r="R59" s="3">
        <v>11</v>
      </c>
      <c r="S59" s="3">
        <v>986372.83</v>
      </c>
      <c r="T59" s="38" t="s">
        <v>2879</v>
      </c>
      <c r="U59" s="17" t="s">
        <v>2964</v>
      </c>
      <c r="AM59" s="3" t="s">
        <v>1952</v>
      </c>
      <c r="AN59" s="3" t="s">
        <v>1953</v>
      </c>
      <c r="AO59" s="3">
        <v>37</v>
      </c>
      <c r="AP59" s="3" t="s">
        <v>65</v>
      </c>
      <c r="AQ59" s="3">
        <v>184114</v>
      </c>
      <c r="AR59" s="3">
        <v>300000</v>
      </c>
      <c r="AS59" s="3">
        <v>24</v>
      </c>
      <c r="AT59" s="3">
        <v>18</v>
      </c>
      <c r="AU59" s="3" t="s">
        <v>251</v>
      </c>
      <c r="AV59" s="3">
        <v>312</v>
      </c>
      <c r="AW59" s="29">
        <v>44239</v>
      </c>
      <c r="AX59" s="29" t="s">
        <v>1954</v>
      </c>
      <c r="AY59" s="3" t="s">
        <v>24</v>
      </c>
      <c r="AZ59" s="3">
        <v>14977.23</v>
      </c>
      <c r="BA59" s="3" t="s">
        <v>54</v>
      </c>
      <c r="BB59" s="3" t="s">
        <v>304</v>
      </c>
      <c r="BC59" s="3" t="s">
        <v>100</v>
      </c>
      <c r="BD59" s="3">
        <v>6</v>
      </c>
      <c r="BE59" s="3">
        <v>138245.92000000001</v>
      </c>
    </row>
    <row r="60" spans="1:57" x14ac:dyDescent="0.3">
      <c r="A60" s="2" t="s">
        <v>2063</v>
      </c>
      <c r="B60" s="2" t="s">
        <v>2064</v>
      </c>
      <c r="C60" s="2">
        <v>37</v>
      </c>
      <c r="D60" s="2" t="s">
        <v>72</v>
      </c>
      <c r="E60" s="2">
        <v>71409</v>
      </c>
      <c r="F60" s="2">
        <v>1000000</v>
      </c>
      <c r="G60" s="2">
        <v>84</v>
      </c>
      <c r="H60" s="2">
        <v>12.89</v>
      </c>
      <c r="I60" s="2" t="s">
        <v>38</v>
      </c>
      <c r="J60" s="2">
        <v>425</v>
      </c>
      <c r="K60" s="30">
        <v>44870</v>
      </c>
      <c r="L60" s="30" t="s">
        <v>1820</v>
      </c>
      <c r="M60" s="2" t="s">
        <v>24</v>
      </c>
      <c r="N60" s="2">
        <v>18132.21</v>
      </c>
      <c r="O60" s="2" t="s">
        <v>25</v>
      </c>
      <c r="P60" s="2" t="s">
        <v>151</v>
      </c>
      <c r="Q60" s="2" t="s">
        <v>42</v>
      </c>
      <c r="R60" s="2">
        <v>2</v>
      </c>
      <c r="S60" s="2">
        <v>983681.01</v>
      </c>
      <c r="T60" s="38" t="s">
        <v>2879</v>
      </c>
      <c r="U60" s="13"/>
      <c r="AM60" s="3" t="s">
        <v>796</v>
      </c>
      <c r="AN60" s="3" t="s">
        <v>578</v>
      </c>
      <c r="AO60" s="3">
        <v>60</v>
      </c>
      <c r="AP60" s="3" t="s">
        <v>72</v>
      </c>
      <c r="AQ60" s="3">
        <v>71366</v>
      </c>
      <c r="AR60" s="3">
        <v>250000</v>
      </c>
      <c r="AS60" s="3">
        <v>36</v>
      </c>
      <c r="AT60" s="3">
        <v>8.82</v>
      </c>
      <c r="AU60" s="3" t="s">
        <v>83</v>
      </c>
      <c r="AV60" s="3">
        <v>664</v>
      </c>
      <c r="AW60" s="29">
        <v>44729</v>
      </c>
      <c r="AX60" s="29" t="s">
        <v>798</v>
      </c>
      <c r="AY60" s="3" t="s">
        <v>122</v>
      </c>
      <c r="AZ60" s="3">
        <v>7929.01</v>
      </c>
      <c r="BA60" s="3" t="s">
        <v>60</v>
      </c>
      <c r="BB60" s="3" t="s">
        <v>69</v>
      </c>
      <c r="BC60" s="3" t="s">
        <v>100</v>
      </c>
      <c r="BD60" s="3">
        <v>0</v>
      </c>
      <c r="BE60" s="3">
        <v>114413.93</v>
      </c>
    </row>
    <row r="61" spans="1:57" x14ac:dyDescent="0.3">
      <c r="A61" s="3" t="s">
        <v>2216</v>
      </c>
      <c r="B61" s="3" t="s">
        <v>1407</v>
      </c>
      <c r="C61" s="3">
        <v>40</v>
      </c>
      <c r="D61" s="3" t="s">
        <v>72</v>
      </c>
      <c r="E61" s="3">
        <v>202760</v>
      </c>
      <c r="F61" s="3">
        <v>1500000</v>
      </c>
      <c r="G61" s="3">
        <v>24</v>
      </c>
      <c r="H61" s="3">
        <v>13.94</v>
      </c>
      <c r="I61" s="3" t="s">
        <v>73</v>
      </c>
      <c r="J61" s="3">
        <v>805</v>
      </c>
      <c r="K61" s="29">
        <v>44435</v>
      </c>
      <c r="L61" s="29" t="s">
        <v>1699</v>
      </c>
      <c r="M61" s="3" t="s">
        <v>24</v>
      </c>
      <c r="N61" s="3">
        <v>71976.81</v>
      </c>
      <c r="O61" s="3" t="s">
        <v>48</v>
      </c>
      <c r="P61" s="3" t="s">
        <v>49</v>
      </c>
      <c r="Q61" s="3" t="s">
        <v>27</v>
      </c>
      <c r="R61" s="3">
        <v>0</v>
      </c>
      <c r="S61" s="3">
        <v>981766.97</v>
      </c>
      <c r="T61" s="38" t="s">
        <v>2867</v>
      </c>
      <c r="U61" s="13"/>
      <c r="AM61" s="2" t="s">
        <v>711</v>
      </c>
      <c r="AN61" s="2" t="s">
        <v>712</v>
      </c>
      <c r="AO61" s="2">
        <v>48</v>
      </c>
      <c r="AP61" s="2" t="s">
        <v>45</v>
      </c>
      <c r="AQ61" s="2">
        <v>51141</v>
      </c>
      <c r="AR61" s="2">
        <v>750000</v>
      </c>
      <c r="AS61" s="2">
        <v>120</v>
      </c>
      <c r="AT61" s="2">
        <v>13.63</v>
      </c>
      <c r="AU61" s="2" t="s">
        <v>31</v>
      </c>
      <c r="AV61" s="2">
        <v>850</v>
      </c>
      <c r="AW61" s="30">
        <v>44788</v>
      </c>
      <c r="AX61" s="30" t="s">
        <v>713</v>
      </c>
      <c r="AY61" s="2" t="s">
        <v>33</v>
      </c>
      <c r="AZ61" s="2">
        <v>11478.71</v>
      </c>
      <c r="BA61" s="2" t="s">
        <v>105</v>
      </c>
      <c r="BB61" s="2" t="s">
        <v>106</v>
      </c>
      <c r="BC61" s="2" t="s">
        <v>100</v>
      </c>
      <c r="BD61" s="2">
        <v>2</v>
      </c>
      <c r="BE61" s="2">
        <v>109487.98</v>
      </c>
    </row>
    <row r="62" spans="1:57" x14ac:dyDescent="0.3">
      <c r="A62" s="3" t="s">
        <v>595</v>
      </c>
      <c r="B62" s="3" t="s">
        <v>596</v>
      </c>
      <c r="C62" s="3">
        <v>27</v>
      </c>
      <c r="D62" s="3" t="s">
        <v>45</v>
      </c>
      <c r="E62" s="3">
        <v>49862</v>
      </c>
      <c r="F62" s="3">
        <v>1000000</v>
      </c>
      <c r="G62" s="3">
        <v>84</v>
      </c>
      <c r="H62" s="3">
        <v>9.2200000000000006</v>
      </c>
      <c r="I62" s="3" t="s">
        <v>73</v>
      </c>
      <c r="J62" s="3">
        <v>841</v>
      </c>
      <c r="K62" s="29">
        <v>44808</v>
      </c>
      <c r="L62" s="29" t="s">
        <v>597</v>
      </c>
      <c r="M62" s="3" t="s">
        <v>24</v>
      </c>
      <c r="N62" s="3">
        <v>16200.95</v>
      </c>
      <c r="O62" s="3" t="s">
        <v>105</v>
      </c>
      <c r="P62" s="3" t="s">
        <v>159</v>
      </c>
      <c r="Q62" s="3" t="s">
        <v>42</v>
      </c>
      <c r="R62" s="3">
        <v>0</v>
      </c>
      <c r="S62" s="3">
        <v>970838.29</v>
      </c>
      <c r="T62" s="38" t="s">
        <v>2867</v>
      </c>
      <c r="U62" s="13"/>
      <c r="AM62" s="2" t="s">
        <v>2035</v>
      </c>
      <c r="AN62" s="2" t="s">
        <v>2603</v>
      </c>
      <c r="AO62" s="2">
        <v>64</v>
      </c>
      <c r="AP62" s="2" t="s">
        <v>21</v>
      </c>
      <c r="AQ62" s="2">
        <v>238269</v>
      </c>
      <c r="AR62" s="2">
        <v>300000</v>
      </c>
      <c r="AS62" s="2">
        <v>48</v>
      </c>
      <c r="AT62" s="2">
        <v>10.73</v>
      </c>
      <c r="AU62" s="2" t="s">
        <v>31</v>
      </c>
      <c r="AV62" s="2">
        <v>864</v>
      </c>
      <c r="AW62" s="30">
        <v>44451</v>
      </c>
      <c r="AX62" s="30" t="s">
        <v>805</v>
      </c>
      <c r="AY62" s="2" t="s">
        <v>33</v>
      </c>
      <c r="AZ62" s="2">
        <v>7714.38</v>
      </c>
      <c r="BA62" s="2" t="s">
        <v>60</v>
      </c>
      <c r="BB62" s="2" t="s">
        <v>172</v>
      </c>
      <c r="BC62" s="2" t="s">
        <v>100</v>
      </c>
      <c r="BD62" s="2">
        <v>3</v>
      </c>
      <c r="BE62" s="2">
        <v>91711.74</v>
      </c>
    </row>
    <row r="63" spans="1:57" x14ac:dyDescent="0.3">
      <c r="A63" s="2" t="s">
        <v>2694</v>
      </c>
      <c r="B63" s="2" t="s">
        <v>1380</v>
      </c>
      <c r="C63" s="2">
        <v>35</v>
      </c>
      <c r="D63" s="2" t="s">
        <v>65</v>
      </c>
      <c r="E63" s="2">
        <v>218180</v>
      </c>
      <c r="F63" s="2">
        <v>1000000</v>
      </c>
      <c r="G63" s="2">
        <v>36</v>
      </c>
      <c r="H63" s="2">
        <v>14.02</v>
      </c>
      <c r="I63" s="2" t="s">
        <v>251</v>
      </c>
      <c r="J63" s="2">
        <v>609</v>
      </c>
      <c r="K63" s="30">
        <v>44662</v>
      </c>
      <c r="L63" s="30" t="s">
        <v>573</v>
      </c>
      <c r="M63" s="2" t="s">
        <v>24</v>
      </c>
      <c r="N63" s="2">
        <v>34187.339999999997</v>
      </c>
      <c r="O63" s="2" t="s">
        <v>60</v>
      </c>
      <c r="P63" s="2" t="s">
        <v>192</v>
      </c>
      <c r="Q63" s="2" t="s">
        <v>35</v>
      </c>
      <c r="R63" s="2">
        <v>2</v>
      </c>
      <c r="S63" s="2">
        <v>969231.39</v>
      </c>
      <c r="T63" s="38" t="s">
        <v>2875</v>
      </c>
      <c r="U63" s="13"/>
      <c r="AM63" s="3" t="s">
        <v>1435</v>
      </c>
      <c r="AN63" s="3" t="s">
        <v>1436</v>
      </c>
      <c r="AO63" s="3">
        <v>51</v>
      </c>
      <c r="AP63" s="3" t="s">
        <v>30</v>
      </c>
      <c r="AQ63" s="3">
        <v>177170</v>
      </c>
      <c r="AR63" s="3">
        <v>100000</v>
      </c>
      <c r="AS63" s="3">
        <v>240</v>
      </c>
      <c r="AT63" s="3">
        <v>11.64</v>
      </c>
      <c r="AU63" s="3" t="s">
        <v>251</v>
      </c>
      <c r="AV63" s="3">
        <v>457</v>
      </c>
      <c r="AW63" s="29">
        <v>44845</v>
      </c>
      <c r="AX63" s="29" t="s">
        <v>991</v>
      </c>
      <c r="AY63" s="3" t="s">
        <v>24</v>
      </c>
      <c r="AZ63" s="3">
        <v>1076.0899999999999</v>
      </c>
      <c r="BA63" s="3" t="s">
        <v>105</v>
      </c>
      <c r="BB63" s="3" t="s">
        <v>159</v>
      </c>
      <c r="BC63" s="3" t="s">
        <v>100</v>
      </c>
      <c r="BD63" s="3">
        <v>1</v>
      </c>
      <c r="BE63" s="3">
        <v>90315.19</v>
      </c>
    </row>
    <row r="64" spans="1:57" x14ac:dyDescent="0.3">
      <c r="A64" s="3" t="s">
        <v>329</v>
      </c>
      <c r="B64" s="3" t="s">
        <v>330</v>
      </c>
      <c r="C64" s="3">
        <v>57</v>
      </c>
      <c r="D64" s="3" t="s">
        <v>21</v>
      </c>
      <c r="E64" s="3">
        <v>38672</v>
      </c>
      <c r="F64" s="3">
        <v>2000000</v>
      </c>
      <c r="G64" s="3">
        <v>120</v>
      </c>
      <c r="H64" s="3">
        <v>7.7</v>
      </c>
      <c r="I64" s="3" t="s">
        <v>22</v>
      </c>
      <c r="J64" s="3">
        <v>765</v>
      </c>
      <c r="K64" s="29">
        <v>44957</v>
      </c>
      <c r="L64" s="29" t="s">
        <v>331</v>
      </c>
      <c r="M64" s="3" t="s">
        <v>33</v>
      </c>
      <c r="N64" s="3">
        <v>23949.64</v>
      </c>
      <c r="O64" s="3" t="s">
        <v>48</v>
      </c>
      <c r="P64" s="3" t="s">
        <v>199</v>
      </c>
      <c r="Q64" s="3" t="s">
        <v>42</v>
      </c>
      <c r="R64" s="3">
        <v>2</v>
      </c>
      <c r="S64" s="3">
        <v>965375.55</v>
      </c>
      <c r="T64" s="38" t="s">
        <v>2867</v>
      </c>
      <c r="U64" s="13"/>
      <c r="AM64" s="2" t="s">
        <v>2480</v>
      </c>
      <c r="AN64" s="2" t="s">
        <v>2481</v>
      </c>
      <c r="AO64" s="2">
        <v>57</v>
      </c>
      <c r="AP64" s="2" t="s">
        <v>65</v>
      </c>
      <c r="AQ64" s="2">
        <v>161537</v>
      </c>
      <c r="AR64" s="2">
        <v>1000000</v>
      </c>
      <c r="AS64" s="2">
        <v>12</v>
      </c>
      <c r="AT64" s="2">
        <v>20.49</v>
      </c>
      <c r="AU64" s="2" t="s">
        <v>31</v>
      </c>
      <c r="AV64" s="2">
        <v>451</v>
      </c>
      <c r="AW64" s="30">
        <v>44762</v>
      </c>
      <c r="AX64" s="30" t="s">
        <v>1814</v>
      </c>
      <c r="AY64" s="2" t="s">
        <v>24</v>
      </c>
      <c r="AZ64" s="2">
        <v>92869.18</v>
      </c>
      <c r="BA64" s="2" t="s">
        <v>25</v>
      </c>
      <c r="BB64" s="2" t="s">
        <v>151</v>
      </c>
      <c r="BC64" s="2" t="s">
        <v>100</v>
      </c>
      <c r="BD64" s="2">
        <v>1</v>
      </c>
      <c r="BE64" s="2">
        <v>80595.12</v>
      </c>
    </row>
    <row r="65" spans="1:57" x14ac:dyDescent="0.3">
      <c r="A65" s="2" t="s">
        <v>470</v>
      </c>
      <c r="B65" s="2" t="s">
        <v>471</v>
      </c>
      <c r="C65" s="2">
        <v>28</v>
      </c>
      <c r="D65" s="2" t="s">
        <v>72</v>
      </c>
      <c r="E65" s="2">
        <v>100962</v>
      </c>
      <c r="F65" s="2">
        <v>1000000</v>
      </c>
      <c r="G65" s="2">
        <v>60</v>
      </c>
      <c r="H65" s="2">
        <v>11.94</v>
      </c>
      <c r="I65" s="2" t="s">
        <v>73</v>
      </c>
      <c r="J65" s="2">
        <v>470</v>
      </c>
      <c r="K65" s="30">
        <v>44919</v>
      </c>
      <c r="L65" s="30" t="s">
        <v>472</v>
      </c>
      <c r="M65" s="2" t="s">
        <v>24</v>
      </c>
      <c r="N65" s="2">
        <v>22214.14</v>
      </c>
      <c r="O65" s="2" t="s">
        <v>60</v>
      </c>
      <c r="P65" s="2" t="s">
        <v>61</v>
      </c>
      <c r="Q65" s="2" t="s">
        <v>42</v>
      </c>
      <c r="R65" s="2">
        <v>1</v>
      </c>
      <c r="S65" s="2">
        <v>960014.55</v>
      </c>
      <c r="T65" s="38" t="s">
        <v>2879</v>
      </c>
      <c r="U65" s="13"/>
      <c r="AM65" s="2" t="s">
        <v>2521</v>
      </c>
      <c r="AN65" s="2" t="s">
        <v>2522</v>
      </c>
      <c r="AO65" s="2">
        <v>40</v>
      </c>
      <c r="AP65" s="2" t="s">
        <v>45</v>
      </c>
      <c r="AQ65" s="2">
        <v>31685</v>
      </c>
      <c r="AR65" s="2">
        <v>150000</v>
      </c>
      <c r="AS65" s="2">
        <v>36</v>
      </c>
      <c r="AT65" s="2">
        <v>16.59</v>
      </c>
      <c r="AU65" s="2" t="s">
        <v>38</v>
      </c>
      <c r="AV65" s="2">
        <v>749</v>
      </c>
      <c r="AW65" s="30">
        <v>45279</v>
      </c>
      <c r="AX65" s="30" t="s">
        <v>75</v>
      </c>
      <c r="AY65" s="2" t="s">
        <v>24</v>
      </c>
      <c r="AZ65" s="2">
        <v>5317.35</v>
      </c>
      <c r="BA65" s="2" t="s">
        <v>25</v>
      </c>
      <c r="BB65" s="2" t="s">
        <v>41</v>
      </c>
      <c r="BC65" s="2" t="s">
        <v>100</v>
      </c>
      <c r="BD65" s="2">
        <v>1</v>
      </c>
      <c r="BE65" s="2">
        <v>78215.77</v>
      </c>
    </row>
    <row r="66" spans="1:57" x14ac:dyDescent="0.3">
      <c r="A66" s="2" t="s">
        <v>1393</v>
      </c>
      <c r="B66" s="2" t="s">
        <v>581</v>
      </c>
      <c r="C66" s="2">
        <v>30</v>
      </c>
      <c r="D66" s="2" t="s">
        <v>30</v>
      </c>
      <c r="E66" s="2">
        <v>52509</v>
      </c>
      <c r="F66" s="2">
        <v>1000000</v>
      </c>
      <c r="G66" s="2">
        <v>60</v>
      </c>
      <c r="H66" s="2">
        <v>15.08</v>
      </c>
      <c r="I66" s="2" t="s">
        <v>73</v>
      </c>
      <c r="J66" s="2">
        <v>544</v>
      </c>
      <c r="K66" s="30">
        <v>44565</v>
      </c>
      <c r="L66" s="30" t="s">
        <v>1394</v>
      </c>
      <c r="M66" s="2" t="s">
        <v>33</v>
      </c>
      <c r="N66" s="2">
        <v>23831.94</v>
      </c>
      <c r="O66" s="2" t="s">
        <v>105</v>
      </c>
      <c r="P66" s="2" t="s">
        <v>2999</v>
      </c>
      <c r="Q66" s="2" t="s">
        <v>42</v>
      </c>
      <c r="R66" s="2">
        <v>2</v>
      </c>
      <c r="S66" s="2">
        <v>957102.51</v>
      </c>
      <c r="T66" s="38" t="s">
        <v>2879</v>
      </c>
      <c r="U66" s="13"/>
      <c r="AM66" s="3" t="s">
        <v>2683</v>
      </c>
      <c r="AN66" s="3" t="s">
        <v>2470</v>
      </c>
      <c r="AO66" s="3">
        <v>36</v>
      </c>
      <c r="AP66" s="3" t="s">
        <v>45</v>
      </c>
      <c r="AQ66" s="3">
        <v>184085</v>
      </c>
      <c r="AR66" s="3">
        <v>500000</v>
      </c>
      <c r="AS66" s="3">
        <v>240</v>
      </c>
      <c r="AT66" s="3">
        <v>19.25</v>
      </c>
      <c r="AU66" s="3" t="s">
        <v>46</v>
      </c>
      <c r="AV66" s="3">
        <v>690</v>
      </c>
      <c r="AW66" s="29">
        <v>44381</v>
      </c>
      <c r="AX66" s="29" t="s">
        <v>885</v>
      </c>
      <c r="AY66" s="3" t="s">
        <v>24</v>
      </c>
      <c r="AZ66" s="3">
        <v>8200.76</v>
      </c>
      <c r="BA66" s="3" t="s">
        <v>48</v>
      </c>
      <c r="BB66" s="3" t="s">
        <v>49</v>
      </c>
      <c r="BC66" s="3" t="s">
        <v>100</v>
      </c>
      <c r="BD66" s="3">
        <v>12</v>
      </c>
      <c r="BE66" s="3">
        <v>71920.33</v>
      </c>
    </row>
    <row r="67" spans="1:57" x14ac:dyDescent="0.3">
      <c r="A67" s="3" t="s">
        <v>426</v>
      </c>
      <c r="B67" s="3" t="s">
        <v>427</v>
      </c>
      <c r="C67" s="3">
        <v>31</v>
      </c>
      <c r="D67" s="3" t="s">
        <v>72</v>
      </c>
      <c r="E67" s="3">
        <v>92540</v>
      </c>
      <c r="F67" s="3">
        <v>2000000</v>
      </c>
      <c r="G67" s="3">
        <v>24</v>
      </c>
      <c r="H67" s="3">
        <v>14.86</v>
      </c>
      <c r="I67" s="3" t="s">
        <v>46</v>
      </c>
      <c r="J67" s="3">
        <v>644</v>
      </c>
      <c r="K67" s="29">
        <v>44512</v>
      </c>
      <c r="L67" s="29" t="s">
        <v>264</v>
      </c>
      <c r="M67" s="3" t="s">
        <v>24</v>
      </c>
      <c r="N67" s="3">
        <v>96840.320000000007</v>
      </c>
      <c r="O67" s="3" t="s">
        <v>54</v>
      </c>
      <c r="P67" s="3" t="s">
        <v>2996</v>
      </c>
      <c r="Q67" s="3" t="s">
        <v>35</v>
      </c>
      <c r="R67" s="3">
        <v>9</v>
      </c>
      <c r="S67" s="3">
        <v>954124.54</v>
      </c>
      <c r="T67" s="38" t="s">
        <v>2875</v>
      </c>
      <c r="U67" s="13"/>
      <c r="AM67" s="2" t="s">
        <v>1197</v>
      </c>
      <c r="AN67" s="2" t="s">
        <v>1198</v>
      </c>
      <c r="AO67" s="2">
        <v>49</v>
      </c>
      <c r="AP67" s="2" t="s">
        <v>65</v>
      </c>
      <c r="AQ67" s="2">
        <v>242496</v>
      </c>
      <c r="AR67" s="2">
        <v>75000</v>
      </c>
      <c r="AS67" s="2">
        <v>48</v>
      </c>
      <c r="AT67" s="2">
        <v>18.34</v>
      </c>
      <c r="AU67" s="2" t="s">
        <v>46</v>
      </c>
      <c r="AV67" s="2">
        <v>691</v>
      </c>
      <c r="AW67" s="30">
        <v>44850</v>
      </c>
      <c r="AX67" s="30" t="s">
        <v>1199</v>
      </c>
      <c r="AY67" s="2" t="s">
        <v>24</v>
      </c>
      <c r="AZ67" s="2">
        <v>2216.4699999999998</v>
      </c>
      <c r="BA67" s="2" t="s">
        <v>25</v>
      </c>
      <c r="BB67" s="2" t="s">
        <v>151</v>
      </c>
      <c r="BC67" s="2" t="s">
        <v>100</v>
      </c>
      <c r="BD67" s="2">
        <v>8</v>
      </c>
      <c r="BE67" s="2">
        <v>71010.350000000006</v>
      </c>
    </row>
    <row r="68" spans="1:57" x14ac:dyDescent="0.3">
      <c r="A68" s="3" t="s">
        <v>2803</v>
      </c>
      <c r="B68" s="3" t="s">
        <v>2804</v>
      </c>
      <c r="C68" s="3">
        <v>26</v>
      </c>
      <c r="D68" s="3" t="s">
        <v>65</v>
      </c>
      <c r="E68" s="3">
        <v>203984</v>
      </c>
      <c r="F68" s="3">
        <v>1000000</v>
      </c>
      <c r="G68" s="3">
        <v>240</v>
      </c>
      <c r="H68" s="3">
        <v>8.66</v>
      </c>
      <c r="I68" s="3" t="s">
        <v>38</v>
      </c>
      <c r="J68" s="3">
        <v>771</v>
      </c>
      <c r="K68" s="29">
        <v>44264</v>
      </c>
      <c r="L68" s="29" t="s">
        <v>739</v>
      </c>
      <c r="M68" s="3" t="s">
        <v>24</v>
      </c>
      <c r="N68" s="3">
        <v>8779.76</v>
      </c>
      <c r="O68" s="3" t="s">
        <v>105</v>
      </c>
      <c r="P68" s="3" t="s">
        <v>130</v>
      </c>
      <c r="Q68" s="3" t="s">
        <v>42</v>
      </c>
      <c r="R68" s="3">
        <v>1</v>
      </c>
      <c r="S68" s="3">
        <v>944687.51</v>
      </c>
      <c r="T68" s="38" t="s">
        <v>2867</v>
      </c>
      <c r="U68" s="13"/>
      <c r="AM68" s="3" t="s">
        <v>2706</v>
      </c>
      <c r="AN68" s="3" t="s">
        <v>2707</v>
      </c>
      <c r="AO68" s="3">
        <v>55</v>
      </c>
      <c r="AP68" s="3" t="s">
        <v>30</v>
      </c>
      <c r="AQ68" s="3">
        <v>190047</v>
      </c>
      <c r="AR68" s="3">
        <v>1000000</v>
      </c>
      <c r="AS68" s="3">
        <v>240</v>
      </c>
      <c r="AT68" s="3">
        <v>17.399999999999999</v>
      </c>
      <c r="AU68" s="3" t="s">
        <v>83</v>
      </c>
      <c r="AV68" s="3">
        <v>531</v>
      </c>
      <c r="AW68" s="29">
        <v>44869</v>
      </c>
      <c r="AX68" s="29" t="s">
        <v>502</v>
      </c>
      <c r="AY68" s="3" t="s">
        <v>33</v>
      </c>
      <c r="AZ68" s="3">
        <v>14972.95</v>
      </c>
      <c r="BA68" s="3" t="s">
        <v>25</v>
      </c>
      <c r="BB68" s="3" t="s">
        <v>41</v>
      </c>
      <c r="BC68" s="3" t="s">
        <v>100</v>
      </c>
      <c r="BD68" s="3">
        <v>7</v>
      </c>
      <c r="BE68" s="3">
        <v>70179.8</v>
      </c>
    </row>
    <row r="69" spans="1:57" ht="15.6" x14ac:dyDescent="0.3">
      <c r="A69" s="2" t="s">
        <v>1036</v>
      </c>
      <c r="B69" s="2" t="s">
        <v>1037</v>
      </c>
      <c r="C69" s="2">
        <v>44</v>
      </c>
      <c r="D69" s="2" t="s">
        <v>72</v>
      </c>
      <c r="E69" s="2">
        <v>72362</v>
      </c>
      <c r="F69" s="2">
        <v>2000000</v>
      </c>
      <c r="G69" s="2">
        <v>180</v>
      </c>
      <c r="H69" s="2">
        <v>10.86</v>
      </c>
      <c r="I69" s="2" t="s">
        <v>66</v>
      </c>
      <c r="J69" s="2">
        <v>678</v>
      </c>
      <c r="K69" s="30">
        <v>45257</v>
      </c>
      <c r="L69" s="30" t="s">
        <v>1039</v>
      </c>
      <c r="M69" s="2" t="s">
        <v>24</v>
      </c>
      <c r="N69" s="2">
        <v>22556.43</v>
      </c>
      <c r="O69" s="2" t="s">
        <v>105</v>
      </c>
      <c r="P69" s="2" t="s">
        <v>114</v>
      </c>
      <c r="Q69" s="2" t="s">
        <v>42</v>
      </c>
      <c r="R69" s="2">
        <v>2</v>
      </c>
      <c r="S69" s="2">
        <v>944359.08</v>
      </c>
      <c r="T69" s="38" t="s">
        <v>2871</v>
      </c>
      <c r="U69" s="17" t="s">
        <v>3002</v>
      </c>
      <c r="AM69" s="3" t="s">
        <v>1184</v>
      </c>
      <c r="AN69" s="3" t="s">
        <v>1185</v>
      </c>
      <c r="AO69" s="3">
        <v>56</v>
      </c>
      <c r="AP69" s="3" t="s">
        <v>45</v>
      </c>
      <c r="AQ69" s="3">
        <v>131132</v>
      </c>
      <c r="AR69" s="3">
        <v>250000</v>
      </c>
      <c r="AS69" s="3">
        <v>84</v>
      </c>
      <c r="AT69" s="3">
        <v>15.48</v>
      </c>
      <c r="AU69" s="3" t="s">
        <v>38</v>
      </c>
      <c r="AV69" s="3">
        <v>680</v>
      </c>
      <c r="AW69" s="29">
        <v>44689</v>
      </c>
      <c r="AX69" s="29" t="s">
        <v>341</v>
      </c>
      <c r="AY69" s="3" t="s">
        <v>24</v>
      </c>
      <c r="AZ69" s="3">
        <v>4891.76</v>
      </c>
      <c r="BA69" s="3" t="s">
        <v>60</v>
      </c>
      <c r="BB69" s="3" t="s">
        <v>76</v>
      </c>
      <c r="BC69" s="3" t="s">
        <v>100</v>
      </c>
      <c r="BD69" s="3">
        <v>11</v>
      </c>
      <c r="BE69" s="3">
        <v>69494.06</v>
      </c>
    </row>
    <row r="70" spans="1:57" x14ac:dyDescent="0.3">
      <c r="A70" s="2" t="s">
        <v>2697</v>
      </c>
      <c r="B70" s="2" t="s">
        <v>1154</v>
      </c>
      <c r="C70" s="2">
        <v>44</v>
      </c>
      <c r="D70" s="2" t="s">
        <v>65</v>
      </c>
      <c r="E70" s="2">
        <v>116333</v>
      </c>
      <c r="F70" s="2">
        <v>1000000</v>
      </c>
      <c r="G70" s="2">
        <v>120</v>
      </c>
      <c r="H70" s="2">
        <v>8.6300000000000008</v>
      </c>
      <c r="I70" s="2" t="s">
        <v>66</v>
      </c>
      <c r="J70" s="2">
        <v>663</v>
      </c>
      <c r="K70" s="30">
        <v>45178</v>
      </c>
      <c r="L70" s="30" t="s">
        <v>2283</v>
      </c>
      <c r="M70" s="2" t="s">
        <v>24</v>
      </c>
      <c r="N70" s="2">
        <v>12468.2</v>
      </c>
      <c r="O70" s="2" t="s">
        <v>54</v>
      </c>
      <c r="P70" s="2" t="s">
        <v>99</v>
      </c>
      <c r="Q70" s="2" t="s">
        <v>27</v>
      </c>
      <c r="R70" s="2">
        <v>1</v>
      </c>
      <c r="S70" s="2">
        <v>943893.1</v>
      </c>
      <c r="T70" s="38" t="s">
        <v>2871</v>
      </c>
      <c r="AM70" s="3" t="s">
        <v>1051</v>
      </c>
      <c r="AN70" s="3" t="s">
        <v>1052</v>
      </c>
      <c r="AO70" s="3">
        <v>58</v>
      </c>
      <c r="AP70" s="3" t="s">
        <v>30</v>
      </c>
      <c r="AQ70" s="3">
        <v>29656</v>
      </c>
      <c r="AR70" s="3">
        <v>100000</v>
      </c>
      <c r="AS70" s="3">
        <v>60</v>
      </c>
      <c r="AT70" s="3">
        <v>20.88</v>
      </c>
      <c r="AU70" s="3" t="s">
        <v>73</v>
      </c>
      <c r="AV70" s="3">
        <v>877</v>
      </c>
      <c r="AW70" s="29">
        <v>45116</v>
      </c>
      <c r="AX70" s="29" t="s">
        <v>392</v>
      </c>
      <c r="AY70" s="3" t="s">
        <v>24</v>
      </c>
      <c r="AZ70" s="3">
        <v>2698.59</v>
      </c>
      <c r="BA70" s="3" t="s">
        <v>25</v>
      </c>
      <c r="BB70" s="3" t="s">
        <v>151</v>
      </c>
      <c r="BC70" s="3" t="s">
        <v>100</v>
      </c>
      <c r="BD70" s="3">
        <v>1</v>
      </c>
      <c r="BE70" s="3">
        <v>68426.5</v>
      </c>
    </row>
    <row r="71" spans="1:57" x14ac:dyDescent="0.3">
      <c r="A71" s="3" t="s">
        <v>152</v>
      </c>
      <c r="B71" s="3" t="s">
        <v>153</v>
      </c>
      <c r="C71" s="3">
        <v>57</v>
      </c>
      <c r="D71" s="3" t="s">
        <v>65</v>
      </c>
      <c r="E71" s="3">
        <v>177702</v>
      </c>
      <c r="F71" s="3">
        <v>1500000</v>
      </c>
      <c r="G71" s="3">
        <v>36</v>
      </c>
      <c r="H71" s="3">
        <v>20.92</v>
      </c>
      <c r="I71" s="3" t="s">
        <v>83</v>
      </c>
      <c r="J71" s="3">
        <v>466</v>
      </c>
      <c r="K71" s="29">
        <v>44877</v>
      </c>
      <c r="L71" s="29" t="s">
        <v>155</v>
      </c>
      <c r="M71" s="3" t="s">
        <v>122</v>
      </c>
      <c r="N71" s="3">
        <v>56451.01</v>
      </c>
      <c r="O71" s="3" t="s">
        <v>105</v>
      </c>
      <c r="P71" s="3" t="s">
        <v>118</v>
      </c>
      <c r="Q71" s="3" t="s">
        <v>100</v>
      </c>
      <c r="R71" s="3">
        <v>0</v>
      </c>
      <c r="S71" s="3">
        <v>941135</v>
      </c>
      <c r="T71" s="38" t="s">
        <v>2879</v>
      </c>
      <c r="AM71" s="3" t="s">
        <v>1866</v>
      </c>
      <c r="AN71" s="3" t="s">
        <v>1867</v>
      </c>
      <c r="AO71" s="3">
        <v>41</v>
      </c>
      <c r="AP71" s="3" t="s">
        <v>65</v>
      </c>
      <c r="AQ71" s="3">
        <v>186608</v>
      </c>
      <c r="AR71" s="3">
        <v>100000</v>
      </c>
      <c r="AS71" s="3">
        <v>36</v>
      </c>
      <c r="AT71" s="3">
        <v>13.91</v>
      </c>
      <c r="AU71" s="3" t="s">
        <v>31</v>
      </c>
      <c r="AV71" s="3">
        <v>598</v>
      </c>
      <c r="AW71" s="29">
        <v>44215</v>
      </c>
      <c r="AX71" s="29" t="s">
        <v>79</v>
      </c>
      <c r="AY71" s="3" t="s">
        <v>24</v>
      </c>
      <c r="AZ71" s="3">
        <v>3413.39</v>
      </c>
      <c r="BA71" s="3" t="s">
        <v>105</v>
      </c>
      <c r="BB71" s="3" t="s">
        <v>159</v>
      </c>
      <c r="BC71" s="3" t="s">
        <v>100</v>
      </c>
      <c r="BD71" s="3">
        <v>3</v>
      </c>
      <c r="BE71" s="3">
        <v>63135.39</v>
      </c>
    </row>
    <row r="72" spans="1:57" x14ac:dyDescent="0.3">
      <c r="A72" s="2" t="s">
        <v>1619</v>
      </c>
      <c r="B72" s="2" t="s">
        <v>1620</v>
      </c>
      <c r="C72" s="2">
        <v>43</v>
      </c>
      <c r="D72" s="2" t="s">
        <v>72</v>
      </c>
      <c r="E72" s="2">
        <v>41912</v>
      </c>
      <c r="F72" s="2">
        <v>1000000</v>
      </c>
      <c r="G72" s="2">
        <v>120</v>
      </c>
      <c r="H72" s="2">
        <v>21.7</v>
      </c>
      <c r="I72" s="2" t="s">
        <v>31</v>
      </c>
      <c r="J72" s="2">
        <v>892</v>
      </c>
      <c r="K72" s="30">
        <v>45195</v>
      </c>
      <c r="L72" s="30" t="s">
        <v>1621</v>
      </c>
      <c r="M72" s="2" t="s">
        <v>33</v>
      </c>
      <c r="N72" s="2">
        <v>20465.82</v>
      </c>
      <c r="O72" s="2" t="s">
        <v>54</v>
      </c>
      <c r="P72" s="2" t="s">
        <v>99</v>
      </c>
      <c r="Q72" s="2" t="s">
        <v>42</v>
      </c>
      <c r="R72" s="2">
        <v>1</v>
      </c>
      <c r="S72" s="2">
        <v>926323.05</v>
      </c>
      <c r="T72" s="38" t="s">
        <v>2867</v>
      </c>
      <c r="AM72" s="2" t="s">
        <v>1712</v>
      </c>
      <c r="AN72" s="2" t="s">
        <v>1713</v>
      </c>
      <c r="AO72" s="2">
        <v>36</v>
      </c>
      <c r="AP72" s="2" t="s">
        <v>65</v>
      </c>
      <c r="AQ72" s="2">
        <v>34514</v>
      </c>
      <c r="AR72" s="2">
        <v>150000</v>
      </c>
      <c r="AS72" s="2">
        <v>48</v>
      </c>
      <c r="AT72" s="2">
        <v>9.8800000000000008</v>
      </c>
      <c r="AU72" s="2" t="s">
        <v>66</v>
      </c>
      <c r="AV72" s="2">
        <v>364</v>
      </c>
      <c r="AW72" s="30">
        <v>44246</v>
      </c>
      <c r="AX72" s="30" t="s">
        <v>1714</v>
      </c>
      <c r="AY72" s="2" t="s">
        <v>24</v>
      </c>
      <c r="AZ72" s="2">
        <v>3795.75</v>
      </c>
      <c r="BA72" s="2" t="s">
        <v>25</v>
      </c>
      <c r="BB72" s="2" t="s">
        <v>26</v>
      </c>
      <c r="BC72" s="2" t="s">
        <v>100</v>
      </c>
      <c r="BD72" s="2">
        <v>7</v>
      </c>
      <c r="BE72" s="2">
        <v>57763.27</v>
      </c>
    </row>
    <row r="73" spans="1:57" x14ac:dyDescent="0.3">
      <c r="A73" s="2" t="s">
        <v>1890</v>
      </c>
      <c r="B73" s="2" t="s">
        <v>1891</v>
      </c>
      <c r="C73" s="2">
        <v>45</v>
      </c>
      <c r="D73" s="2" t="s">
        <v>45</v>
      </c>
      <c r="E73" s="2">
        <v>187311</v>
      </c>
      <c r="F73" s="2">
        <v>1000000</v>
      </c>
      <c r="G73" s="2">
        <v>240</v>
      </c>
      <c r="H73" s="2">
        <v>16.27</v>
      </c>
      <c r="I73" s="2" t="s">
        <v>73</v>
      </c>
      <c r="J73" s="2">
        <v>457</v>
      </c>
      <c r="K73" s="30">
        <v>44703</v>
      </c>
      <c r="L73" s="30" t="s">
        <v>149</v>
      </c>
      <c r="M73" s="2" t="s">
        <v>24</v>
      </c>
      <c r="N73" s="2">
        <v>14115.52</v>
      </c>
      <c r="O73" s="2" t="s">
        <v>48</v>
      </c>
      <c r="P73" s="2" t="s">
        <v>80</v>
      </c>
      <c r="Q73" s="2" t="s">
        <v>42</v>
      </c>
      <c r="R73" s="2">
        <v>1</v>
      </c>
      <c r="S73" s="2">
        <v>923776.19</v>
      </c>
      <c r="T73" s="38" t="s">
        <v>2879</v>
      </c>
      <c r="AM73" s="3" t="s">
        <v>1178</v>
      </c>
      <c r="AN73" s="3" t="s">
        <v>1179</v>
      </c>
      <c r="AO73" s="3">
        <v>26</v>
      </c>
      <c r="AP73" s="3" t="s">
        <v>30</v>
      </c>
      <c r="AQ73" s="3">
        <v>151179</v>
      </c>
      <c r="AR73" s="3">
        <v>75000</v>
      </c>
      <c r="AS73" s="3">
        <v>24</v>
      </c>
      <c r="AT73" s="3">
        <v>18.010000000000002</v>
      </c>
      <c r="AU73" s="3" t="s">
        <v>73</v>
      </c>
      <c r="AV73" s="3">
        <v>494</v>
      </c>
      <c r="AW73" s="29">
        <v>44563</v>
      </c>
      <c r="AX73" s="29" t="s">
        <v>1180</v>
      </c>
      <c r="AY73" s="3" t="s">
        <v>24</v>
      </c>
      <c r="AZ73" s="3">
        <v>3744.67</v>
      </c>
      <c r="BA73" s="3" t="s">
        <v>105</v>
      </c>
      <c r="BB73" s="3" t="s">
        <v>106</v>
      </c>
      <c r="BC73" s="3" t="s">
        <v>100</v>
      </c>
      <c r="BD73" s="3">
        <v>10</v>
      </c>
      <c r="BE73" s="3">
        <v>51408.58</v>
      </c>
    </row>
    <row r="74" spans="1:57" x14ac:dyDescent="0.3">
      <c r="A74" s="3" t="s">
        <v>2034</v>
      </c>
      <c r="B74" s="3" t="s">
        <v>1302</v>
      </c>
      <c r="C74" s="3">
        <v>27</v>
      </c>
      <c r="D74" s="3" t="s">
        <v>72</v>
      </c>
      <c r="E74" s="3">
        <v>38498</v>
      </c>
      <c r="F74" s="3">
        <v>1000000</v>
      </c>
      <c r="G74" s="3">
        <v>12</v>
      </c>
      <c r="H74" s="3">
        <v>16.440000000000001</v>
      </c>
      <c r="I74" s="3" t="s">
        <v>73</v>
      </c>
      <c r="J74" s="3">
        <v>406</v>
      </c>
      <c r="K74" s="29">
        <v>45106</v>
      </c>
      <c r="L74" s="29" t="s">
        <v>364</v>
      </c>
      <c r="M74" s="3" t="s">
        <v>122</v>
      </c>
      <c r="N74" s="3">
        <v>90939.21</v>
      </c>
      <c r="O74" s="3" t="s">
        <v>60</v>
      </c>
      <c r="P74" s="3" t="s">
        <v>69</v>
      </c>
      <c r="Q74" s="3" t="s">
        <v>42</v>
      </c>
      <c r="R74" s="3">
        <v>2</v>
      </c>
      <c r="S74" s="3">
        <v>918154.71</v>
      </c>
      <c r="T74" s="38" t="s">
        <v>2879</v>
      </c>
      <c r="AM74" s="2" t="s">
        <v>2359</v>
      </c>
      <c r="AN74" s="2" t="s">
        <v>2360</v>
      </c>
      <c r="AO74" s="2">
        <v>38</v>
      </c>
      <c r="AP74" s="2" t="s">
        <v>72</v>
      </c>
      <c r="AQ74" s="2">
        <v>101514</v>
      </c>
      <c r="AR74" s="2">
        <v>1000000</v>
      </c>
      <c r="AS74" s="2">
        <v>24</v>
      </c>
      <c r="AT74" s="2">
        <v>14.14</v>
      </c>
      <c r="AU74" s="2" t="s">
        <v>31</v>
      </c>
      <c r="AV74" s="2" t="s">
        <v>2882</v>
      </c>
      <c r="AW74" s="30">
        <v>45107</v>
      </c>
      <c r="AX74" s="30" t="s">
        <v>2362</v>
      </c>
      <c r="AY74" s="2" t="s">
        <v>24</v>
      </c>
      <c r="AZ74" s="2">
        <v>48079.05</v>
      </c>
      <c r="BA74" s="2" t="s">
        <v>48</v>
      </c>
      <c r="BB74" s="2" t="s">
        <v>199</v>
      </c>
      <c r="BC74" s="2" t="s">
        <v>100</v>
      </c>
      <c r="BD74" s="2">
        <v>4</v>
      </c>
      <c r="BE74" s="2">
        <v>48034.81</v>
      </c>
    </row>
    <row r="75" spans="1:57" x14ac:dyDescent="0.3">
      <c r="A75" s="2" t="s">
        <v>2010</v>
      </c>
      <c r="B75" s="2" t="s">
        <v>2011</v>
      </c>
      <c r="C75" s="2">
        <v>54</v>
      </c>
      <c r="D75" s="2" t="s">
        <v>65</v>
      </c>
      <c r="E75" s="2">
        <v>83898</v>
      </c>
      <c r="F75" s="2">
        <v>1000000</v>
      </c>
      <c r="G75" s="2">
        <v>12</v>
      </c>
      <c r="H75" s="2">
        <v>16.5</v>
      </c>
      <c r="I75" s="2" t="s">
        <v>46</v>
      </c>
      <c r="J75" s="2">
        <v>550</v>
      </c>
      <c r="K75" s="30">
        <v>44792</v>
      </c>
      <c r="L75" s="30" t="s">
        <v>2012</v>
      </c>
      <c r="M75" s="2" t="s">
        <v>33</v>
      </c>
      <c r="N75" s="2">
        <v>90967.64</v>
      </c>
      <c r="O75" s="2" t="s">
        <v>54</v>
      </c>
      <c r="P75" s="2" t="s">
        <v>304</v>
      </c>
      <c r="Q75" s="2" t="s">
        <v>42</v>
      </c>
      <c r="R75" s="2">
        <v>0</v>
      </c>
      <c r="S75" s="2">
        <v>918129.12</v>
      </c>
      <c r="T75" s="38" t="s">
        <v>2875</v>
      </c>
      <c r="AM75" s="2" t="s">
        <v>518</v>
      </c>
      <c r="AN75" s="2" t="s">
        <v>519</v>
      </c>
      <c r="AO75" s="2">
        <v>53</v>
      </c>
      <c r="AP75" s="2" t="s">
        <v>21</v>
      </c>
      <c r="AQ75" s="2">
        <v>145382</v>
      </c>
      <c r="AR75" s="2">
        <v>50000</v>
      </c>
      <c r="AS75" s="2">
        <v>24</v>
      </c>
      <c r="AT75" s="2">
        <v>21.21</v>
      </c>
      <c r="AU75" s="2" t="s">
        <v>31</v>
      </c>
      <c r="AV75" s="2">
        <v>546</v>
      </c>
      <c r="AW75" s="30">
        <v>44300</v>
      </c>
      <c r="AX75" s="30" t="s">
        <v>521</v>
      </c>
      <c r="AY75" s="2" t="s">
        <v>33</v>
      </c>
      <c r="AZ75" s="2">
        <v>2574.44</v>
      </c>
      <c r="BA75" s="2" t="s">
        <v>105</v>
      </c>
      <c r="BB75" s="2" t="s">
        <v>106</v>
      </c>
      <c r="BC75" s="2" t="s">
        <v>100</v>
      </c>
      <c r="BD75" s="2">
        <v>5</v>
      </c>
      <c r="BE75" s="2">
        <v>47683</v>
      </c>
    </row>
    <row r="76" spans="1:57" x14ac:dyDescent="0.3">
      <c r="A76" s="3" t="s">
        <v>2723</v>
      </c>
      <c r="B76" s="3" t="s">
        <v>1747</v>
      </c>
      <c r="C76" s="3">
        <v>64</v>
      </c>
      <c r="D76" s="3" t="s">
        <v>65</v>
      </c>
      <c r="E76" s="3">
        <v>220448</v>
      </c>
      <c r="F76" s="3">
        <v>1500000</v>
      </c>
      <c r="G76" s="3">
        <v>84</v>
      </c>
      <c r="H76" s="3">
        <v>14.02</v>
      </c>
      <c r="I76" s="3" t="s">
        <v>38</v>
      </c>
      <c r="J76" s="3">
        <v>732</v>
      </c>
      <c r="K76" s="29">
        <v>44212</v>
      </c>
      <c r="L76" s="29" t="s">
        <v>2724</v>
      </c>
      <c r="M76" s="3" t="s">
        <v>24</v>
      </c>
      <c r="N76" s="3">
        <v>28126.59</v>
      </c>
      <c r="O76" s="3" t="s">
        <v>48</v>
      </c>
      <c r="P76" s="3" t="s">
        <v>375</v>
      </c>
      <c r="Q76" s="3" t="s">
        <v>35</v>
      </c>
      <c r="R76" s="3">
        <v>11</v>
      </c>
      <c r="S76" s="3">
        <v>917779.59</v>
      </c>
      <c r="T76" s="38" t="s">
        <v>2871</v>
      </c>
      <c r="AM76" s="2" t="s">
        <v>269</v>
      </c>
      <c r="AN76" s="2" t="s">
        <v>270</v>
      </c>
      <c r="AO76" s="2">
        <v>63</v>
      </c>
      <c r="AP76" s="2" t="s">
        <v>30</v>
      </c>
      <c r="AQ76" s="2">
        <v>84633</v>
      </c>
      <c r="AR76" s="2">
        <v>100000</v>
      </c>
      <c r="AS76" s="2">
        <v>24</v>
      </c>
      <c r="AT76" s="2">
        <v>8.36</v>
      </c>
      <c r="AU76" s="2" t="s">
        <v>66</v>
      </c>
      <c r="AV76" s="2">
        <v>882</v>
      </c>
      <c r="AW76" s="30">
        <v>44819</v>
      </c>
      <c r="AX76" s="30" t="s">
        <v>225</v>
      </c>
      <c r="AY76" s="2" t="s">
        <v>122</v>
      </c>
      <c r="AZ76" s="2">
        <v>4539.17</v>
      </c>
      <c r="BA76" s="2" t="s">
        <v>48</v>
      </c>
      <c r="BB76" s="2" t="s">
        <v>80</v>
      </c>
      <c r="BC76" s="2" t="s">
        <v>100</v>
      </c>
      <c r="BD76" s="2">
        <v>1</v>
      </c>
      <c r="BE76" s="2">
        <v>42806.46</v>
      </c>
    </row>
    <row r="77" spans="1:57" x14ac:dyDescent="0.3">
      <c r="A77" s="2" t="s">
        <v>2600</v>
      </c>
      <c r="B77" s="2" t="s">
        <v>2601</v>
      </c>
      <c r="C77" s="2">
        <v>42</v>
      </c>
      <c r="D77" s="2" t="s">
        <v>65</v>
      </c>
      <c r="E77" s="2">
        <v>213171</v>
      </c>
      <c r="F77" s="2">
        <v>1000000</v>
      </c>
      <c r="G77" s="2">
        <v>120</v>
      </c>
      <c r="H77" s="2">
        <v>7.78</v>
      </c>
      <c r="I77" s="2" t="s">
        <v>66</v>
      </c>
      <c r="J77" s="2">
        <v>804</v>
      </c>
      <c r="K77" s="30">
        <v>44279</v>
      </c>
      <c r="L77" s="30" t="s">
        <v>1665</v>
      </c>
      <c r="M77" s="2" t="s">
        <v>24</v>
      </c>
      <c r="N77" s="2">
        <v>12016.82</v>
      </c>
      <c r="O77" s="2" t="s">
        <v>25</v>
      </c>
      <c r="P77" s="2" t="s">
        <v>2998</v>
      </c>
      <c r="Q77" s="2" t="s">
        <v>27</v>
      </c>
      <c r="R77" s="2">
        <v>2</v>
      </c>
      <c r="S77" s="2">
        <v>913478.9</v>
      </c>
      <c r="T77" s="38" t="s">
        <v>2867</v>
      </c>
      <c r="AM77" s="3" t="s">
        <v>2315</v>
      </c>
      <c r="AN77" s="3" t="s">
        <v>2316</v>
      </c>
      <c r="AO77" s="3">
        <v>30</v>
      </c>
      <c r="AP77" s="3" t="s">
        <v>65</v>
      </c>
      <c r="AQ77" s="3">
        <v>64275</v>
      </c>
      <c r="AR77" s="3">
        <v>50000</v>
      </c>
      <c r="AS77" s="3">
        <v>48</v>
      </c>
      <c r="AT77" s="3">
        <v>11.88</v>
      </c>
      <c r="AU77" s="3" t="s">
        <v>22</v>
      </c>
      <c r="AV77" s="3">
        <v>647</v>
      </c>
      <c r="AW77" s="29">
        <v>44780</v>
      </c>
      <c r="AX77" s="29" t="s">
        <v>1032</v>
      </c>
      <c r="AY77" s="3" t="s">
        <v>122</v>
      </c>
      <c r="AZ77" s="3">
        <v>1313.75</v>
      </c>
      <c r="BA77" s="3" t="s">
        <v>60</v>
      </c>
      <c r="BB77" s="3" t="s">
        <v>192</v>
      </c>
      <c r="BC77" s="3" t="s">
        <v>100</v>
      </c>
      <c r="BD77" s="3">
        <v>6</v>
      </c>
      <c r="BE77" s="3">
        <v>39358.620000000003</v>
      </c>
    </row>
    <row r="78" spans="1:57" x14ac:dyDescent="0.3">
      <c r="A78" s="2" t="s">
        <v>668</v>
      </c>
      <c r="B78" s="2" t="s">
        <v>669</v>
      </c>
      <c r="C78" s="2">
        <v>58</v>
      </c>
      <c r="D78" s="2" t="s">
        <v>45</v>
      </c>
      <c r="E78" s="2">
        <v>59455</v>
      </c>
      <c r="F78" s="2">
        <v>1000000</v>
      </c>
      <c r="G78" s="2">
        <v>120</v>
      </c>
      <c r="H78" s="2">
        <v>9.9600000000000009</v>
      </c>
      <c r="I78" s="2" t="s">
        <v>66</v>
      </c>
      <c r="J78" s="2">
        <v>608</v>
      </c>
      <c r="K78" s="30">
        <v>44539</v>
      </c>
      <c r="L78" s="30" t="s">
        <v>457</v>
      </c>
      <c r="M78" s="2" t="s">
        <v>24</v>
      </c>
      <c r="N78" s="2">
        <v>13192.93</v>
      </c>
      <c r="O78" s="2" t="s">
        <v>48</v>
      </c>
      <c r="P78" s="2" t="s">
        <v>80</v>
      </c>
      <c r="Q78" s="2" t="s">
        <v>35</v>
      </c>
      <c r="R78" s="2">
        <v>2</v>
      </c>
      <c r="S78" s="2">
        <v>905010.9</v>
      </c>
      <c r="T78" s="38" t="s">
        <v>2875</v>
      </c>
      <c r="AM78" s="3" t="s">
        <v>1646</v>
      </c>
      <c r="AN78" s="3" t="s">
        <v>690</v>
      </c>
      <c r="AO78" s="3">
        <v>34</v>
      </c>
      <c r="AP78" s="3" t="s">
        <v>21</v>
      </c>
      <c r="AQ78" s="3">
        <v>37093</v>
      </c>
      <c r="AR78" s="3">
        <v>50000</v>
      </c>
      <c r="AS78" s="3">
        <v>240</v>
      </c>
      <c r="AT78" s="3">
        <v>12.35</v>
      </c>
      <c r="AU78" s="3" t="s">
        <v>251</v>
      </c>
      <c r="AV78" s="3" t="s">
        <v>2882</v>
      </c>
      <c r="AW78" s="29">
        <v>45244</v>
      </c>
      <c r="AX78" s="29" t="s">
        <v>695</v>
      </c>
      <c r="AY78" s="3" t="s">
        <v>24</v>
      </c>
      <c r="AZ78" s="3">
        <v>562.79</v>
      </c>
      <c r="BA78" s="3" t="s">
        <v>54</v>
      </c>
      <c r="BB78" s="3" t="s">
        <v>183</v>
      </c>
      <c r="BC78" s="3" t="s">
        <v>100</v>
      </c>
      <c r="BD78" s="3">
        <v>3</v>
      </c>
      <c r="BE78" s="3">
        <v>38350.25</v>
      </c>
    </row>
    <row r="79" spans="1:57" x14ac:dyDescent="0.3">
      <c r="A79" s="2" t="s">
        <v>2110</v>
      </c>
      <c r="B79" s="2" t="s">
        <v>2111</v>
      </c>
      <c r="C79" s="2">
        <v>55</v>
      </c>
      <c r="D79" s="2" t="s">
        <v>30</v>
      </c>
      <c r="E79" s="2">
        <v>84549</v>
      </c>
      <c r="F79" s="2">
        <v>1000000</v>
      </c>
      <c r="G79" s="2">
        <v>84</v>
      </c>
      <c r="H79" s="2">
        <v>20.38</v>
      </c>
      <c r="I79" s="2" t="s">
        <v>73</v>
      </c>
      <c r="J79" s="2">
        <v>727</v>
      </c>
      <c r="K79" s="30">
        <v>45262</v>
      </c>
      <c r="L79" s="30" t="s">
        <v>1353</v>
      </c>
      <c r="M79" s="2" t="s">
        <v>24</v>
      </c>
      <c r="N79" s="2">
        <v>22435.57</v>
      </c>
      <c r="O79" s="2" t="s">
        <v>48</v>
      </c>
      <c r="P79" s="2" t="s">
        <v>199</v>
      </c>
      <c r="Q79" s="2" t="s">
        <v>42</v>
      </c>
      <c r="R79" s="2">
        <v>0</v>
      </c>
      <c r="S79" s="2">
        <v>899039.94</v>
      </c>
      <c r="T79" s="38" t="s">
        <v>2871</v>
      </c>
      <c r="AM79" s="3" t="s">
        <v>528</v>
      </c>
      <c r="AN79" s="3" t="s">
        <v>529</v>
      </c>
      <c r="AO79" s="3">
        <v>34</v>
      </c>
      <c r="AP79" s="3" t="s">
        <v>45</v>
      </c>
      <c r="AQ79" s="3">
        <v>148463</v>
      </c>
      <c r="AR79" s="3">
        <v>300000</v>
      </c>
      <c r="AS79" s="3">
        <v>240</v>
      </c>
      <c r="AT79" s="3">
        <v>8.08</v>
      </c>
      <c r="AU79" s="3" t="s">
        <v>46</v>
      </c>
      <c r="AV79" s="3" t="s">
        <v>2882</v>
      </c>
      <c r="AW79" s="29">
        <v>44502</v>
      </c>
      <c r="AX79" s="29" t="s">
        <v>531</v>
      </c>
      <c r="AY79" s="3" t="s">
        <v>33</v>
      </c>
      <c r="AZ79" s="3">
        <v>2524.2800000000002</v>
      </c>
      <c r="BA79" s="3" t="s">
        <v>48</v>
      </c>
      <c r="BB79" s="3" t="s">
        <v>80</v>
      </c>
      <c r="BC79" s="3" t="s">
        <v>100</v>
      </c>
      <c r="BD79" s="3">
        <v>8</v>
      </c>
      <c r="BE79" s="3">
        <v>36465.17</v>
      </c>
    </row>
    <row r="80" spans="1:57" x14ac:dyDescent="0.3">
      <c r="A80" s="2" t="s">
        <v>366</v>
      </c>
      <c r="B80" s="2" t="s">
        <v>367</v>
      </c>
      <c r="C80" s="2">
        <v>42</v>
      </c>
      <c r="D80" s="2" t="s">
        <v>65</v>
      </c>
      <c r="E80" s="2">
        <v>96926</v>
      </c>
      <c r="F80" s="2">
        <v>1000000</v>
      </c>
      <c r="G80" s="2">
        <v>60</v>
      </c>
      <c r="H80" s="2">
        <v>12.93</v>
      </c>
      <c r="I80" s="2" t="s">
        <v>251</v>
      </c>
      <c r="J80" s="2">
        <v>785</v>
      </c>
      <c r="K80" s="30">
        <v>45081</v>
      </c>
      <c r="L80" s="30" t="s">
        <v>261</v>
      </c>
      <c r="M80" s="2" t="s">
        <v>24</v>
      </c>
      <c r="N80" s="2">
        <v>22717.26</v>
      </c>
      <c r="O80" s="2" t="s">
        <v>25</v>
      </c>
      <c r="P80" s="2" t="s">
        <v>26</v>
      </c>
      <c r="Q80" s="2" t="s">
        <v>42</v>
      </c>
      <c r="R80" s="2">
        <v>0</v>
      </c>
      <c r="S80" s="2">
        <v>897772.33</v>
      </c>
      <c r="T80" s="38" t="s">
        <v>2867</v>
      </c>
      <c r="AM80" s="3" t="s">
        <v>1040</v>
      </c>
      <c r="AN80" s="3" t="s">
        <v>1041</v>
      </c>
      <c r="AO80" s="3">
        <v>52</v>
      </c>
      <c r="AP80" s="3" t="s">
        <v>65</v>
      </c>
      <c r="AQ80" s="3">
        <v>246093</v>
      </c>
      <c r="AR80" s="3">
        <v>50000</v>
      </c>
      <c r="AS80" s="3">
        <v>12</v>
      </c>
      <c r="AT80" s="3">
        <v>21.72</v>
      </c>
      <c r="AU80" s="3" t="s">
        <v>38</v>
      </c>
      <c r="AV80" s="3">
        <v>405</v>
      </c>
      <c r="AW80" s="29">
        <v>44553</v>
      </c>
      <c r="AX80" s="29" t="s">
        <v>1042</v>
      </c>
      <c r="AY80" s="3" t="s">
        <v>33</v>
      </c>
      <c r="AZ80" s="3">
        <v>4672.9799999999996</v>
      </c>
      <c r="BA80" s="3" t="s">
        <v>54</v>
      </c>
      <c r="BB80" s="3" t="s">
        <v>183</v>
      </c>
      <c r="BC80" s="3" t="s">
        <v>100</v>
      </c>
      <c r="BD80" s="3">
        <v>11</v>
      </c>
      <c r="BE80" s="3">
        <v>33177.269999999997</v>
      </c>
    </row>
    <row r="81" spans="1:57" x14ac:dyDescent="0.3">
      <c r="A81" s="3" t="s">
        <v>1940</v>
      </c>
      <c r="B81" s="3" t="s">
        <v>1941</v>
      </c>
      <c r="C81" s="3">
        <v>54</v>
      </c>
      <c r="D81" s="3" t="s">
        <v>65</v>
      </c>
      <c r="E81" s="3">
        <v>147072</v>
      </c>
      <c r="F81" s="3">
        <v>1500000</v>
      </c>
      <c r="G81" s="3">
        <v>240</v>
      </c>
      <c r="H81" s="3">
        <v>11.25</v>
      </c>
      <c r="I81" s="3" t="s">
        <v>83</v>
      </c>
      <c r="J81" s="3">
        <v>603</v>
      </c>
      <c r="K81" s="29">
        <v>44655</v>
      </c>
      <c r="L81" s="29" t="s">
        <v>802</v>
      </c>
      <c r="M81" s="3" t="s">
        <v>122</v>
      </c>
      <c r="N81" s="3">
        <v>15738.84</v>
      </c>
      <c r="O81" s="3" t="s">
        <v>48</v>
      </c>
      <c r="P81" s="3" t="s">
        <v>375</v>
      </c>
      <c r="Q81" s="3" t="s">
        <v>42</v>
      </c>
      <c r="R81" s="3">
        <v>0</v>
      </c>
      <c r="S81" s="3">
        <v>890906.89</v>
      </c>
      <c r="T81" s="38" t="s">
        <v>2875</v>
      </c>
      <c r="AM81" s="3" t="s">
        <v>1888</v>
      </c>
      <c r="AN81" s="3" t="s">
        <v>1889</v>
      </c>
      <c r="AO81" s="3">
        <v>46</v>
      </c>
      <c r="AP81" s="3" t="s">
        <v>30</v>
      </c>
      <c r="AQ81" s="3">
        <v>119873</v>
      </c>
      <c r="AR81" s="3">
        <v>400000</v>
      </c>
      <c r="AS81" s="3">
        <v>24</v>
      </c>
      <c r="AT81" s="3">
        <v>21.2</v>
      </c>
      <c r="AU81" s="3" t="s">
        <v>73</v>
      </c>
      <c r="AV81" s="3">
        <v>446</v>
      </c>
      <c r="AW81" s="29">
        <v>44748</v>
      </c>
      <c r="AX81" s="29" t="s">
        <v>383</v>
      </c>
      <c r="AY81" s="3" t="s">
        <v>24</v>
      </c>
      <c r="AZ81" s="3">
        <v>20593.580000000002</v>
      </c>
      <c r="BA81" s="3" t="s">
        <v>54</v>
      </c>
      <c r="BB81" s="3" t="s">
        <v>55</v>
      </c>
      <c r="BC81" s="3" t="s">
        <v>100</v>
      </c>
      <c r="BD81" s="3">
        <v>1</v>
      </c>
      <c r="BE81" s="3">
        <v>29315.56</v>
      </c>
    </row>
    <row r="82" spans="1:57" x14ac:dyDescent="0.3">
      <c r="A82" s="2" t="s">
        <v>2541</v>
      </c>
      <c r="B82" s="2" t="s">
        <v>1752</v>
      </c>
      <c r="C82" s="2">
        <v>61</v>
      </c>
      <c r="D82" s="2" t="s">
        <v>45</v>
      </c>
      <c r="E82" s="2">
        <v>154090</v>
      </c>
      <c r="F82" s="2">
        <v>1500000</v>
      </c>
      <c r="G82" s="2">
        <v>12</v>
      </c>
      <c r="H82" s="2">
        <v>17.3</v>
      </c>
      <c r="I82" s="2" t="s">
        <v>22</v>
      </c>
      <c r="J82" s="2">
        <v>387</v>
      </c>
      <c r="K82" s="30">
        <v>44381</v>
      </c>
      <c r="L82" s="30" t="s">
        <v>1817</v>
      </c>
      <c r="M82" s="2" t="s">
        <v>24</v>
      </c>
      <c r="N82" s="2">
        <v>137020.76999999999</v>
      </c>
      <c r="O82" s="2" t="s">
        <v>25</v>
      </c>
      <c r="P82" s="2" t="s">
        <v>26</v>
      </c>
      <c r="Q82" s="2" t="s">
        <v>42</v>
      </c>
      <c r="R82" s="2">
        <v>0</v>
      </c>
      <c r="S82" s="2">
        <v>883406.54</v>
      </c>
      <c r="T82" s="38" t="s">
        <v>2879</v>
      </c>
      <c r="AM82" s="3" t="s">
        <v>2448</v>
      </c>
      <c r="AN82" s="3" t="s">
        <v>2449</v>
      </c>
      <c r="AO82" s="3">
        <v>57</v>
      </c>
      <c r="AP82" s="3" t="s">
        <v>21</v>
      </c>
      <c r="AQ82" s="3">
        <v>69723</v>
      </c>
      <c r="AR82" s="3">
        <v>1500000</v>
      </c>
      <c r="AS82" s="3">
        <v>24</v>
      </c>
      <c r="AT82" s="3">
        <v>8.36</v>
      </c>
      <c r="AU82" s="3" t="s">
        <v>73</v>
      </c>
      <c r="AV82" s="3">
        <v>443</v>
      </c>
      <c r="AW82" s="29">
        <v>44693</v>
      </c>
      <c r="AX82" s="29" t="s">
        <v>149</v>
      </c>
      <c r="AY82" s="3" t="s">
        <v>24</v>
      </c>
      <c r="AZ82" s="3">
        <v>68087.490000000005</v>
      </c>
      <c r="BA82" s="3" t="s">
        <v>105</v>
      </c>
      <c r="BB82" s="3" t="s">
        <v>118</v>
      </c>
      <c r="BC82" s="3" t="s">
        <v>100</v>
      </c>
      <c r="BD82" s="3">
        <v>2</v>
      </c>
      <c r="BE82" s="3">
        <v>29310.22</v>
      </c>
    </row>
    <row r="83" spans="1:57" x14ac:dyDescent="0.3">
      <c r="A83" s="2" t="s">
        <v>851</v>
      </c>
      <c r="B83" s="2" t="s">
        <v>852</v>
      </c>
      <c r="C83" s="2">
        <v>53</v>
      </c>
      <c r="D83" s="2" t="s">
        <v>21</v>
      </c>
      <c r="E83" s="2">
        <v>38890</v>
      </c>
      <c r="F83" s="2">
        <v>1000000</v>
      </c>
      <c r="G83" s="2">
        <v>240</v>
      </c>
      <c r="H83" s="2">
        <v>13.12</v>
      </c>
      <c r="I83" s="2" t="s">
        <v>38</v>
      </c>
      <c r="J83" s="2">
        <v>690</v>
      </c>
      <c r="K83" s="30">
        <v>44736</v>
      </c>
      <c r="L83" s="30" t="s">
        <v>854</v>
      </c>
      <c r="M83" s="2" t="s">
        <v>24</v>
      </c>
      <c r="N83" s="2">
        <v>11801.35</v>
      </c>
      <c r="O83" s="2" t="s">
        <v>48</v>
      </c>
      <c r="P83" s="2" t="s">
        <v>86</v>
      </c>
      <c r="Q83" s="2" t="s">
        <v>27</v>
      </c>
      <c r="R83" s="2">
        <v>1</v>
      </c>
      <c r="S83" s="2">
        <v>883166.64</v>
      </c>
      <c r="T83" s="38" t="s">
        <v>2871</v>
      </c>
      <c r="AM83" s="3" t="s">
        <v>732</v>
      </c>
      <c r="AN83" s="3" t="s">
        <v>512</v>
      </c>
      <c r="AO83" s="3">
        <v>37</v>
      </c>
      <c r="AP83" s="3" t="s">
        <v>65</v>
      </c>
      <c r="AQ83" s="3">
        <v>143308</v>
      </c>
      <c r="AR83" s="3">
        <v>100000</v>
      </c>
      <c r="AS83" s="3">
        <v>60</v>
      </c>
      <c r="AT83" s="3">
        <v>16.600000000000001</v>
      </c>
      <c r="AU83" s="3" t="s">
        <v>73</v>
      </c>
      <c r="AV83" s="3">
        <v>762</v>
      </c>
      <c r="AW83" s="29">
        <v>44766</v>
      </c>
      <c r="AX83" s="29" t="s">
        <v>734</v>
      </c>
      <c r="AY83" s="3" t="s">
        <v>33</v>
      </c>
      <c r="AZ83" s="3">
        <v>2463.8000000000002</v>
      </c>
      <c r="BA83" s="3" t="s">
        <v>25</v>
      </c>
      <c r="BB83" s="3" t="s">
        <v>26</v>
      </c>
      <c r="BC83" s="3" t="s">
        <v>100</v>
      </c>
      <c r="BD83" s="3">
        <v>6</v>
      </c>
      <c r="BE83" s="3">
        <v>29042.560000000001</v>
      </c>
    </row>
    <row r="84" spans="1:57" x14ac:dyDescent="0.3">
      <c r="A84" s="2" t="s">
        <v>939</v>
      </c>
      <c r="B84" s="2" t="s">
        <v>940</v>
      </c>
      <c r="C84" s="2">
        <v>44</v>
      </c>
      <c r="D84" s="2" t="s">
        <v>45</v>
      </c>
      <c r="E84" s="2">
        <v>22554</v>
      </c>
      <c r="F84" s="2">
        <v>1000000</v>
      </c>
      <c r="G84" s="2">
        <v>36</v>
      </c>
      <c r="H84" s="2">
        <v>14.5</v>
      </c>
      <c r="I84" s="2" t="s">
        <v>31</v>
      </c>
      <c r="J84" s="2">
        <v>415</v>
      </c>
      <c r="K84" s="30">
        <v>44732</v>
      </c>
      <c r="L84" s="30" t="s">
        <v>482</v>
      </c>
      <c r="M84" s="2" t="s">
        <v>24</v>
      </c>
      <c r="N84" s="2">
        <v>34420.980000000003</v>
      </c>
      <c r="O84" s="2" t="s">
        <v>60</v>
      </c>
      <c r="P84" s="2" t="s">
        <v>2997</v>
      </c>
      <c r="Q84" s="2" t="s">
        <v>100</v>
      </c>
      <c r="R84" s="2">
        <v>0</v>
      </c>
      <c r="S84" s="2">
        <v>876084.47</v>
      </c>
      <c r="T84" s="38" t="s">
        <v>2879</v>
      </c>
      <c r="AM84" s="2" t="s">
        <v>2662</v>
      </c>
      <c r="AN84" s="2" t="s">
        <v>2663</v>
      </c>
      <c r="AO84" s="2">
        <v>39</v>
      </c>
      <c r="AP84" s="2" t="s">
        <v>21</v>
      </c>
      <c r="AQ84" s="2">
        <v>171699</v>
      </c>
      <c r="AR84" s="2">
        <v>300000</v>
      </c>
      <c r="AS84" s="2">
        <v>48</v>
      </c>
      <c r="AT84" s="2">
        <v>18.64</v>
      </c>
      <c r="AU84" s="2" t="s">
        <v>251</v>
      </c>
      <c r="AV84" s="2">
        <v>602</v>
      </c>
      <c r="AW84" s="30">
        <v>44854</v>
      </c>
      <c r="AX84" s="30" t="s">
        <v>350</v>
      </c>
      <c r="AY84" s="2" t="s">
        <v>24</v>
      </c>
      <c r="AZ84" s="2">
        <v>8913.14</v>
      </c>
      <c r="BA84" s="2" t="s">
        <v>105</v>
      </c>
      <c r="BB84" s="2" t="s">
        <v>130</v>
      </c>
      <c r="BC84" s="2" t="s">
        <v>100</v>
      </c>
      <c r="BD84" s="2">
        <v>11</v>
      </c>
      <c r="BE84" s="2">
        <v>27257.919999999998</v>
      </c>
    </row>
    <row r="85" spans="1:57" x14ac:dyDescent="0.3">
      <c r="A85" s="2" t="s">
        <v>681</v>
      </c>
      <c r="B85" s="2" t="s">
        <v>682</v>
      </c>
      <c r="C85" s="2">
        <v>59</v>
      </c>
      <c r="D85" s="2" t="s">
        <v>45</v>
      </c>
      <c r="E85" s="2">
        <v>62166</v>
      </c>
      <c r="F85" s="2">
        <v>1000000</v>
      </c>
      <c r="G85" s="2">
        <v>240</v>
      </c>
      <c r="H85" s="2">
        <v>7.89</v>
      </c>
      <c r="I85" s="2" t="s">
        <v>31</v>
      </c>
      <c r="J85" s="2">
        <v>514</v>
      </c>
      <c r="K85" s="30">
        <v>45034</v>
      </c>
      <c r="L85" s="30" t="s">
        <v>683</v>
      </c>
      <c r="M85" s="2" t="s">
        <v>122</v>
      </c>
      <c r="N85" s="2">
        <v>8296.07</v>
      </c>
      <c r="O85" s="2" t="s">
        <v>60</v>
      </c>
      <c r="P85" s="2" t="s">
        <v>61</v>
      </c>
      <c r="Q85" s="2" t="s">
        <v>42</v>
      </c>
      <c r="R85" s="2">
        <v>2</v>
      </c>
      <c r="S85" s="2">
        <v>873070.13</v>
      </c>
      <c r="T85" s="38" t="s">
        <v>2879</v>
      </c>
      <c r="AM85" s="3" t="s">
        <v>2329</v>
      </c>
      <c r="AN85" s="3" t="s">
        <v>1869</v>
      </c>
      <c r="AO85" s="3">
        <v>46</v>
      </c>
      <c r="AP85" s="3" t="s">
        <v>45</v>
      </c>
      <c r="AQ85" s="3">
        <v>205159</v>
      </c>
      <c r="AR85" s="3">
        <v>75000</v>
      </c>
      <c r="AS85" s="3">
        <v>84</v>
      </c>
      <c r="AT85" s="3">
        <v>20.95</v>
      </c>
      <c r="AU85" s="3" t="s">
        <v>66</v>
      </c>
      <c r="AV85" s="3">
        <v>732</v>
      </c>
      <c r="AW85" s="29">
        <v>44359</v>
      </c>
      <c r="AX85" s="29" t="s">
        <v>743</v>
      </c>
      <c r="AY85" s="3" t="s">
        <v>24</v>
      </c>
      <c r="AZ85" s="3">
        <v>1708.63</v>
      </c>
      <c r="BA85" s="3" t="s">
        <v>60</v>
      </c>
      <c r="BB85" s="3" t="s">
        <v>172</v>
      </c>
      <c r="BC85" s="3" t="s">
        <v>100</v>
      </c>
      <c r="BD85" s="3">
        <v>2</v>
      </c>
      <c r="BE85" s="3">
        <v>25791.46</v>
      </c>
    </row>
    <row r="86" spans="1:57" x14ac:dyDescent="0.3">
      <c r="A86" s="3" t="s">
        <v>1377</v>
      </c>
      <c r="B86" s="3" t="s">
        <v>1378</v>
      </c>
      <c r="C86" s="3">
        <v>64</v>
      </c>
      <c r="D86" s="3" t="s">
        <v>30</v>
      </c>
      <c r="E86" s="3">
        <v>93347</v>
      </c>
      <c r="F86" s="3">
        <v>1500000</v>
      </c>
      <c r="G86" s="3">
        <v>120</v>
      </c>
      <c r="H86" s="3">
        <v>20.5</v>
      </c>
      <c r="I86" s="3" t="s">
        <v>38</v>
      </c>
      <c r="J86" s="3">
        <v>798</v>
      </c>
      <c r="K86" s="29">
        <v>44483</v>
      </c>
      <c r="L86" s="29" t="s">
        <v>677</v>
      </c>
      <c r="M86" s="3" t="s">
        <v>24</v>
      </c>
      <c r="N86" s="3">
        <v>29487.35</v>
      </c>
      <c r="O86" s="3" t="s">
        <v>25</v>
      </c>
      <c r="P86" s="3" t="s">
        <v>2998</v>
      </c>
      <c r="Q86" s="3" t="s">
        <v>42</v>
      </c>
      <c r="R86" s="3">
        <v>2</v>
      </c>
      <c r="S86" s="3">
        <v>863073.24</v>
      </c>
      <c r="T86" s="38" t="s">
        <v>2867</v>
      </c>
      <c r="AM86" s="2" t="s">
        <v>716</v>
      </c>
      <c r="AN86" s="2" t="s">
        <v>717</v>
      </c>
      <c r="AO86" s="2">
        <v>50</v>
      </c>
      <c r="AP86" s="2" t="s">
        <v>65</v>
      </c>
      <c r="AQ86" s="2">
        <v>58844</v>
      </c>
      <c r="AR86" s="2">
        <v>75000</v>
      </c>
      <c r="AS86" s="2">
        <v>12</v>
      </c>
      <c r="AT86" s="2">
        <v>19.04</v>
      </c>
      <c r="AU86" s="2" t="s">
        <v>83</v>
      </c>
      <c r="AV86" s="2">
        <v>599</v>
      </c>
      <c r="AW86" s="30">
        <v>44788</v>
      </c>
      <c r="AX86" s="30" t="s">
        <v>718</v>
      </c>
      <c r="AY86" s="2" t="s">
        <v>33</v>
      </c>
      <c r="AZ86" s="2">
        <v>6913.18</v>
      </c>
      <c r="BA86" s="2" t="s">
        <v>25</v>
      </c>
      <c r="BB86" s="2" t="s">
        <v>151</v>
      </c>
      <c r="BC86" s="2" t="s">
        <v>100</v>
      </c>
      <c r="BD86" s="2">
        <v>3</v>
      </c>
      <c r="BE86" s="2">
        <v>25225.1</v>
      </c>
    </row>
    <row r="87" spans="1:57" x14ac:dyDescent="0.3">
      <c r="A87" s="2" t="s">
        <v>2637</v>
      </c>
      <c r="B87" s="2" t="s">
        <v>2638</v>
      </c>
      <c r="C87" s="2">
        <v>27</v>
      </c>
      <c r="D87" s="2" t="s">
        <v>30</v>
      </c>
      <c r="E87" s="2">
        <v>204865</v>
      </c>
      <c r="F87" s="2">
        <v>1500000</v>
      </c>
      <c r="G87" s="2">
        <v>24</v>
      </c>
      <c r="H87" s="2">
        <v>14.09</v>
      </c>
      <c r="I87" s="2" t="s">
        <v>38</v>
      </c>
      <c r="J87" s="2">
        <v>547</v>
      </c>
      <c r="K87" s="30">
        <v>44831</v>
      </c>
      <c r="L87" s="30" t="s">
        <v>158</v>
      </c>
      <c r="M87" s="2" t="s">
        <v>24</v>
      </c>
      <c r="N87" s="2">
        <v>72083.12</v>
      </c>
      <c r="O87" s="2" t="s">
        <v>54</v>
      </c>
      <c r="P87" s="2" t="s">
        <v>164</v>
      </c>
      <c r="Q87" s="2" t="s">
        <v>35</v>
      </c>
      <c r="R87" s="2">
        <v>0</v>
      </c>
      <c r="S87" s="2">
        <v>851251.92</v>
      </c>
      <c r="T87" s="38" t="s">
        <v>2879</v>
      </c>
      <c r="AM87" s="3" t="s">
        <v>2368</v>
      </c>
      <c r="AN87" s="3" t="s">
        <v>2369</v>
      </c>
      <c r="AO87" s="3">
        <v>35</v>
      </c>
      <c r="AP87" s="3" t="s">
        <v>45</v>
      </c>
      <c r="AQ87" s="3">
        <v>94418</v>
      </c>
      <c r="AR87" s="3">
        <v>100000</v>
      </c>
      <c r="AS87" s="3">
        <v>12</v>
      </c>
      <c r="AT87" s="3">
        <v>11.26</v>
      </c>
      <c r="AU87" s="3" t="s">
        <v>73</v>
      </c>
      <c r="AV87" s="3">
        <v>788</v>
      </c>
      <c r="AW87" s="29">
        <v>44516</v>
      </c>
      <c r="AX87" s="29" t="s">
        <v>2370</v>
      </c>
      <c r="AY87" s="3" t="s">
        <v>24</v>
      </c>
      <c r="AZ87" s="3">
        <v>8850.2999999999993</v>
      </c>
      <c r="BA87" s="3" t="s">
        <v>54</v>
      </c>
      <c r="BB87" s="3" t="s">
        <v>55</v>
      </c>
      <c r="BC87" s="3" t="s">
        <v>100</v>
      </c>
      <c r="BD87" s="3">
        <v>5</v>
      </c>
      <c r="BE87" s="3">
        <v>20347.3</v>
      </c>
    </row>
    <row r="88" spans="1:57" x14ac:dyDescent="0.3">
      <c r="A88" s="2" t="s">
        <v>2526</v>
      </c>
      <c r="B88" s="2" t="s">
        <v>2527</v>
      </c>
      <c r="C88" s="2">
        <v>24</v>
      </c>
      <c r="D88" s="2" t="s">
        <v>30</v>
      </c>
      <c r="E88" s="2">
        <v>42208</v>
      </c>
      <c r="F88" s="2">
        <v>1000000</v>
      </c>
      <c r="G88" s="2">
        <v>48</v>
      </c>
      <c r="H88" s="2">
        <v>7.59</v>
      </c>
      <c r="I88" s="2" t="s">
        <v>46</v>
      </c>
      <c r="J88" s="2">
        <v>876</v>
      </c>
      <c r="K88" s="30">
        <v>44656</v>
      </c>
      <c r="L88" s="30" t="s">
        <v>1970</v>
      </c>
      <c r="M88" s="2" t="s">
        <v>24</v>
      </c>
      <c r="N88" s="2">
        <v>24220.93</v>
      </c>
      <c r="O88" s="2" t="s">
        <v>25</v>
      </c>
      <c r="P88" s="2" t="s">
        <v>2998</v>
      </c>
      <c r="Q88" s="2" t="s">
        <v>42</v>
      </c>
      <c r="R88" s="2">
        <v>2</v>
      </c>
      <c r="S88" s="2">
        <v>847408.14</v>
      </c>
      <c r="T88" s="38" t="s">
        <v>2867</v>
      </c>
      <c r="U88" s="13"/>
      <c r="AM88" s="3" t="s">
        <v>2689</v>
      </c>
      <c r="AN88" s="3" t="s">
        <v>128</v>
      </c>
      <c r="AO88" s="3">
        <v>32</v>
      </c>
      <c r="AP88" s="3" t="s">
        <v>45</v>
      </c>
      <c r="AQ88" s="3">
        <v>212791</v>
      </c>
      <c r="AR88" s="3">
        <v>50000</v>
      </c>
      <c r="AS88" s="3">
        <v>24</v>
      </c>
      <c r="AT88" s="3">
        <v>21.75</v>
      </c>
      <c r="AU88" s="3" t="s">
        <v>251</v>
      </c>
      <c r="AV88" s="3">
        <v>300</v>
      </c>
      <c r="AW88" s="29">
        <v>45005</v>
      </c>
      <c r="AX88" s="29" t="s">
        <v>1118</v>
      </c>
      <c r="AY88" s="3" t="s">
        <v>33</v>
      </c>
      <c r="AZ88" s="3">
        <v>2587.7399999999998</v>
      </c>
      <c r="BA88" s="3" t="s">
        <v>48</v>
      </c>
      <c r="BB88" s="3" t="s">
        <v>80</v>
      </c>
      <c r="BC88" s="3" t="s">
        <v>100</v>
      </c>
      <c r="BD88" s="3">
        <v>8</v>
      </c>
      <c r="BE88" s="3">
        <v>15065.51</v>
      </c>
    </row>
    <row r="89" spans="1:57" x14ac:dyDescent="0.3">
      <c r="A89" s="3" t="s">
        <v>420</v>
      </c>
      <c r="B89" s="3" t="s">
        <v>421</v>
      </c>
      <c r="C89" s="3">
        <v>43</v>
      </c>
      <c r="D89" s="3" t="s">
        <v>72</v>
      </c>
      <c r="E89" s="3">
        <v>167761</v>
      </c>
      <c r="F89" s="3">
        <v>1000000</v>
      </c>
      <c r="G89" s="3">
        <v>36</v>
      </c>
      <c r="H89" s="3">
        <v>20.79</v>
      </c>
      <c r="I89" s="3" t="s">
        <v>66</v>
      </c>
      <c r="J89" s="3" t="s">
        <v>2882</v>
      </c>
      <c r="K89" s="29">
        <v>44831</v>
      </c>
      <c r="L89" s="29" t="s">
        <v>158</v>
      </c>
      <c r="M89" s="3" t="s">
        <v>24</v>
      </c>
      <c r="N89" s="3">
        <v>37567.33</v>
      </c>
      <c r="O89" s="3" t="s">
        <v>105</v>
      </c>
      <c r="P89" s="3" t="s">
        <v>2999</v>
      </c>
      <c r="Q89" s="3" t="s">
        <v>35</v>
      </c>
      <c r="R89" s="3">
        <v>11</v>
      </c>
      <c r="S89" s="3">
        <v>830947.02</v>
      </c>
      <c r="T89" s="38" t="s">
        <v>2883</v>
      </c>
      <c r="AM89" s="2" t="s">
        <v>2208</v>
      </c>
      <c r="AN89" s="2" t="s">
        <v>2209</v>
      </c>
      <c r="AO89" s="2">
        <v>52</v>
      </c>
      <c r="AP89" s="2" t="s">
        <v>30</v>
      </c>
      <c r="AQ89" s="2">
        <v>207267</v>
      </c>
      <c r="AR89" s="2">
        <v>100000</v>
      </c>
      <c r="AS89" s="2">
        <v>240</v>
      </c>
      <c r="AT89" s="2">
        <v>8.7100000000000009</v>
      </c>
      <c r="AU89" s="2" t="s">
        <v>46</v>
      </c>
      <c r="AV89" s="2">
        <v>678</v>
      </c>
      <c r="AW89" s="30">
        <v>44558</v>
      </c>
      <c r="AX89" s="30" t="s">
        <v>1069</v>
      </c>
      <c r="AY89" s="2" t="s">
        <v>24</v>
      </c>
      <c r="AZ89" s="2">
        <v>881.16</v>
      </c>
      <c r="BA89" s="2" t="s">
        <v>60</v>
      </c>
      <c r="BB89" s="2" t="s">
        <v>76</v>
      </c>
      <c r="BC89" s="2" t="s">
        <v>100</v>
      </c>
      <c r="BD89" s="2">
        <v>5</v>
      </c>
      <c r="BE89" s="2">
        <v>11179.07</v>
      </c>
    </row>
    <row r="90" spans="1:57" x14ac:dyDescent="0.3">
      <c r="A90" s="3" t="s">
        <v>745</v>
      </c>
      <c r="B90" s="3" t="s">
        <v>746</v>
      </c>
      <c r="C90" s="3">
        <v>27</v>
      </c>
      <c r="D90" s="3" t="s">
        <v>21</v>
      </c>
      <c r="E90" s="3">
        <v>189196</v>
      </c>
      <c r="F90" s="3">
        <v>1000000</v>
      </c>
      <c r="G90" s="3">
        <v>36</v>
      </c>
      <c r="H90" s="3">
        <v>8.25</v>
      </c>
      <c r="I90" s="3" t="s">
        <v>66</v>
      </c>
      <c r="J90" s="3">
        <v>539</v>
      </c>
      <c r="K90" s="29">
        <v>44199</v>
      </c>
      <c r="L90" s="29" t="s">
        <v>186</v>
      </c>
      <c r="M90" s="3" t="s">
        <v>24</v>
      </c>
      <c r="N90" s="3">
        <v>31451.82</v>
      </c>
      <c r="O90" s="3" t="s">
        <v>60</v>
      </c>
      <c r="P90" s="3" t="s">
        <v>172</v>
      </c>
      <c r="Q90" s="3" t="s">
        <v>42</v>
      </c>
      <c r="R90" s="3">
        <v>2</v>
      </c>
      <c r="S90" s="3">
        <v>830160.17</v>
      </c>
      <c r="T90" s="38" t="s">
        <v>2879</v>
      </c>
      <c r="AM90" s="2" t="s">
        <v>95</v>
      </c>
      <c r="AN90" s="2" t="s">
        <v>96</v>
      </c>
      <c r="AO90" s="2">
        <v>50</v>
      </c>
      <c r="AP90" s="2" t="s">
        <v>45</v>
      </c>
      <c r="AQ90" s="2">
        <v>133354</v>
      </c>
      <c r="AR90" s="2">
        <v>75000</v>
      </c>
      <c r="AS90" s="2">
        <v>48</v>
      </c>
      <c r="AT90" s="2">
        <v>10.76</v>
      </c>
      <c r="AU90" s="2" t="s">
        <v>38</v>
      </c>
      <c r="AV90" s="2">
        <v>321</v>
      </c>
      <c r="AW90" s="30">
        <v>44648</v>
      </c>
      <c r="AX90" s="30" t="s">
        <v>98</v>
      </c>
      <c r="AY90" s="2" t="s">
        <v>24</v>
      </c>
      <c r="AZ90" s="2">
        <v>1929.68</v>
      </c>
      <c r="BA90" s="2" t="s">
        <v>54</v>
      </c>
      <c r="BB90" s="2" t="s">
        <v>99</v>
      </c>
      <c r="BC90" s="2" t="s">
        <v>100</v>
      </c>
      <c r="BD90" s="2">
        <v>3</v>
      </c>
      <c r="BE90" s="2">
        <v>10741.66</v>
      </c>
    </row>
    <row r="91" spans="1:57" x14ac:dyDescent="0.3">
      <c r="A91" s="3" t="s">
        <v>1502</v>
      </c>
      <c r="B91" s="3" t="s">
        <v>1503</v>
      </c>
      <c r="C91" s="3">
        <v>56</v>
      </c>
      <c r="D91" s="3" t="s">
        <v>45</v>
      </c>
      <c r="E91" s="3">
        <v>19632</v>
      </c>
      <c r="F91" s="3">
        <v>2000000</v>
      </c>
      <c r="G91" s="3">
        <v>12</v>
      </c>
      <c r="H91" s="3">
        <v>21.87</v>
      </c>
      <c r="I91" s="3" t="s">
        <v>22</v>
      </c>
      <c r="J91" s="3">
        <v>692</v>
      </c>
      <c r="K91" s="29">
        <v>45138</v>
      </c>
      <c r="L91" s="29" t="s">
        <v>1259</v>
      </c>
      <c r="M91" s="3" t="s">
        <v>24</v>
      </c>
      <c r="N91" s="3">
        <v>187063.65</v>
      </c>
      <c r="O91" s="3" t="s">
        <v>60</v>
      </c>
      <c r="P91" s="3" t="s">
        <v>61</v>
      </c>
      <c r="Q91" s="3" t="s">
        <v>42</v>
      </c>
      <c r="R91" s="3">
        <v>1</v>
      </c>
      <c r="S91" s="3">
        <v>821499</v>
      </c>
      <c r="T91" s="38" t="s">
        <v>2871</v>
      </c>
      <c r="AM91" s="2" t="s">
        <v>2234</v>
      </c>
      <c r="AN91" s="2" t="s">
        <v>2235</v>
      </c>
      <c r="AO91" s="2">
        <v>30</v>
      </c>
      <c r="AP91" s="2" t="s">
        <v>45</v>
      </c>
      <c r="AQ91" s="2">
        <v>156496</v>
      </c>
      <c r="AR91" s="2">
        <v>50000</v>
      </c>
      <c r="AS91" s="2">
        <v>12</v>
      </c>
      <c r="AT91" s="2">
        <v>19.13</v>
      </c>
      <c r="AU91" s="2" t="s">
        <v>22</v>
      </c>
      <c r="AV91" s="2">
        <v>641</v>
      </c>
      <c r="AW91" s="30">
        <v>44297</v>
      </c>
      <c r="AX91" s="30" t="s">
        <v>2019</v>
      </c>
      <c r="AY91" s="2" t="s">
        <v>33</v>
      </c>
      <c r="AZ91" s="2">
        <v>4610.93</v>
      </c>
      <c r="BA91" s="2" t="s">
        <v>48</v>
      </c>
      <c r="BB91" s="2" t="s">
        <v>375</v>
      </c>
      <c r="BC91" s="2" t="s">
        <v>100</v>
      </c>
      <c r="BD91" s="2">
        <v>1</v>
      </c>
      <c r="BE91" s="2">
        <v>8501.6299999999992</v>
      </c>
    </row>
    <row r="92" spans="1:57" x14ac:dyDescent="0.3">
      <c r="A92" s="2" t="s">
        <v>511</v>
      </c>
      <c r="B92" s="2" t="s">
        <v>512</v>
      </c>
      <c r="C92" s="2">
        <v>44</v>
      </c>
      <c r="D92" s="2" t="s">
        <v>65</v>
      </c>
      <c r="E92" s="2">
        <v>49279</v>
      </c>
      <c r="F92" s="2">
        <v>2000000</v>
      </c>
      <c r="G92" s="2">
        <v>84</v>
      </c>
      <c r="H92" s="2">
        <v>14.97</v>
      </c>
      <c r="I92" s="2" t="s">
        <v>22</v>
      </c>
      <c r="J92" s="2">
        <v>626</v>
      </c>
      <c r="K92" s="30">
        <v>45117</v>
      </c>
      <c r="L92" s="30" t="s">
        <v>513</v>
      </c>
      <c r="M92" s="2" t="s">
        <v>24</v>
      </c>
      <c r="N92" s="2">
        <v>38559.85</v>
      </c>
      <c r="O92" s="2" t="s">
        <v>105</v>
      </c>
      <c r="P92" s="2" t="s">
        <v>118</v>
      </c>
      <c r="Q92" s="2" t="s">
        <v>62</v>
      </c>
      <c r="R92" s="2">
        <v>0</v>
      </c>
      <c r="S92" s="2">
        <v>820068.59</v>
      </c>
      <c r="T92" s="38" t="s">
        <v>2875</v>
      </c>
      <c r="AM92" s="3" t="s">
        <v>2844</v>
      </c>
      <c r="AN92" s="3" t="s">
        <v>2845</v>
      </c>
      <c r="AO92" s="3">
        <v>34</v>
      </c>
      <c r="AP92" s="3" t="s">
        <v>72</v>
      </c>
      <c r="AQ92" s="3">
        <v>151382</v>
      </c>
      <c r="AR92" s="3">
        <v>150000</v>
      </c>
      <c r="AS92" s="3">
        <v>84</v>
      </c>
      <c r="AT92" s="3">
        <v>13.16</v>
      </c>
      <c r="AU92" s="3" t="s">
        <v>22</v>
      </c>
      <c r="AV92" s="3">
        <v>327</v>
      </c>
      <c r="AW92" s="29">
        <v>44345</v>
      </c>
      <c r="AX92" s="29" t="s">
        <v>2846</v>
      </c>
      <c r="AY92" s="3" t="s">
        <v>24</v>
      </c>
      <c r="AZ92" s="3">
        <v>2741.86</v>
      </c>
      <c r="BA92" s="3" t="s">
        <v>60</v>
      </c>
      <c r="BB92" s="3" t="s">
        <v>192</v>
      </c>
      <c r="BC92" s="3" t="s">
        <v>100</v>
      </c>
      <c r="BD92" s="3">
        <v>10</v>
      </c>
      <c r="BE92" s="3">
        <v>6874.91</v>
      </c>
    </row>
    <row r="93" spans="1:57" x14ac:dyDescent="0.3">
      <c r="A93" s="2" t="s">
        <v>895</v>
      </c>
      <c r="B93" s="2" t="s">
        <v>896</v>
      </c>
      <c r="C93" s="2">
        <v>46</v>
      </c>
      <c r="D93" s="2" t="s">
        <v>72</v>
      </c>
      <c r="E93" s="2">
        <v>167836</v>
      </c>
      <c r="F93" s="2">
        <v>1500000</v>
      </c>
      <c r="G93" s="2">
        <v>48</v>
      </c>
      <c r="H93" s="2">
        <v>12.48</v>
      </c>
      <c r="I93" s="2" t="s">
        <v>83</v>
      </c>
      <c r="J93" s="2">
        <v>847</v>
      </c>
      <c r="K93" s="30">
        <v>44545</v>
      </c>
      <c r="L93" s="30" t="s">
        <v>403</v>
      </c>
      <c r="M93" s="2" t="s">
        <v>24</v>
      </c>
      <c r="N93" s="2">
        <v>39855.19</v>
      </c>
      <c r="O93" s="2" t="s">
        <v>60</v>
      </c>
      <c r="P93" s="2" t="s">
        <v>61</v>
      </c>
      <c r="Q93" s="2" t="s">
        <v>100</v>
      </c>
      <c r="R93" s="2">
        <v>8</v>
      </c>
      <c r="S93" s="2">
        <v>818476.25</v>
      </c>
      <c r="T93" s="38" t="s">
        <v>2867</v>
      </c>
      <c r="AM93" s="2" t="s">
        <v>784</v>
      </c>
      <c r="AN93" s="2" t="s">
        <v>785</v>
      </c>
      <c r="AO93" s="2">
        <v>56</v>
      </c>
      <c r="AP93" s="2" t="s">
        <v>30</v>
      </c>
      <c r="AQ93" s="2">
        <v>54470</v>
      </c>
      <c r="AR93" s="2">
        <v>50000</v>
      </c>
      <c r="AS93" s="2">
        <v>120</v>
      </c>
      <c r="AT93" s="2">
        <v>7.85</v>
      </c>
      <c r="AU93" s="2" t="s">
        <v>38</v>
      </c>
      <c r="AV93" s="2">
        <v>309</v>
      </c>
      <c r="AW93" s="30">
        <v>44967</v>
      </c>
      <c r="AX93" s="30" t="s">
        <v>175</v>
      </c>
      <c r="AY93" s="2" t="s">
        <v>24</v>
      </c>
      <c r="AZ93" s="2">
        <v>602.67999999999995</v>
      </c>
      <c r="BA93" s="2" t="s">
        <v>48</v>
      </c>
      <c r="BB93" s="2" t="s">
        <v>49</v>
      </c>
      <c r="BC93" s="2" t="s">
        <v>100</v>
      </c>
      <c r="BD93" s="2">
        <v>12</v>
      </c>
      <c r="BE93" s="2">
        <v>4437.3900000000003</v>
      </c>
    </row>
    <row r="94" spans="1:57" x14ac:dyDescent="0.3">
      <c r="A94" s="3" t="s">
        <v>1693</v>
      </c>
      <c r="B94" s="3" t="s">
        <v>1694</v>
      </c>
      <c r="C94" s="3">
        <v>41</v>
      </c>
      <c r="D94" s="3" t="s">
        <v>72</v>
      </c>
      <c r="E94" s="3">
        <v>118626</v>
      </c>
      <c r="F94" s="3">
        <v>1500000</v>
      </c>
      <c r="G94" s="3">
        <v>24</v>
      </c>
      <c r="H94" s="3">
        <v>19.54</v>
      </c>
      <c r="I94" s="3" t="s">
        <v>66</v>
      </c>
      <c r="J94" s="3" t="s">
        <v>2882</v>
      </c>
      <c r="K94" s="29">
        <v>44898</v>
      </c>
      <c r="L94" s="29" t="s">
        <v>1695</v>
      </c>
      <c r="M94" s="3" t="s">
        <v>33</v>
      </c>
      <c r="N94" s="3">
        <v>76007.05</v>
      </c>
      <c r="O94" s="3" t="s">
        <v>105</v>
      </c>
      <c r="P94" s="3" t="s">
        <v>2999</v>
      </c>
      <c r="Q94" s="3" t="s">
        <v>35</v>
      </c>
      <c r="R94" s="3">
        <v>8</v>
      </c>
      <c r="S94" s="3">
        <v>815936.55</v>
      </c>
      <c r="T94" s="38" t="s">
        <v>2883</v>
      </c>
      <c r="AM94" s="2" t="s">
        <v>1821</v>
      </c>
      <c r="AN94" s="2" t="s">
        <v>1822</v>
      </c>
      <c r="AO94" s="2">
        <v>34</v>
      </c>
      <c r="AP94" s="2" t="s">
        <v>30</v>
      </c>
      <c r="AQ94" s="2">
        <v>64709</v>
      </c>
      <c r="AR94" s="2">
        <v>50000</v>
      </c>
      <c r="AS94" s="2">
        <v>12</v>
      </c>
      <c r="AT94" s="2">
        <v>19.989999999999998</v>
      </c>
      <c r="AU94" s="2" t="s">
        <v>38</v>
      </c>
      <c r="AV94" s="2">
        <v>803</v>
      </c>
      <c r="AW94" s="30">
        <v>44961</v>
      </c>
      <c r="AX94" s="30" t="s">
        <v>1240</v>
      </c>
      <c r="AY94" s="2" t="s">
        <v>24</v>
      </c>
      <c r="AZ94" s="2">
        <v>4631.49</v>
      </c>
      <c r="BA94" s="2" t="s">
        <v>60</v>
      </c>
      <c r="BB94" s="2" t="s">
        <v>76</v>
      </c>
      <c r="BC94" s="2" t="s">
        <v>100</v>
      </c>
      <c r="BD94" s="2">
        <v>6</v>
      </c>
      <c r="BE94" s="2">
        <v>4148.25</v>
      </c>
    </row>
    <row r="95" spans="1:57" x14ac:dyDescent="0.3">
      <c r="A95" s="2" t="s">
        <v>2507</v>
      </c>
      <c r="B95" s="2" t="s">
        <v>2508</v>
      </c>
      <c r="C95" s="2">
        <v>56</v>
      </c>
      <c r="D95" s="2" t="s">
        <v>72</v>
      </c>
      <c r="E95" s="2">
        <v>230940</v>
      </c>
      <c r="F95" s="2">
        <v>1000000</v>
      </c>
      <c r="G95" s="2">
        <v>120</v>
      </c>
      <c r="H95" s="2">
        <v>18.21</v>
      </c>
      <c r="I95" s="2" t="s">
        <v>251</v>
      </c>
      <c r="J95" s="2">
        <v>820</v>
      </c>
      <c r="K95" s="30">
        <v>45133</v>
      </c>
      <c r="L95" s="30" t="s">
        <v>2509</v>
      </c>
      <c r="M95" s="2" t="s">
        <v>24</v>
      </c>
      <c r="N95" s="2">
        <v>18153.939999999999</v>
      </c>
      <c r="O95" s="2" t="s">
        <v>48</v>
      </c>
      <c r="P95" s="2" t="s">
        <v>49</v>
      </c>
      <c r="Q95" s="2" t="s">
        <v>35</v>
      </c>
      <c r="R95" s="2">
        <v>3</v>
      </c>
      <c r="S95" s="2">
        <v>803937.45</v>
      </c>
      <c r="T95" s="38" t="s">
        <v>2867</v>
      </c>
      <c r="AM95" s="3" t="s">
        <v>2544</v>
      </c>
      <c r="AN95" s="3" t="s">
        <v>2545</v>
      </c>
      <c r="AO95" s="3">
        <v>64</v>
      </c>
      <c r="AP95" s="3" t="s">
        <v>30</v>
      </c>
      <c r="AQ95" s="3">
        <v>131628</v>
      </c>
      <c r="AR95" s="3">
        <v>75000</v>
      </c>
      <c r="AS95" s="3">
        <v>12</v>
      </c>
      <c r="AT95" s="3">
        <v>9.4700000000000006</v>
      </c>
      <c r="AU95" s="3" t="s">
        <v>73</v>
      </c>
      <c r="AV95" s="3">
        <v>784</v>
      </c>
      <c r="AW95" s="29">
        <v>44237</v>
      </c>
      <c r="AX95" s="29" t="s">
        <v>1312</v>
      </c>
      <c r="AY95" s="3" t="s">
        <v>24</v>
      </c>
      <c r="AZ95" s="3">
        <v>6575.22</v>
      </c>
      <c r="BA95" s="3" t="s">
        <v>60</v>
      </c>
      <c r="BB95" s="3" t="s">
        <v>76</v>
      </c>
      <c r="BC95" s="3" t="s">
        <v>100</v>
      </c>
      <c r="BD95" s="3">
        <v>2</v>
      </c>
      <c r="BE95" s="3">
        <v>3987.62</v>
      </c>
    </row>
    <row r="96" spans="1:57" x14ac:dyDescent="0.3">
      <c r="A96" s="2" t="s">
        <v>1551</v>
      </c>
      <c r="B96" s="2" t="s">
        <v>1366</v>
      </c>
      <c r="C96" s="2">
        <v>62</v>
      </c>
      <c r="D96" s="2" t="s">
        <v>65</v>
      </c>
      <c r="E96" s="2">
        <v>222360</v>
      </c>
      <c r="F96" s="2">
        <v>1000000</v>
      </c>
      <c r="G96" s="2">
        <v>36</v>
      </c>
      <c r="H96" s="2">
        <v>7.54</v>
      </c>
      <c r="I96" s="2" t="s">
        <v>83</v>
      </c>
      <c r="J96" s="2">
        <v>612</v>
      </c>
      <c r="K96" s="30">
        <v>44520</v>
      </c>
      <c r="L96" s="30" t="s">
        <v>1552</v>
      </c>
      <c r="M96" s="2" t="s">
        <v>24</v>
      </c>
      <c r="N96" s="2">
        <v>31124.59</v>
      </c>
      <c r="O96" s="2" t="s">
        <v>48</v>
      </c>
      <c r="P96" s="2" t="s">
        <v>375</v>
      </c>
      <c r="Q96" s="2" t="s">
        <v>100</v>
      </c>
      <c r="R96" s="2">
        <v>1</v>
      </c>
      <c r="S96" s="2">
        <v>803915.08</v>
      </c>
      <c r="T96" s="38" t="s">
        <v>2875</v>
      </c>
      <c r="AM96" s="3" t="s">
        <v>119</v>
      </c>
      <c r="AN96" s="3" t="s">
        <v>120</v>
      </c>
      <c r="AO96" s="3">
        <v>49</v>
      </c>
      <c r="AP96" s="3" t="s">
        <v>45</v>
      </c>
      <c r="AQ96" s="3">
        <v>188505</v>
      </c>
      <c r="AR96" s="3">
        <v>1500000</v>
      </c>
      <c r="AS96" s="3">
        <v>180</v>
      </c>
      <c r="AT96" s="3">
        <v>9.74</v>
      </c>
      <c r="AU96" s="3" t="s">
        <v>66</v>
      </c>
      <c r="AV96" s="3">
        <v>522</v>
      </c>
      <c r="AW96" s="29">
        <v>44321</v>
      </c>
      <c r="AX96" s="29" t="s">
        <v>121</v>
      </c>
      <c r="AY96" s="3" t="s">
        <v>122</v>
      </c>
      <c r="AZ96" s="3">
        <v>15881.33</v>
      </c>
      <c r="BA96" s="3" t="s">
        <v>25</v>
      </c>
      <c r="BB96" s="3" t="s">
        <v>123</v>
      </c>
      <c r="BC96" s="3" t="s">
        <v>100</v>
      </c>
      <c r="BD96" s="3">
        <v>11</v>
      </c>
      <c r="BE96" s="3">
        <v>0</v>
      </c>
    </row>
    <row r="97" spans="1:57" x14ac:dyDescent="0.3">
      <c r="A97" s="2" t="s">
        <v>2253</v>
      </c>
      <c r="B97" s="2" t="s">
        <v>2254</v>
      </c>
      <c r="C97" s="2">
        <v>61</v>
      </c>
      <c r="D97" s="2" t="s">
        <v>65</v>
      </c>
      <c r="E97" s="2">
        <v>152207</v>
      </c>
      <c r="F97" s="2">
        <v>1500000</v>
      </c>
      <c r="G97" s="2">
        <v>48</v>
      </c>
      <c r="H97" s="2">
        <v>8.35</v>
      </c>
      <c r="I97" s="2" t="s">
        <v>31</v>
      </c>
      <c r="J97" s="2">
        <v>558</v>
      </c>
      <c r="K97" s="30">
        <v>44505</v>
      </c>
      <c r="L97" s="30" t="s">
        <v>766</v>
      </c>
      <c r="M97" s="2" t="s">
        <v>24</v>
      </c>
      <c r="N97" s="2">
        <v>36866.32</v>
      </c>
      <c r="O97" s="2" t="s">
        <v>60</v>
      </c>
      <c r="P97" s="2" t="s">
        <v>61</v>
      </c>
      <c r="Q97" s="2" t="s">
        <v>100</v>
      </c>
      <c r="R97" s="2">
        <v>11</v>
      </c>
      <c r="S97" s="2">
        <v>803226.55</v>
      </c>
      <c r="T97" s="38" t="s">
        <v>2875</v>
      </c>
      <c r="AM97" s="2" t="s">
        <v>195</v>
      </c>
      <c r="AN97" s="2" t="s">
        <v>196</v>
      </c>
      <c r="AO97" s="2">
        <v>55</v>
      </c>
      <c r="AP97" s="2" t="s">
        <v>65</v>
      </c>
      <c r="AQ97" s="2">
        <v>179298</v>
      </c>
      <c r="AR97" s="2">
        <v>150000</v>
      </c>
      <c r="AS97" s="2">
        <v>60</v>
      </c>
      <c r="AT97" s="2">
        <v>13.88</v>
      </c>
      <c r="AU97" s="2" t="s">
        <v>66</v>
      </c>
      <c r="AV97" s="2">
        <v>540</v>
      </c>
      <c r="AW97" s="30">
        <v>44362</v>
      </c>
      <c r="AX97" s="30" t="s">
        <v>198</v>
      </c>
      <c r="AY97" s="2" t="s">
        <v>24</v>
      </c>
      <c r="AZ97" s="2">
        <v>3480.91</v>
      </c>
      <c r="BA97" s="2" t="s">
        <v>48</v>
      </c>
      <c r="BB97" s="2" t="s">
        <v>199</v>
      </c>
      <c r="BC97" s="2" t="s">
        <v>100</v>
      </c>
      <c r="BD97" s="2">
        <v>5</v>
      </c>
      <c r="BE97" s="2">
        <v>0</v>
      </c>
    </row>
    <row r="98" spans="1:57" x14ac:dyDescent="0.3">
      <c r="A98" s="2" t="s">
        <v>232</v>
      </c>
      <c r="B98" s="2" t="s">
        <v>233</v>
      </c>
      <c r="C98" s="2">
        <v>39</v>
      </c>
      <c r="D98" s="2" t="s">
        <v>65</v>
      </c>
      <c r="E98" s="2">
        <v>78927</v>
      </c>
      <c r="F98" s="2">
        <v>2000000</v>
      </c>
      <c r="G98" s="2">
        <v>180</v>
      </c>
      <c r="H98" s="2">
        <v>15.76</v>
      </c>
      <c r="I98" s="2" t="s">
        <v>73</v>
      </c>
      <c r="J98" s="2">
        <v>644</v>
      </c>
      <c r="K98" s="30">
        <v>45195</v>
      </c>
      <c r="L98" s="30" t="s">
        <v>235</v>
      </c>
      <c r="M98" s="2" t="s">
        <v>33</v>
      </c>
      <c r="N98" s="2">
        <v>29040.04</v>
      </c>
      <c r="O98" s="2" t="s">
        <v>25</v>
      </c>
      <c r="P98" s="2" t="s">
        <v>2998</v>
      </c>
      <c r="Q98" s="2" t="s">
        <v>35</v>
      </c>
      <c r="R98" s="2">
        <v>5</v>
      </c>
      <c r="S98" s="2">
        <v>797742.34</v>
      </c>
      <c r="T98" s="38" t="s">
        <v>2875</v>
      </c>
      <c r="AM98" s="2" t="s">
        <v>339</v>
      </c>
      <c r="AN98" s="2" t="s">
        <v>140</v>
      </c>
      <c r="AO98" s="2">
        <v>48</v>
      </c>
      <c r="AP98" s="2" t="s">
        <v>72</v>
      </c>
      <c r="AQ98" s="2">
        <v>233547</v>
      </c>
      <c r="AR98" s="2">
        <v>400000</v>
      </c>
      <c r="AS98" s="2">
        <v>120</v>
      </c>
      <c r="AT98" s="2">
        <v>21.12</v>
      </c>
      <c r="AU98" s="2" t="s">
        <v>66</v>
      </c>
      <c r="AV98" s="2">
        <v>333</v>
      </c>
      <c r="AW98" s="30">
        <v>44680</v>
      </c>
      <c r="AX98" s="30" t="s">
        <v>341</v>
      </c>
      <c r="AY98" s="2" t="s">
        <v>24</v>
      </c>
      <c r="AZ98" s="2">
        <v>8029.55</v>
      </c>
      <c r="BA98" s="2" t="s">
        <v>48</v>
      </c>
      <c r="BB98" s="2" t="s">
        <v>86</v>
      </c>
      <c r="BC98" s="2" t="s">
        <v>100</v>
      </c>
      <c r="BD98" s="2">
        <v>7</v>
      </c>
      <c r="BE98" s="2">
        <v>0</v>
      </c>
    </row>
    <row r="99" spans="1:57" x14ac:dyDescent="0.3">
      <c r="A99" s="3" t="s">
        <v>2784</v>
      </c>
      <c r="B99" s="3" t="s">
        <v>1694</v>
      </c>
      <c r="C99" s="3">
        <v>28</v>
      </c>
      <c r="D99" s="3" t="s">
        <v>45</v>
      </c>
      <c r="E99" s="3">
        <v>130679</v>
      </c>
      <c r="F99" s="3">
        <v>1500000</v>
      </c>
      <c r="G99" s="3">
        <v>36</v>
      </c>
      <c r="H99" s="3">
        <v>10.7</v>
      </c>
      <c r="I99" s="3" t="s">
        <v>83</v>
      </c>
      <c r="J99" s="3">
        <v>523</v>
      </c>
      <c r="K99" s="29">
        <v>44220</v>
      </c>
      <c r="L99" s="29" t="s">
        <v>647</v>
      </c>
      <c r="M99" s="3" t="s">
        <v>24</v>
      </c>
      <c r="N99" s="3">
        <v>48895.25</v>
      </c>
      <c r="O99" s="3" t="s">
        <v>48</v>
      </c>
      <c r="P99" s="3" t="s">
        <v>49</v>
      </c>
      <c r="Q99" s="3" t="s">
        <v>35</v>
      </c>
      <c r="R99" s="3">
        <v>0</v>
      </c>
      <c r="S99" s="3">
        <v>795908.4</v>
      </c>
      <c r="T99" s="38" t="s">
        <v>2879</v>
      </c>
      <c r="AM99" s="2" t="s">
        <v>351</v>
      </c>
      <c r="AN99" s="2" t="s">
        <v>352</v>
      </c>
      <c r="AO99" s="2">
        <v>25</v>
      </c>
      <c r="AP99" s="2" t="s">
        <v>30</v>
      </c>
      <c r="AQ99" s="2">
        <v>209436</v>
      </c>
      <c r="AR99" s="2">
        <v>300000</v>
      </c>
      <c r="AS99" s="2">
        <v>240</v>
      </c>
      <c r="AT99" s="2">
        <v>9.15</v>
      </c>
      <c r="AU99" s="2" t="s">
        <v>22</v>
      </c>
      <c r="AV99" s="2">
        <v>787</v>
      </c>
      <c r="AW99" s="30">
        <v>44420</v>
      </c>
      <c r="AX99" s="30" t="s">
        <v>353</v>
      </c>
      <c r="AY99" s="2" t="s">
        <v>24</v>
      </c>
      <c r="AZ99" s="2">
        <v>2728.19</v>
      </c>
      <c r="BA99" s="2" t="s">
        <v>60</v>
      </c>
      <c r="BB99" s="2" t="s">
        <v>61</v>
      </c>
      <c r="BC99" s="2" t="s">
        <v>100</v>
      </c>
      <c r="BD99" s="2">
        <v>8</v>
      </c>
      <c r="BE99" s="2">
        <v>0</v>
      </c>
    </row>
    <row r="100" spans="1:57" x14ac:dyDescent="0.3">
      <c r="A100" s="2" t="s">
        <v>156</v>
      </c>
      <c r="B100" s="2" t="s">
        <v>157</v>
      </c>
      <c r="C100" s="2">
        <v>39</v>
      </c>
      <c r="D100" s="2" t="s">
        <v>30</v>
      </c>
      <c r="E100" s="2">
        <v>221405</v>
      </c>
      <c r="F100" s="2">
        <v>1500000</v>
      </c>
      <c r="G100" s="2">
        <v>24</v>
      </c>
      <c r="H100" s="2">
        <v>13.05</v>
      </c>
      <c r="I100" s="2" t="s">
        <v>46</v>
      </c>
      <c r="J100" s="2">
        <v>781</v>
      </c>
      <c r="K100" s="30">
        <v>44822</v>
      </c>
      <c r="L100" s="30" t="s">
        <v>158</v>
      </c>
      <c r="M100" s="2" t="s">
        <v>122</v>
      </c>
      <c r="N100" s="2">
        <v>71347.97</v>
      </c>
      <c r="O100" s="2" t="s">
        <v>105</v>
      </c>
      <c r="P100" s="2" t="s">
        <v>159</v>
      </c>
      <c r="Q100" s="2" t="s">
        <v>27</v>
      </c>
      <c r="R100" s="2">
        <v>1</v>
      </c>
      <c r="S100" s="2">
        <v>793655.1</v>
      </c>
      <c r="T100" s="38" t="s">
        <v>2867</v>
      </c>
      <c r="AM100" s="2" t="s">
        <v>434</v>
      </c>
      <c r="AN100" s="2" t="s">
        <v>435</v>
      </c>
      <c r="AO100" s="2">
        <v>45</v>
      </c>
      <c r="AP100" s="2" t="s">
        <v>45</v>
      </c>
      <c r="AQ100" s="2">
        <v>41893</v>
      </c>
      <c r="AR100" s="2">
        <v>1500000</v>
      </c>
      <c r="AS100" s="2">
        <v>240</v>
      </c>
      <c r="AT100" s="2">
        <v>19.84</v>
      </c>
      <c r="AU100" s="2" t="s">
        <v>66</v>
      </c>
      <c r="AV100" s="2">
        <v>385</v>
      </c>
      <c r="AW100" s="30">
        <v>45248</v>
      </c>
      <c r="AX100" s="30" t="s">
        <v>437</v>
      </c>
      <c r="AY100" s="2"/>
      <c r="AZ100" s="2">
        <v>25294.12</v>
      </c>
      <c r="BA100" s="2" t="s">
        <v>105</v>
      </c>
      <c r="BB100" s="2" t="s">
        <v>130</v>
      </c>
      <c r="BC100" s="2" t="s">
        <v>100</v>
      </c>
      <c r="BD100" s="2">
        <v>7</v>
      </c>
      <c r="BE100" s="2">
        <v>0</v>
      </c>
    </row>
    <row r="101" spans="1:57" x14ac:dyDescent="0.3">
      <c r="A101" s="3" t="s">
        <v>1962</v>
      </c>
      <c r="B101" s="3" t="s">
        <v>1963</v>
      </c>
      <c r="C101" s="3">
        <v>63</v>
      </c>
      <c r="D101" s="3" t="s">
        <v>21</v>
      </c>
      <c r="E101" s="3">
        <v>74214</v>
      </c>
      <c r="F101" s="3">
        <v>1000000</v>
      </c>
      <c r="G101" s="3">
        <v>120</v>
      </c>
      <c r="H101" s="3">
        <v>17.46</v>
      </c>
      <c r="I101" s="3" t="s">
        <v>22</v>
      </c>
      <c r="J101" s="3">
        <v>803</v>
      </c>
      <c r="K101" s="29">
        <v>44774</v>
      </c>
      <c r="L101" s="29" t="s">
        <v>374</v>
      </c>
      <c r="M101" s="3" t="s">
        <v>24</v>
      </c>
      <c r="N101" s="3">
        <v>17672.330000000002</v>
      </c>
      <c r="O101" s="3" t="s">
        <v>105</v>
      </c>
      <c r="P101" s="3" t="s">
        <v>114</v>
      </c>
      <c r="Q101" s="3" t="s">
        <v>35</v>
      </c>
      <c r="R101" s="3">
        <v>3</v>
      </c>
      <c r="S101" s="3">
        <v>793233.74</v>
      </c>
      <c r="T101" s="38" t="s">
        <v>2867</v>
      </c>
      <c r="AM101" s="3" t="s">
        <v>543</v>
      </c>
      <c r="AN101" s="3" t="s">
        <v>544</v>
      </c>
      <c r="AO101" s="3">
        <v>48</v>
      </c>
      <c r="AP101" s="3" t="s">
        <v>30</v>
      </c>
      <c r="AQ101" s="3">
        <v>122577</v>
      </c>
      <c r="AR101" s="3">
        <v>500000</v>
      </c>
      <c r="AS101" s="3">
        <v>180</v>
      </c>
      <c r="AT101" s="3">
        <v>20.16</v>
      </c>
      <c r="AU101" s="3" t="s">
        <v>46</v>
      </c>
      <c r="AV101" s="3">
        <v>441</v>
      </c>
      <c r="AW101" s="29">
        <v>45176</v>
      </c>
      <c r="AX101" s="29" t="s">
        <v>234</v>
      </c>
      <c r="AY101" s="3" t="s">
        <v>24</v>
      </c>
      <c r="AZ101" s="3">
        <v>8840.64</v>
      </c>
      <c r="BA101" s="3" t="s">
        <v>54</v>
      </c>
      <c r="BB101" s="3" t="s">
        <v>55</v>
      </c>
      <c r="BC101" s="3" t="s">
        <v>100</v>
      </c>
      <c r="BD101" s="3">
        <v>8</v>
      </c>
      <c r="BE101" s="3">
        <v>0</v>
      </c>
    </row>
    <row r="102" spans="1:57" x14ac:dyDescent="0.3">
      <c r="A102" s="2" t="s">
        <v>2143</v>
      </c>
      <c r="B102" s="2" t="s">
        <v>2144</v>
      </c>
      <c r="C102" s="2">
        <v>32</v>
      </c>
      <c r="D102" s="2" t="s">
        <v>30</v>
      </c>
      <c r="E102" s="2">
        <v>40307</v>
      </c>
      <c r="F102" s="2">
        <v>1000000</v>
      </c>
      <c r="G102" s="2">
        <v>24</v>
      </c>
      <c r="H102" s="2">
        <v>14.74</v>
      </c>
      <c r="I102" s="2" t="s">
        <v>31</v>
      </c>
      <c r="J102" s="2">
        <v>631</v>
      </c>
      <c r="K102" s="30">
        <v>44983</v>
      </c>
      <c r="L102" s="30" t="s">
        <v>2145</v>
      </c>
      <c r="M102" s="2" t="s">
        <v>24</v>
      </c>
      <c r="N102" s="2">
        <v>48363.21</v>
      </c>
      <c r="O102" s="2" t="s">
        <v>105</v>
      </c>
      <c r="P102" s="2" t="s">
        <v>159</v>
      </c>
      <c r="Q102" s="2" t="s">
        <v>35</v>
      </c>
      <c r="R102" s="2">
        <v>1</v>
      </c>
      <c r="S102" s="2">
        <v>782365.55</v>
      </c>
      <c r="T102" s="38" t="s">
        <v>2875</v>
      </c>
      <c r="U102" s="13"/>
      <c r="AM102" s="3" t="s">
        <v>626</v>
      </c>
      <c r="AN102" s="3" t="s">
        <v>627</v>
      </c>
      <c r="AO102" s="3">
        <v>23</v>
      </c>
      <c r="AP102" s="3" t="s">
        <v>21</v>
      </c>
      <c r="AQ102" s="3">
        <v>160047</v>
      </c>
      <c r="AR102" s="3">
        <v>750000</v>
      </c>
      <c r="AS102" s="3">
        <v>120</v>
      </c>
      <c r="AT102" s="3">
        <v>11.78</v>
      </c>
      <c r="AU102" s="3" t="s">
        <v>83</v>
      </c>
      <c r="AV102" s="3">
        <v>637</v>
      </c>
      <c r="AW102" s="29">
        <v>44700</v>
      </c>
      <c r="AX102" s="29" t="s">
        <v>628</v>
      </c>
      <c r="AY102" s="3" t="s">
        <v>24</v>
      </c>
      <c r="AZ102" s="3">
        <v>10665.15</v>
      </c>
      <c r="BA102" s="3" t="s">
        <v>105</v>
      </c>
      <c r="BB102" s="3" t="s">
        <v>118</v>
      </c>
      <c r="BC102" s="3" t="s">
        <v>100</v>
      </c>
      <c r="BD102" s="3">
        <v>9</v>
      </c>
      <c r="BE102" s="3">
        <v>0</v>
      </c>
    </row>
    <row r="103" spans="1:57" x14ac:dyDescent="0.3">
      <c r="A103" s="3" t="s">
        <v>2539</v>
      </c>
      <c r="B103" s="3" t="s">
        <v>2540</v>
      </c>
      <c r="C103" s="3">
        <v>58</v>
      </c>
      <c r="D103" s="3" t="s">
        <v>30</v>
      </c>
      <c r="E103" s="3">
        <v>86649</v>
      </c>
      <c r="F103" s="3">
        <v>1500000</v>
      </c>
      <c r="G103" s="3">
        <v>36</v>
      </c>
      <c r="H103" s="3">
        <v>16.8</v>
      </c>
      <c r="I103" s="3" t="s">
        <v>83</v>
      </c>
      <c r="J103" s="3">
        <v>454</v>
      </c>
      <c r="K103" s="29">
        <v>44464</v>
      </c>
      <c r="L103" s="29" t="s">
        <v>488</v>
      </c>
      <c r="M103" s="3" t="s">
        <v>24</v>
      </c>
      <c r="N103" s="3">
        <v>53329.91</v>
      </c>
      <c r="O103" s="3" t="s">
        <v>60</v>
      </c>
      <c r="P103" s="3" t="s">
        <v>61</v>
      </c>
      <c r="Q103" s="3" t="s">
        <v>42</v>
      </c>
      <c r="R103" s="3">
        <v>1</v>
      </c>
      <c r="S103" s="3">
        <v>780046.21</v>
      </c>
      <c r="T103" s="38" t="s">
        <v>2879</v>
      </c>
      <c r="U103" s="13"/>
      <c r="AM103" s="2" t="s">
        <v>722</v>
      </c>
      <c r="AN103" s="2" t="s">
        <v>723</v>
      </c>
      <c r="AO103" s="2">
        <v>41</v>
      </c>
      <c r="AP103" s="2" t="s">
        <v>72</v>
      </c>
      <c r="AQ103" s="2">
        <v>132894</v>
      </c>
      <c r="AR103" s="2">
        <v>200000</v>
      </c>
      <c r="AS103" s="2">
        <v>84</v>
      </c>
      <c r="AT103" s="2">
        <v>20</v>
      </c>
      <c r="AU103" s="2" t="s">
        <v>22</v>
      </c>
      <c r="AV103" s="2">
        <v>749</v>
      </c>
      <c r="AW103" s="30">
        <v>44915</v>
      </c>
      <c r="AX103" s="30" t="s">
        <v>725</v>
      </c>
      <c r="AY103" s="2" t="s">
        <v>24</v>
      </c>
      <c r="AZ103" s="2">
        <v>4441.24</v>
      </c>
      <c r="BA103" s="2" t="s">
        <v>25</v>
      </c>
      <c r="BB103" s="2" t="s">
        <v>34</v>
      </c>
      <c r="BC103" s="2" t="s">
        <v>100</v>
      </c>
      <c r="BD103" s="2">
        <v>3</v>
      </c>
      <c r="BE103" s="2">
        <v>0</v>
      </c>
    </row>
    <row r="104" spans="1:57" x14ac:dyDescent="0.3">
      <c r="A104" s="3" t="s">
        <v>2227</v>
      </c>
      <c r="B104" s="3" t="s">
        <v>2948</v>
      </c>
      <c r="C104" s="3">
        <v>42</v>
      </c>
      <c r="D104" s="3" t="s">
        <v>72</v>
      </c>
      <c r="E104" s="3">
        <v>106115</v>
      </c>
      <c r="F104" s="3">
        <v>1500000</v>
      </c>
      <c r="G104" s="3">
        <v>120</v>
      </c>
      <c r="H104" s="3">
        <v>17.72</v>
      </c>
      <c r="I104" s="3" t="s">
        <v>31</v>
      </c>
      <c r="J104" s="3">
        <v>800</v>
      </c>
      <c r="K104" s="29">
        <v>44256</v>
      </c>
      <c r="L104" s="29" t="s">
        <v>2229</v>
      </c>
      <c r="M104" s="3" t="s">
        <v>24</v>
      </c>
      <c r="N104" s="3">
        <v>26757.97</v>
      </c>
      <c r="O104" s="3" t="s">
        <v>54</v>
      </c>
      <c r="P104" s="3" t="s">
        <v>164</v>
      </c>
      <c r="Q104" s="3" t="s">
        <v>27</v>
      </c>
      <c r="R104" s="3">
        <v>2</v>
      </c>
      <c r="S104" s="3">
        <v>777534.81</v>
      </c>
      <c r="T104" s="38" t="s">
        <v>2867</v>
      </c>
      <c r="U104" s="13"/>
      <c r="AM104" s="2" t="s">
        <v>764</v>
      </c>
      <c r="AN104" s="2" t="s">
        <v>765</v>
      </c>
      <c r="AO104" s="2">
        <v>47</v>
      </c>
      <c r="AP104" s="2" t="s">
        <v>45</v>
      </c>
      <c r="AQ104" s="2">
        <v>90101</v>
      </c>
      <c r="AR104" s="2">
        <v>1000000</v>
      </c>
      <c r="AS104" s="2">
        <v>240</v>
      </c>
      <c r="AT104" s="2">
        <v>18.62</v>
      </c>
      <c r="AU104" s="2" t="s">
        <v>73</v>
      </c>
      <c r="AV104" s="2">
        <v>711</v>
      </c>
      <c r="AW104" s="30">
        <v>44509</v>
      </c>
      <c r="AX104" s="30" t="s">
        <v>264</v>
      </c>
      <c r="AY104" s="2" t="s">
        <v>33</v>
      </c>
      <c r="AZ104" s="2">
        <v>15911.88</v>
      </c>
      <c r="BA104" s="2" t="s">
        <v>25</v>
      </c>
      <c r="BB104" s="2" t="s">
        <v>123</v>
      </c>
      <c r="BC104" s="2" t="s">
        <v>100</v>
      </c>
      <c r="BD104" s="2">
        <v>8</v>
      </c>
      <c r="BE104" s="2">
        <v>0</v>
      </c>
    </row>
    <row r="105" spans="1:57" x14ac:dyDescent="0.3">
      <c r="A105" s="3" t="s">
        <v>215</v>
      </c>
      <c r="B105" s="3" t="s">
        <v>216</v>
      </c>
      <c r="C105" s="3">
        <v>27</v>
      </c>
      <c r="D105" s="3" t="s">
        <v>65</v>
      </c>
      <c r="E105" s="3">
        <v>20081</v>
      </c>
      <c r="F105" s="3">
        <v>1500000</v>
      </c>
      <c r="G105" s="3">
        <v>240</v>
      </c>
      <c r="H105" s="3">
        <v>8.26</v>
      </c>
      <c r="I105" s="3" t="s">
        <v>38</v>
      </c>
      <c r="J105" s="3">
        <v>529</v>
      </c>
      <c r="K105" s="29">
        <v>44605</v>
      </c>
      <c r="L105" s="29" t="s">
        <v>218</v>
      </c>
      <c r="M105" s="3" t="s">
        <v>24</v>
      </c>
      <c r="N105" s="3">
        <v>12790.4</v>
      </c>
      <c r="O105" s="3" t="s">
        <v>25</v>
      </c>
      <c r="P105" s="3" t="s">
        <v>26</v>
      </c>
      <c r="Q105" s="3" t="s">
        <v>42</v>
      </c>
      <c r="R105" s="3">
        <v>0</v>
      </c>
      <c r="S105" s="3">
        <v>774784.32</v>
      </c>
      <c r="T105" s="38" t="s">
        <v>2879</v>
      </c>
      <c r="U105" s="13"/>
      <c r="AM105" s="3" t="s">
        <v>776</v>
      </c>
      <c r="AN105" s="3" t="s">
        <v>777</v>
      </c>
      <c r="AO105" s="3">
        <v>24</v>
      </c>
      <c r="AP105" s="3" t="s">
        <v>72</v>
      </c>
      <c r="AQ105" s="3">
        <v>79107</v>
      </c>
      <c r="AR105" s="3">
        <v>50000</v>
      </c>
      <c r="AS105" s="3">
        <v>180</v>
      </c>
      <c r="AT105" s="3">
        <v>12.78</v>
      </c>
      <c r="AU105" s="3" t="s">
        <v>251</v>
      </c>
      <c r="AV105" s="3">
        <v>483</v>
      </c>
      <c r="AW105" s="29">
        <v>45055</v>
      </c>
      <c r="AX105" s="29" t="s">
        <v>313</v>
      </c>
      <c r="AY105" s="3" t="s">
        <v>24</v>
      </c>
      <c r="AZ105" s="3">
        <v>625.4</v>
      </c>
      <c r="BA105" s="3" t="s">
        <v>25</v>
      </c>
      <c r="BB105" s="3" t="s">
        <v>123</v>
      </c>
      <c r="BC105" s="3" t="s">
        <v>100</v>
      </c>
      <c r="BD105" s="3">
        <v>12</v>
      </c>
      <c r="BE105" s="3">
        <v>0</v>
      </c>
    </row>
    <row r="106" spans="1:57" ht="15.6" x14ac:dyDescent="0.3">
      <c r="A106" s="3" t="s">
        <v>554</v>
      </c>
      <c r="B106" s="3" t="s">
        <v>555</v>
      </c>
      <c r="C106" s="3">
        <v>30</v>
      </c>
      <c r="D106" s="3" t="s">
        <v>72</v>
      </c>
      <c r="E106" s="3">
        <v>176396</v>
      </c>
      <c r="F106" s="3">
        <v>1500000</v>
      </c>
      <c r="G106" s="3">
        <v>48</v>
      </c>
      <c r="H106" s="3">
        <v>11.02</v>
      </c>
      <c r="I106" s="3" t="s">
        <v>83</v>
      </c>
      <c r="J106" s="3">
        <v>538</v>
      </c>
      <c r="K106" s="29">
        <v>45164</v>
      </c>
      <c r="L106" s="29" t="s">
        <v>557</v>
      </c>
      <c r="M106" s="3" t="s">
        <v>24</v>
      </c>
      <c r="N106" s="3">
        <v>38782.85</v>
      </c>
      <c r="O106" s="3" t="s">
        <v>25</v>
      </c>
      <c r="P106" s="3" t="s">
        <v>26</v>
      </c>
      <c r="Q106" s="3" t="s">
        <v>35</v>
      </c>
      <c r="R106" s="3">
        <v>6</v>
      </c>
      <c r="S106" s="3">
        <v>767004.14</v>
      </c>
      <c r="T106" s="38" t="s">
        <v>2879</v>
      </c>
      <c r="U106" s="17" t="s">
        <v>3001</v>
      </c>
      <c r="AM106" s="2" t="s">
        <v>1086</v>
      </c>
      <c r="AN106" s="2" t="s">
        <v>166</v>
      </c>
      <c r="AO106" s="2">
        <v>56</v>
      </c>
      <c r="AP106" s="2" t="s">
        <v>45</v>
      </c>
      <c r="AQ106" s="2">
        <v>80573</v>
      </c>
      <c r="AR106" s="2">
        <v>1500000</v>
      </c>
      <c r="AS106" s="2">
        <v>180</v>
      </c>
      <c r="AT106" s="2">
        <v>21.51</v>
      </c>
      <c r="AU106" s="2" t="s">
        <v>31</v>
      </c>
      <c r="AV106" s="2">
        <v>549</v>
      </c>
      <c r="AW106" s="30">
        <v>44253</v>
      </c>
      <c r="AX106" s="30" t="s">
        <v>1087</v>
      </c>
      <c r="AY106" s="2" t="s">
        <v>24</v>
      </c>
      <c r="AZ106" s="2">
        <v>28032.54</v>
      </c>
      <c r="BA106" s="2" t="s">
        <v>48</v>
      </c>
      <c r="BB106" s="2" t="s">
        <v>80</v>
      </c>
      <c r="BC106" s="2" t="s">
        <v>100</v>
      </c>
      <c r="BD106" s="2">
        <v>10</v>
      </c>
      <c r="BE106" s="2">
        <v>0</v>
      </c>
    </row>
    <row r="107" spans="1:57" x14ac:dyDescent="0.3">
      <c r="A107" s="3" t="s">
        <v>2623</v>
      </c>
      <c r="B107" s="3" t="s">
        <v>2624</v>
      </c>
      <c r="C107" s="3">
        <v>60</v>
      </c>
      <c r="D107" s="3" t="s">
        <v>21</v>
      </c>
      <c r="E107" s="3">
        <v>156613</v>
      </c>
      <c r="F107" s="3">
        <v>1000000</v>
      </c>
      <c r="G107" s="3">
        <v>36</v>
      </c>
      <c r="H107" s="3">
        <v>19.84</v>
      </c>
      <c r="I107" s="3" t="s">
        <v>251</v>
      </c>
      <c r="J107" s="3">
        <v>510</v>
      </c>
      <c r="K107" s="29">
        <v>45223</v>
      </c>
      <c r="L107" s="29" t="s">
        <v>1183</v>
      </c>
      <c r="M107" s="3" t="s">
        <v>24</v>
      </c>
      <c r="N107" s="3">
        <v>37082.11</v>
      </c>
      <c r="O107" s="3" t="s">
        <v>60</v>
      </c>
      <c r="P107" s="3" t="s">
        <v>172</v>
      </c>
      <c r="Q107" s="3" t="s">
        <v>35</v>
      </c>
      <c r="R107" s="3">
        <v>6</v>
      </c>
      <c r="S107" s="3">
        <v>766382.71</v>
      </c>
      <c r="T107" s="38" t="s">
        <v>2879</v>
      </c>
      <c r="U107" s="13"/>
      <c r="AM107" s="3" t="s">
        <v>1189</v>
      </c>
      <c r="AN107" s="3" t="s">
        <v>1190</v>
      </c>
      <c r="AO107" s="3">
        <v>22</v>
      </c>
      <c r="AP107" s="3" t="s">
        <v>21</v>
      </c>
      <c r="AQ107" s="3">
        <v>73166</v>
      </c>
      <c r="AR107" s="3">
        <v>150000</v>
      </c>
      <c r="AS107" s="3">
        <v>84</v>
      </c>
      <c r="AT107" s="3">
        <v>7.81</v>
      </c>
      <c r="AU107" s="3" t="s">
        <v>66</v>
      </c>
      <c r="AV107" s="3">
        <v>866</v>
      </c>
      <c r="AW107" s="29">
        <v>44513</v>
      </c>
      <c r="AX107" s="29" t="s">
        <v>1191</v>
      </c>
      <c r="AY107" s="3" t="s">
        <v>24</v>
      </c>
      <c r="AZ107" s="3">
        <v>2323.7600000000002</v>
      </c>
      <c r="BA107" s="3" t="s">
        <v>54</v>
      </c>
      <c r="BB107" s="3" t="s">
        <v>99</v>
      </c>
      <c r="BC107" s="3" t="s">
        <v>100</v>
      </c>
      <c r="BD107" s="3">
        <v>9</v>
      </c>
      <c r="BE107" s="3">
        <v>0</v>
      </c>
    </row>
    <row r="108" spans="1:57" x14ac:dyDescent="0.3">
      <c r="A108" s="3" t="s">
        <v>2669</v>
      </c>
      <c r="B108" s="3" t="s">
        <v>189</v>
      </c>
      <c r="C108" s="3">
        <v>35</v>
      </c>
      <c r="D108" s="3" t="s">
        <v>72</v>
      </c>
      <c r="E108" s="3">
        <v>248651</v>
      </c>
      <c r="F108" s="3">
        <v>1000000</v>
      </c>
      <c r="G108" s="3">
        <v>12</v>
      </c>
      <c r="H108" s="3">
        <v>7.64</v>
      </c>
      <c r="I108" s="3" t="s">
        <v>38</v>
      </c>
      <c r="J108" s="3">
        <v>583</v>
      </c>
      <c r="K108" s="29">
        <v>44648</v>
      </c>
      <c r="L108" s="29" t="s">
        <v>931</v>
      </c>
      <c r="M108" s="3" t="s">
        <v>24</v>
      </c>
      <c r="N108" s="3">
        <v>86822.07</v>
      </c>
      <c r="O108" s="3" t="s">
        <v>48</v>
      </c>
      <c r="P108" s="3" t="s">
        <v>80</v>
      </c>
      <c r="Q108" s="3" t="s">
        <v>100</v>
      </c>
      <c r="R108" s="3">
        <v>3</v>
      </c>
      <c r="S108" s="3">
        <v>765580.41</v>
      </c>
      <c r="T108" s="38" t="s">
        <v>2875</v>
      </c>
      <c r="U108" s="13"/>
      <c r="AM108" s="3" t="s">
        <v>1293</v>
      </c>
      <c r="AN108" s="3" t="s">
        <v>1294</v>
      </c>
      <c r="AO108" s="3">
        <v>42</v>
      </c>
      <c r="AP108" s="3" t="s">
        <v>30</v>
      </c>
      <c r="AQ108" s="3">
        <v>216714</v>
      </c>
      <c r="AR108" s="3">
        <v>75000</v>
      </c>
      <c r="AS108" s="3">
        <v>240</v>
      </c>
      <c r="AT108" s="3">
        <v>17.309999999999999</v>
      </c>
      <c r="AU108" s="3" t="s">
        <v>251</v>
      </c>
      <c r="AV108" s="3">
        <v>510</v>
      </c>
      <c r="AW108" s="29">
        <v>45266</v>
      </c>
      <c r="AX108" s="29" t="s">
        <v>1295</v>
      </c>
      <c r="AY108" s="3" t="s">
        <v>122</v>
      </c>
      <c r="AZ108" s="3">
        <v>1117.82</v>
      </c>
      <c r="BA108" s="3" t="s">
        <v>25</v>
      </c>
      <c r="BB108" s="3" t="s">
        <v>41</v>
      </c>
      <c r="BC108" s="3" t="s">
        <v>100</v>
      </c>
      <c r="BD108" s="3">
        <v>6</v>
      </c>
      <c r="BE108" s="3">
        <v>0</v>
      </c>
    </row>
    <row r="109" spans="1:57" x14ac:dyDescent="0.3">
      <c r="A109" s="2" t="s">
        <v>2712</v>
      </c>
      <c r="B109" s="2" t="s">
        <v>2713</v>
      </c>
      <c r="C109" s="2">
        <v>53</v>
      </c>
      <c r="D109" s="2" t="s">
        <v>72</v>
      </c>
      <c r="E109" s="2">
        <v>223034</v>
      </c>
      <c r="F109" s="2">
        <v>2000000</v>
      </c>
      <c r="G109" s="2">
        <v>36</v>
      </c>
      <c r="H109" s="2">
        <v>21.88</v>
      </c>
      <c r="I109" s="2" t="s">
        <v>46</v>
      </c>
      <c r="J109" s="2">
        <v>782</v>
      </c>
      <c r="K109" s="30">
        <v>44948</v>
      </c>
      <c r="L109" s="30" t="s">
        <v>39</v>
      </c>
      <c r="M109" s="2" t="s">
        <v>24</v>
      </c>
      <c r="N109" s="2">
        <v>76256.800000000003</v>
      </c>
      <c r="O109" s="2" t="s">
        <v>105</v>
      </c>
      <c r="P109" s="2" t="s">
        <v>114</v>
      </c>
      <c r="Q109" s="2" t="s">
        <v>35</v>
      </c>
      <c r="R109" s="2">
        <v>2</v>
      </c>
      <c r="S109" s="2">
        <v>764639.84</v>
      </c>
      <c r="T109" s="38" t="s">
        <v>2867</v>
      </c>
      <c r="U109" s="13"/>
      <c r="AM109" s="3" t="s">
        <v>1451</v>
      </c>
      <c r="AN109" s="3" t="s">
        <v>1452</v>
      </c>
      <c r="AO109" s="3">
        <v>40</v>
      </c>
      <c r="AP109" s="3" t="s">
        <v>21</v>
      </c>
      <c r="AQ109" s="3">
        <v>107105</v>
      </c>
      <c r="AR109" s="3">
        <v>200000</v>
      </c>
      <c r="AS109" s="3">
        <v>180</v>
      </c>
      <c r="AT109" s="3">
        <v>20.18</v>
      </c>
      <c r="AU109" s="3" t="s">
        <v>22</v>
      </c>
      <c r="AV109" s="3">
        <v>520</v>
      </c>
      <c r="AW109" s="29">
        <v>44788</v>
      </c>
      <c r="AX109" s="29" t="s">
        <v>718</v>
      </c>
      <c r="AY109" s="3" t="s">
        <v>24</v>
      </c>
      <c r="AZ109" s="3">
        <v>3539.22</v>
      </c>
      <c r="BA109" s="3" t="s">
        <v>60</v>
      </c>
      <c r="BB109" s="3" t="s">
        <v>76</v>
      </c>
      <c r="BC109" s="3" t="s">
        <v>100</v>
      </c>
      <c r="BD109" s="3">
        <v>12</v>
      </c>
      <c r="BE109" s="3">
        <v>0</v>
      </c>
    </row>
    <row r="110" spans="1:57" x14ac:dyDescent="0.3">
      <c r="A110" s="2" t="s">
        <v>2406</v>
      </c>
      <c r="B110" s="2" t="s">
        <v>51</v>
      </c>
      <c r="C110" s="2">
        <v>43</v>
      </c>
      <c r="D110" s="2" t="s">
        <v>30</v>
      </c>
      <c r="E110" s="2">
        <v>192646</v>
      </c>
      <c r="F110" s="2">
        <v>1500000</v>
      </c>
      <c r="G110" s="2">
        <v>60</v>
      </c>
      <c r="H110" s="2">
        <v>11.2</v>
      </c>
      <c r="I110" s="2" t="s">
        <v>46</v>
      </c>
      <c r="J110" s="2">
        <v>443</v>
      </c>
      <c r="K110" s="30">
        <v>45193</v>
      </c>
      <c r="L110" s="30" t="s">
        <v>691</v>
      </c>
      <c r="M110" s="2" t="s">
        <v>33</v>
      </c>
      <c r="N110" s="2">
        <v>32763.45</v>
      </c>
      <c r="O110" s="2" t="s">
        <v>25</v>
      </c>
      <c r="P110" s="2" t="s">
        <v>2998</v>
      </c>
      <c r="Q110" s="2" t="s">
        <v>35</v>
      </c>
      <c r="R110" s="2">
        <v>6</v>
      </c>
      <c r="S110" s="2">
        <v>762822.38</v>
      </c>
      <c r="T110" s="38" t="s">
        <v>2879</v>
      </c>
      <c r="U110" s="13"/>
      <c r="AM110" s="2" t="s">
        <v>1567</v>
      </c>
      <c r="AN110" s="2" t="s">
        <v>1568</v>
      </c>
      <c r="AO110" s="2">
        <v>27</v>
      </c>
      <c r="AP110" s="2" t="s">
        <v>72</v>
      </c>
      <c r="AQ110" s="2">
        <v>137914</v>
      </c>
      <c r="AR110" s="2">
        <v>100000</v>
      </c>
      <c r="AS110" s="2">
        <v>84</v>
      </c>
      <c r="AT110" s="2">
        <v>21.63</v>
      </c>
      <c r="AU110" s="2" t="s">
        <v>73</v>
      </c>
      <c r="AV110" s="2">
        <v>517</v>
      </c>
      <c r="AW110" s="30">
        <v>44721</v>
      </c>
      <c r="AX110" s="30" t="s">
        <v>1570</v>
      </c>
      <c r="AY110" s="2" t="s">
        <v>24</v>
      </c>
      <c r="AZ110" s="2">
        <v>2319.8000000000002</v>
      </c>
      <c r="BA110" s="2" t="s">
        <v>60</v>
      </c>
      <c r="BB110" s="2" t="s">
        <v>76</v>
      </c>
      <c r="BC110" s="2" t="s">
        <v>100</v>
      </c>
      <c r="BD110" s="2">
        <v>11</v>
      </c>
      <c r="BE110" s="2">
        <v>0</v>
      </c>
    </row>
    <row r="111" spans="1:57" x14ac:dyDescent="0.3">
      <c r="A111" s="2" t="s">
        <v>2792</v>
      </c>
      <c r="B111" s="2" t="s">
        <v>2793</v>
      </c>
      <c r="C111" s="2">
        <v>45</v>
      </c>
      <c r="D111" s="2" t="s">
        <v>21</v>
      </c>
      <c r="E111" s="2">
        <v>233823</v>
      </c>
      <c r="F111" s="2">
        <v>1000000</v>
      </c>
      <c r="G111" s="2">
        <v>120</v>
      </c>
      <c r="H111" s="2">
        <v>9.73</v>
      </c>
      <c r="I111" s="2" t="s">
        <v>22</v>
      </c>
      <c r="J111" s="2">
        <v>462</v>
      </c>
      <c r="K111" s="30">
        <v>44964</v>
      </c>
      <c r="L111" s="30" t="s">
        <v>2794</v>
      </c>
      <c r="M111" s="2" t="s">
        <v>24</v>
      </c>
      <c r="N111" s="2">
        <v>13066.01</v>
      </c>
      <c r="O111" s="2" t="s">
        <v>60</v>
      </c>
      <c r="P111" s="2" t="s">
        <v>2997</v>
      </c>
      <c r="Q111" s="2" t="s">
        <v>42</v>
      </c>
      <c r="R111" s="2">
        <v>0</v>
      </c>
      <c r="S111" s="2">
        <v>753052.41</v>
      </c>
      <c r="T111" s="38" t="s">
        <v>2879</v>
      </c>
      <c r="U111" s="13"/>
      <c r="AM111" s="2" t="s">
        <v>1583</v>
      </c>
      <c r="AN111" s="2" t="s">
        <v>1584</v>
      </c>
      <c r="AO111" s="2">
        <v>35</v>
      </c>
      <c r="AP111" s="2" t="s">
        <v>21</v>
      </c>
      <c r="AQ111" s="2">
        <v>62357</v>
      </c>
      <c r="AR111" s="2">
        <v>100000</v>
      </c>
      <c r="AS111" s="2">
        <v>240</v>
      </c>
      <c r="AT111" s="2">
        <v>19.43</v>
      </c>
      <c r="AU111" s="2" t="s">
        <v>83</v>
      </c>
      <c r="AV111" s="2">
        <v>897</v>
      </c>
      <c r="AW111" s="30">
        <v>44566</v>
      </c>
      <c r="AX111" s="30" t="s">
        <v>1472</v>
      </c>
      <c r="AY111" s="2" t="s">
        <v>122</v>
      </c>
      <c r="AZ111" s="2">
        <v>1654.2</v>
      </c>
      <c r="BA111" s="2" t="s">
        <v>25</v>
      </c>
      <c r="BB111" s="2" t="s">
        <v>123</v>
      </c>
      <c r="BC111" s="2" t="s">
        <v>100</v>
      </c>
      <c r="BD111" s="2">
        <v>12</v>
      </c>
      <c r="BE111" s="2">
        <v>0</v>
      </c>
    </row>
    <row r="112" spans="1:57" x14ac:dyDescent="0.3">
      <c r="A112" s="2" t="s">
        <v>770</v>
      </c>
      <c r="B112" s="2" t="s">
        <v>233</v>
      </c>
      <c r="C112" s="2">
        <v>49</v>
      </c>
      <c r="D112" s="2" t="s">
        <v>72</v>
      </c>
      <c r="E112" s="2">
        <v>133848</v>
      </c>
      <c r="F112" s="2">
        <v>750000</v>
      </c>
      <c r="G112" s="2">
        <v>12</v>
      </c>
      <c r="H112" s="2">
        <v>11.98</v>
      </c>
      <c r="I112" s="2" t="s">
        <v>251</v>
      </c>
      <c r="J112" s="2">
        <v>422</v>
      </c>
      <c r="K112" s="30">
        <v>44532</v>
      </c>
      <c r="L112" s="30" t="s">
        <v>751</v>
      </c>
      <c r="M112" s="2" t="s">
        <v>24</v>
      </c>
      <c r="N112" s="2">
        <v>66629.570000000007</v>
      </c>
      <c r="O112" s="2" t="s">
        <v>25</v>
      </c>
      <c r="P112" s="2" t="s">
        <v>34</v>
      </c>
      <c r="Q112" s="2" t="s">
        <v>35</v>
      </c>
      <c r="R112" s="2">
        <v>11</v>
      </c>
      <c r="S112" s="2">
        <v>750000</v>
      </c>
      <c r="T112" s="38" t="s">
        <v>2879</v>
      </c>
      <c r="U112" s="13"/>
      <c r="AM112" s="3" t="s">
        <v>1698</v>
      </c>
      <c r="AN112" s="3" t="s">
        <v>1102</v>
      </c>
      <c r="AO112" s="3">
        <v>48</v>
      </c>
      <c r="AP112" s="3" t="s">
        <v>45</v>
      </c>
      <c r="AQ112" s="3">
        <v>249689</v>
      </c>
      <c r="AR112" s="3">
        <v>1500000</v>
      </c>
      <c r="AS112" s="3">
        <v>180</v>
      </c>
      <c r="AT112" s="3">
        <v>18.559999999999999</v>
      </c>
      <c r="AU112" s="3" t="s">
        <v>22</v>
      </c>
      <c r="AV112" s="3">
        <v>379</v>
      </c>
      <c r="AW112" s="29">
        <v>44449</v>
      </c>
      <c r="AX112" s="29" t="s">
        <v>1048</v>
      </c>
      <c r="AY112" s="3" t="s">
        <v>24</v>
      </c>
      <c r="AZ112" s="3">
        <v>24763.09</v>
      </c>
      <c r="BA112" s="3" t="s">
        <v>54</v>
      </c>
      <c r="BB112" s="3" t="s">
        <v>304</v>
      </c>
      <c r="BC112" s="3" t="s">
        <v>100</v>
      </c>
      <c r="BD112" s="3">
        <v>10</v>
      </c>
      <c r="BE112" s="3">
        <v>0</v>
      </c>
    </row>
    <row r="113" spans="1:57" x14ac:dyDescent="0.3">
      <c r="A113" s="3" t="s">
        <v>873</v>
      </c>
      <c r="B113" s="3" t="s">
        <v>464</v>
      </c>
      <c r="C113" s="3">
        <v>30</v>
      </c>
      <c r="D113" s="3" t="s">
        <v>45</v>
      </c>
      <c r="E113" s="3">
        <v>245511</v>
      </c>
      <c r="F113" s="3">
        <v>750000</v>
      </c>
      <c r="G113" s="3">
        <v>12</v>
      </c>
      <c r="H113" s="3">
        <v>10.02</v>
      </c>
      <c r="I113" s="3" t="s">
        <v>83</v>
      </c>
      <c r="J113" s="3">
        <v>359</v>
      </c>
      <c r="K113" s="29">
        <v>44935</v>
      </c>
      <c r="L113" s="29" t="s">
        <v>875</v>
      </c>
      <c r="M113" s="3" t="s">
        <v>24</v>
      </c>
      <c r="N113" s="3">
        <v>65943.89</v>
      </c>
      <c r="O113" s="3" t="s">
        <v>105</v>
      </c>
      <c r="P113" s="3" t="s">
        <v>114</v>
      </c>
      <c r="Q113" s="3" t="s">
        <v>100</v>
      </c>
      <c r="R113" s="3">
        <v>7</v>
      </c>
      <c r="S113" s="3">
        <v>750000</v>
      </c>
      <c r="T113" s="38" t="s">
        <v>2879</v>
      </c>
      <c r="U113" s="13"/>
      <c r="AM113" s="2" t="s">
        <v>1764</v>
      </c>
      <c r="AN113" s="2" t="s">
        <v>1765</v>
      </c>
      <c r="AO113" s="2">
        <v>26</v>
      </c>
      <c r="AP113" s="2" t="s">
        <v>45</v>
      </c>
      <c r="AQ113" s="2">
        <v>116301</v>
      </c>
      <c r="AR113" s="2">
        <v>150000</v>
      </c>
      <c r="AS113" s="2">
        <v>180</v>
      </c>
      <c r="AT113" s="2">
        <v>9.08</v>
      </c>
      <c r="AU113" s="2" t="s">
        <v>31</v>
      </c>
      <c r="AV113" s="2">
        <v>611</v>
      </c>
      <c r="AW113" s="30">
        <v>44560</v>
      </c>
      <c r="AX113" s="30" t="s">
        <v>808</v>
      </c>
      <c r="AY113" s="2" t="s">
        <v>24</v>
      </c>
      <c r="AZ113" s="2">
        <v>1528.55</v>
      </c>
      <c r="BA113" s="2" t="s">
        <v>25</v>
      </c>
      <c r="BB113" s="2" t="s">
        <v>34</v>
      </c>
      <c r="BC113" s="2" t="s">
        <v>100</v>
      </c>
      <c r="BD113" s="2">
        <v>1</v>
      </c>
      <c r="BE113" s="2">
        <v>0</v>
      </c>
    </row>
    <row r="114" spans="1:57" x14ac:dyDescent="0.3">
      <c r="A114" s="3" t="s">
        <v>2070</v>
      </c>
      <c r="B114" s="3" t="s">
        <v>2071</v>
      </c>
      <c r="C114" s="3">
        <v>59</v>
      </c>
      <c r="D114" s="3" t="s">
        <v>65</v>
      </c>
      <c r="E114" s="3">
        <v>76976</v>
      </c>
      <c r="F114" s="3">
        <v>750000</v>
      </c>
      <c r="G114" s="3">
        <v>12</v>
      </c>
      <c r="H114" s="3">
        <v>11.63</v>
      </c>
      <c r="I114" s="3" t="s">
        <v>46</v>
      </c>
      <c r="J114" s="3">
        <v>772</v>
      </c>
      <c r="K114" s="29">
        <v>45289</v>
      </c>
      <c r="L114" s="29" t="s">
        <v>2072</v>
      </c>
      <c r="M114" s="3" t="s">
        <v>24</v>
      </c>
      <c r="N114" s="3">
        <v>66506.84</v>
      </c>
      <c r="O114" s="3" t="s">
        <v>48</v>
      </c>
      <c r="P114" s="3" t="s">
        <v>86</v>
      </c>
      <c r="Q114" s="3" t="s">
        <v>42</v>
      </c>
      <c r="R114" s="3">
        <v>1</v>
      </c>
      <c r="S114" s="3">
        <v>750000</v>
      </c>
      <c r="T114" s="38" t="s">
        <v>2867</v>
      </c>
      <c r="U114" s="13"/>
      <c r="AM114" s="2" t="s">
        <v>1872</v>
      </c>
      <c r="AN114" s="2" t="s">
        <v>1873</v>
      </c>
      <c r="AO114" s="2">
        <v>51</v>
      </c>
      <c r="AP114" s="2" t="s">
        <v>65</v>
      </c>
      <c r="AQ114" s="2">
        <v>87146</v>
      </c>
      <c r="AR114" s="2">
        <v>1000000</v>
      </c>
      <c r="AS114" s="2">
        <v>180</v>
      </c>
      <c r="AT114" s="2">
        <v>12.83</v>
      </c>
      <c r="AU114" s="2" t="s">
        <v>22</v>
      </c>
      <c r="AV114" s="2">
        <v>419</v>
      </c>
      <c r="AW114" s="30">
        <v>45240</v>
      </c>
      <c r="AX114" s="30" t="s">
        <v>1874</v>
      </c>
      <c r="AY114" s="2" t="s">
        <v>24</v>
      </c>
      <c r="AZ114" s="2">
        <v>12540.77</v>
      </c>
      <c r="BA114" s="2" t="s">
        <v>25</v>
      </c>
      <c r="BB114" s="2" t="s">
        <v>26</v>
      </c>
      <c r="BC114" s="2" t="s">
        <v>100</v>
      </c>
      <c r="BD114" s="2">
        <v>7</v>
      </c>
      <c r="BE114" s="2">
        <v>0</v>
      </c>
    </row>
    <row r="115" spans="1:57" x14ac:dyDescent="0.3">
      <c r="A115" s="3" t="s">
        <v>2373</v>
      </c>
      <c r="B115" s="3" t="s">
        <v>2374</v>
      </c>
      <c r="C115" s="3">
        <v>36</v>
      </c>
      <c r="D115" s="3" t="s">
        <v>30</v>
      </c>
      <c r="E115" s="3">
        <v>87958</v>
      </c>
      <c r="F115" s="3">
        <v>750000</v>
      </c>
      <c r="G115" s="3">
        <v>24</v>
      </c>
      <c r="H115" s="3">
        <v>16.920000000000002</v>
      </c>
      <c r="I115" s="3" t="s">
        <v>38</v>
      </c>
      <c r="J115" s="3" t="s">
        <v>2882</v>
      </c>
      <c r="K115" s="29">
        <v>45270</v>
      </c>
      <c r="L115" s="29" t="s">
        <v>74</v>
      </c>
      <c r="M115" s="3" t="s">
        <v>24</v>
      </c>
      <c r="N115" s="3">
        <v>37052.870000000003</v>
      </c>
      <c r="O115" s="3" t="s">
        <v>60</v>
      </c>
      <c r="P115" s="3" t="s">
        <v>69</v>
      </c>
      <c r="Q115" s="3" t="s">
        <v>62</v>
      </c>
      <c r="R115" s="3">
        <v>2</v>
      </c>
      <c r="S115" s="3">
        <v>750000</v>
      </c>
      <c r="T115" s="38" t="s">
        <v>2883</v>
      </c>
      <c r="U115" s="13"/>
      <c r="AM115" s="2" t="s">
        <v>2077</v>
      </c>
      <c r="AN115" s="2" t="s">
        <v>1047</v>
      </c>
      <c r="AO115" s="2">
        <v>28</v>
      </c>
      <c r="AP115" s="2" t="s">
        <v>21</v>
      </c>
      <c r="AQ115" s="2">
        <v>240807</v>
      </c>
      <c r="AR115" s="2">
        <v>1500000</v>
      </c>
      <c r="AS115" s="2">
        <v>120</v>
      </c>
      <c r="AT115" s="2">
        <v>10.78</v>
      </c>
      <c r="AU115" s="2" t="s">
        <v>22</v>
      </c>
      <c r="AV115" s="2" t="s">
        <v>2882</v>
      </c>
      <c r="AW115" s="30">
        <v>44304</v>
      </c>
      <c r="AX115" s="30" t="s">
        <v>1009</v>
      </c>
      <c r="AY115" s="2" t="s">
        <v>24</v>
      </c>
      <c r="AZ115" s="2">
        <v>20476.150000000001</v>
      </c>
      <c r="BA115" s="2" t="s">
        <v>48</v>
      </c>
      <c r="BB115" s="2" t="s">
        <v>375</v>
      </c>
      <c r="BC115" s="2" t="s">
        <v>100</v>
      </c>
      <c r="BD115" s="2">
        <v>0</v>
      </c>
      <c r="BE115" s="2">
        <v>0</v>
      </c>
    </row>
    <row r="116" spans="1:57" x14ac:dyDescent="0.3">
      <c r="A116" s="2" t="s">
        <v>1376</v>
      </c>
      <c r="B116" s="2" t="s">
        <v>578</v>
      </c>
      <c r="C116" s="2">
        <v>47</v>
      </c>
      <c r="D116" s="2" t="s">
        <v>72</v>
      </c>
      <c r="E116" s="2">
        <v>180746</v>
      </c>
      <c r="F116" s="2">
        <v>1000000</v>
      </c>
      <c r="G116" s="2">
        <v>24</v>
      </c>
      <c r="H116" s="2">
        <v>12.8</v>
      </c>
      <c r="I116" s="2" t="s">
        <v>38</v>
      </c>
      <c r="J116" s="2">
        <v>382</v>
      </c>
      <c r="K116" s="30">
        <v>44558</v>
      </c>
      <c r="L116" s="30" t="s">
        <v>1221</v>
      </c>
      <c r="M116" s="2" t="s">
        <v>24</v>
      </c>
      <c r="N116" s="2">
        <v>47447.94</v>
      </c>
      <c r="O116" s="2" t="s">
        <v>60</v>
      </c>
      <c r="P116" s="2" t="s">
        <v>61</v>
      </c>
      <c r="Q116" s="2" t="s">
        <v>35</v>
      </c>
      <c r="R116" s="2">
        <v>10</v>
      </c>
      <c r="S116" s="2">
        <v>743781.12</v>
      </c>
      <c r="T116" s="38" t="s">
        <v>2879</v>
      </c>
      <c r="U116" s="13"/>
      <c r="AM116" s="3" t="s">
        <v>2169</v>
      </c>
      <c r="AN116" s="3" t="s">
        <v>1690</v>
      </c>
      <c r="AO116" s="3">
        <v>30</v>
      </c>
      <c r="AP116" s="3" t="s">
        <v>45</v>
      </c>
      <c r="AQ116" s="3">
        <v>75433</v>
      </c>
      <c r="AR116" s="3">
        <v>200000</v>
      </c>
      <c r="AS116" s="3">
        <v>240</v>
      </c>
      <c r="AT116" s="3">
        <v>10.56</v>
      </c>
      <c r="AU116" s="3" t="s">
        <v>38</v>
      </c>
      <c r="AV116" s="3">
        <v>445</v>
      </c>
      <c r="AW116" s="29">
        <v>45126</v>
      </c>
      <c r="AX116" s="29" t="s">
        <v>1307</v>
      </c>
      <c r="AY116" s="3" t="s">
        <v>24</v>
      </c>
      <c r="AZ116" s="3">
        <v>2004.83</v>
      </c>
      <c r="BA116" s="3" t="s">
        <v>25</v>
      </c>
      <c r="BB116" s="3" t="s">
        <v>34</v>
      </c>
      <c r="BC116" s="3" t="s">
        <v>100</v>
      </c>
      <c r="BD116" s="3">
        <v>11</v>
      </c>
      <c r="BE116" s="3">
        <v>0</v>
      </c>
    </row>
    <row r="117" spans="1:57" x14ac:dyDescent="0.3">
      <c r="A117" s="3" t="s">
        <v>1460</v>
      </c>
      <c r="B117" s="3" t="s">
        <v>1461</v>
      </c>
      <c r="C117" s="3">
        <v>48</v>
      </c>
      <c r="D117" s="3" t="s">
        <v>30</v>
      </c>
      <c r="E117" s="3">
        <v>143945</v>
      </c>
      <c r="F117" s="3">
        <v>1500000</v>
      </c>
      <c r="G117" s="3">
        <v>48</v>
      </c>
      <c r="H117" s="3">
        <v>7.91</v>
      </c>
      <c r="I117" s="3" t="s">
        <v>66</v>
      </c>
      <c r="J117" s="3">
        <v>804</v>
      </c>
      <c r="K117" s="29">
        <v>45181</v>
      </c>
      <c r="L117" s="29" t="s">
        <v>847</v>
      </c>
      <c r="M117" s="3" t="s">
        <v>24</v>
      </c>
      <c r="N117" s="3">
        <v>36556.050000000003</v>
      </c>
      <c r="O117" s="3" t="s">
        <v>25</v>
      </c>
      <c r="P117" s="3" t="s">
        <v>123</v>
      </c>
      <c r="Q117" s="3" t="s">
        <v>35</v>
      </c>
      <c r="R117" s="3">
        <v>11</v>
      </c>
      <c r="S117" s="3">
        <v>743289.77</v>
      </c>
      <c r="T117" s="38" t="s">
        <v>2867</v>
      </c>
      <c r="U117" s="13"/>
      <c r="AM117" s="3" t="s">
        <v>2478</v>
      </c>
      <c r="AN117" s="3" t="s">
        <v>2479</v>
      </c>
      <c r="AO117" s="3">
        <v>44</v>
      </c>
      <c r="AP117" s="3" t="s">
        <v>45</v>
      </c>
      <c r="AQ117" s="3">
        <v>230240</v>
      </c>
      <c r="AR117" s="3">
        <v>150000</v>
      </c>
      <c r="AS117" s="3">
        <v>180</v>
      </c>
      <c r="AT117" s="3">
        <v>11.4</v>
      </c>
      <c r="AU117" s="3" t="s">
        <v>46</v>
      </c>
      <c r="AV117" s="3">
        <v>771</v>
      </c>
      <c r="AW117" s="29">
        <v>45090</v>
      </c>
      <c r="AX117" s="29" t="s">
        <v>1717</v>
      </c>
      <c r="AY117" s="3" t="s">
        <v>24</v>
      </c>
      <c r="AZ117" s="3">
        <v>1742.76</v>
      </c>
      <c r="BA117" s="3" t="s">
        <v>54</v>
      </c>
      <c r="BB117" s="3" t="s">
        <v>164</v>
      </c>
      <c r="BC117" s="3" t="s">
        <v>100</v>
      </c>
      <c r="BD117" s="3">
        <v>7</v>
      </c>
      <c r="BE117" s="3">
        <v>0</v>
      </c>
    </row>
    <row r="118" spans="1:57" x14ac:dyDescent="0.3">
      <c r="A118" s="3" t="s">
        <v>1966</v>
      </c>
      <c r="B118" s="3" t="s">
        <v>1967</v>
      </c>
      <c r="C118" s="3">
        <v>53</v>
      </c>
      <c r="D118" s="3" t="s">
        <v>21</v>
      </c>
      <c r="E118" s="3">
        <v>84573</v>
      </c>
      <c r="F118" s="3">
        <v>2000000</v>
      </c>
      <c r="G118" s="3">
        <v>24</v>
      </c>
      <c r="H118" s="3">
        <v>18.940000000000001</v>
      </c>
      <c r="I118" s="3" t="s">
        <v>251</v>
      </c>
      <c r="J118" s="3">
        <v>450</v>
      </c>
      <c r="K118" s="29">
        <v>45176</v>
      </c>
      <c r="L118" s="29" t="s">
        <v>1457</v>
      </c>
      <c r="M118" s="3" t="s">
        <v>33</v>
      </c>
      <c r="N118" s="3">
        <v>100758.94</v>
      </c>
      <c r="O118" s="3" t="s">
        <v>48</v>
      </c>
      <c r="P118" s="3" t="s">
        <v>86</v>
      </c>
      <c r="Q118" s="3" t="s">
        <v>100</v>
      </c>
      <c r="R118" s="3">
        <v>6</v>
      </c>
      <c r="S118" s="3">
        <v>730437.36</v>
      </c>
      <c r="T118" s="38" t="s">
        <v>2879</v>
      </c>
      <c r="U118" s="13"/>
      <c r="AM118" s="3" t="s">
        <v>2501</v>
      </c>
      <c r="AN118" s="3" t="s">
        <v>2502</v>
      </c>
      <c r="AO118" s="3">
        <v>64</v>
      </c>
      <c r="AP118" s="3" t="s">
        <v>30</v>
      </c>
      <c r="AQ118" s="3">
        <v>153238</v>
      </c>
      <c r="AR118" s="3">
        <v>750000</v>
      </c>
      <c r="AS118" s="3">
        <v>240</v>
      </c>
      <c r="AT118" s="3">
        <v>15.06</v>
      </c>
      <c r="AU118" s="3" t="s">
        <v>83</v>
      </c>
      <c r="AV118" s="3">
        <v>589</v>
      </c>
      <c r="AW118" s="29">
        <v>44602</v>
      </c>
      <c r="AX118" s="29" t="s">
        <v>1559</v>
      </c>
      <c r="AY118" s="3" t="s">
        <v>24</v>
      </c>
      <c r="AZ118" s="3">
        <v>9909.19</v>
      </c>
      <c r="BA118" s="3" t="s">
        <v>48</v>
      </c>
      <c r="BB118" s="3" t="s">
        <v>86</v>
      </c>
      <c r="BC118" s="3" t="s">
        <v>100</v>
      </c>
      <c r="BD118" s="3">
        <v>7</v>
      </c>
      <c r="BE118" s="3">
        <v>0</v>
      </c>
    </row>
    <row r="119" spans="1:57" x14ac:dyDescent="0.3">
      <c r="A119" s="3" t="s">
        <v>2460</v>
      </c>
      <c r="B119" s="3" t="s">
        <v>1985</v>
      </c>
      <c r="C119" s="3">
        <v>64</v>
      </c>
      <c r="D119" s="3" t="s">
        <v>72</v>
      </c>
      <c r="E119" s="3">
        <v>71633</v>
      </c>
      <c r="F119" s="3">
        <v>750000</v>
      </c>
      <c r="G119" s="3">
        <v>36</v>
      </c>
      <c r="H119" s="3">
        <v>7.85</v>
      </c>
      <c r="I119" s="3" t="s">
        <v>38</v>
      </c>
      <c r="J119" s="3">
        <v>401</v>
      </c>
      <c r="K119" s="29">
        <v>45132</v>
      </c>
      <c r="L119" s="29" t="s">
        <v>2461</v>
      </c>
      <c r="M119" s="3" t="s">
        <v>24</v>
      </c>
      <c r="N119" s="3">
        <v>23450.41</v>
      </c>
      <c r="O119" s="3" t="s">
        <v>48</v>
      </c>
      <c r="P119" s="3" t="s">
        <v>80</v>
      </c>
      <c r="Q119" s="3" t="s">
        <v>35</v>
      </c>
      <c r="R119" s="3">
        <v>12</v>
      </c>
      <c r="S119" s="3">
        <v>728894.63</v>
      </c>
      <c r="T119" s="38" t="s">
        <v>2879</v>
      </c>
      <c r="U119" s="13"/>
      <c r="AM119" s="3" t="s">
        <v>2515</v>
      </c>
      <c r="AN119" s="3" t="s">
        <v>1456</v>
      </c>
      <c r="AO119" s="3">
        <v>48</v>
      </c>
      <c r="AP119" s="3" t="s">
        <v>65</v>
      </c>
      <c r="AQ119" s="3">
        <v>87898</v>
      </c>
      <c r="AR119" s="3">
        <v>150000</v>
      </c>
      <c r="AS119" s="3">
        <v>180</v>
      </c>
      <c r="AT119" s="3">
        <v>11.17</v>
      </c>
      <c r="AU119" s="3" t="s">
        <v>46</v>
      </c>
      <c r="AV119" s="3">
        <v>704</v>
      </c>
      <c r="AW119" s="29">
        <v>44653</v>
      </c>
      <c r="AX119" s="29" t="s">
        <v>2239</v>
      </c>
      <c r="AY119" s="3" t="s">
        <v>24</v>
      </c>
      <c r="AZ119" s="3">
        <v>1720.94</v>
      </c>
      <c r="BA119" s="3" t="s">
        <v>25</v>
      </c>
      <c r="BB119" s="3" t="s">
        <v>41</v>
      </c>
      <c r="BC119" s="3" t="s">
        <v>100</v>
      </c>
      <c r="BD119" s="3">
        <v>2</v>
      </c>
      <c r="BE119" s="3">
        <v>0</v>
      </c>
    </row>
    <row r="120" spans="1:57" x14ac:dyDescent="0.3">
      <c r="A120" s="2" t="s">
        <v>1981</v>
      </c>
      <c r="B120" s="2" t="s">
        <v>1982</v>
      </c>
      <c r="C120" s="2">
        <v>48</v>
      </c>
      <c r="D120" s="2" t="s">
        <v>21</v>
      </c>
      <c r="E120" s="2">
        <v>131385</v>
      </c>
      <c r="F120" s="2">
        <v>2000000</v>
      </c>
      <c r="G120" s="2">
        <v>12</v>
      </c>
      <c r="H120" s="2">
        <v>11.66</v>
      </c>
      <c r="I120" s="2" t="s">
        <v>251</v>
      </c>
      <c r="J120" s="2">
        <v>361</v>
      </c>
      <c r="K120" s="30">
        <v>44525</v>
      </c>
      <c r="L120" s="30" t="s">
        <v>1983</v>
      </c>
      <c r="M120" s="2" t="s">
        <v>24</v>
      </c>
      <c r="N120" s="2">
        <v>177379.62</v>
      </c>
      <c r="O120" s="2" t="s">
        <v>25</v>
      </c>
      <c r="P120" s="2" t="s">
        <v>123</v>
      </c>
      <c r="Q120" s="2" t="s">
        <v>42</v>
      </c>
      <c r="R120" s="2">
        <v>0</v>
      </c>
      <c r="S120" s="2">
        <v>722866.74</v>
      </c>
      <c r="T120" s="38" t="s">
        <v>2879</v>
      </c>
      <c r="U120" s="13"/>
      <c r="AM120" s="2" t="s">
        <v>2543</v>
      </c>
      <c r="AN120" s="2" t="s">
        <v>795</v>
      </c>
      <c r="AO120" s="2">
        <v>31</v>
      </c>
      <c r="AP120" s="2" t="s">
        <v>30</v>
      </c>
      <c r="AQ120" s="2">
        <v>123838</v>
      </c>
      <c r="AR120" s="2">
        <v>75000</v>
      </c>
      <c r="AS120" s="2">
        <v>240</v>
      </c>
      <c r="AT120" s="2">
        <v>20.7</v>
      </c>
      <c r="AU120" s="2" t="s">
        <v>73</v>
      </c>
      <c r="AV120" s="2">
        <v>462</v>
      </c>
      <c r="AW120" s="30">
        <v>44772</v>
      </c>
      <c r="AX120" s="30" t="s">
        <v>307</v>
      </c>
      <c r="AY120" s="2" t="s">
        <v>24</v>
      </c>
      <c r="AZ120" s="2">
        <v>1315.45</v>
      </c>
      <c r="BA120" s="2" t="s">
        <v>54</v>
      </c>
      <c r="BB120" s="2" t="s">
        <v>99</v>
      </c>
      <c r="BC120" s="2" t="s">
        <v>100</v>
      </c>
      <c r="BD120" s="2">
        <v>10</v>
      </c>
      <c r="BE120" s="2">
        <v>0</v>
      </c>
    </row>
    <row r="121" spans="1:57" x14ac:dyDescent="0.3">
      <c r="A121" s="3" t="s">
        <v>2558</v>
      </c>
      <c r="B121" s="3" t="s">
        <v>2132</v>
      </c>
      <c r="C121" s="3">
        <v>22</v>
      </c>
      <c r="D121" s="3" t="s">
        <v>21</v>
      </c>
      <c r="E121" s="3">
        <v>243107</v>
      </c>
      <c r="F121" s="3">
        <v>750000</v>
      </c>
      <c r="G121" s="3">
        <v>24</v>
      </c>
      <c r="H121" s="3">
        <v>9.77</v>
      </c>
      <c r="I121" s="3" t="s">
        <v>31</v>
      </c>
      <c r="J121" s="3">
        <v>638</v>
      </c>
      <c r="K121" s="29">
        <v>44481</v>
      </c>
      <c r="L121" s="29" t="s">
        <v>2007</v>
      </c>
      <c r="M121" s="3" t="s">
        <v>122</v>
      </c>
      <c r="N121" s="3">
        <v>34529.129999999997</v>
      </c>
      <c r="O121" s="3" t="s">
        <v>25</v>
      </c>
      <c r="P121" s="3" t="s">
        <v>123</v>
      </c>
      <c r="Q121" s="3" t="s">
        <v>42</v>
      </c>
      <c r="R121" s="3">
        <v>0</v>
      </c>
      <c r="S121" s="3">
        <v>718923.78</v>
      </c>
      <c r="T121" s="38" t="s">
        <v>2875</v>
      </c>
      <c r="U121" s="13"/>
      <c r="AM121" s="3" t="s">
        <v>2606</v>
      </c>
      <c r="AN121" s="3" t="s">
        <v>2607</v>
      </c>
      <c r="AO121" s="3">
        <v>29</v>
      </c>
      <c r="AP121" s="3" t="s">
        <v>21</v>
      </c>
      <c r="AQ121" s="3">
        <v>133397</v>
      </c>
      <c r="AR121" s="3">
        <v>50000</v>
      </c>
      <c r="AS121" s="3">
        <v>180</v>
      </c>
      <c r="AT121" s="3">
        <v>16.25</v>
      </c>
      <c r="AU121" s="3" t="s">
        <v>73</v>
      </c>
      <c r="AV121" s="3">
        <v>509</v>
      </c>
      <c r="AW121" s="29">
        <v>44415</v>
      </c>
      <c r="AX121" s="29" t="s">
        <v>920</v>
      </c>
      <c r="AY121" s="3" t="s">
        <v>122</v>
      </c>
      <c r="AZ121" s="3">
        <v>743.08</v>
      </c>
      <c r="BA121" s="3" t="s">
        <v>105</v>
      </c>
      <c r="BB121" s="3" t="s">
        <v>114</v>
      </c>
      <c r="BC121" s="3" t="s">
        <v>100</v>
      </c>
      <c r="BD121" s="3">
        <v>0</v>
      </c>
      <c r="BE121" s="3">
        <v>0</v>
      </c>
    </row>
    <row r="122" spans="1:57" x14ac:dyDescent="0.3">
      <c r="A122" s="3" t="s">
        <v>1147</v>
      </c>
      <c r="B122" s="3" t="s">
        <v>1148</v>
      </c>
      <c r="C122" s="3">
        <v>45</v>
      </c>
      <c r="D122" s="3" t="s">
        <v>65</v>
      </c>
      <c r="E122" s="3">
        <v>197697</v>
      </c>
      <c r="F122" s="3">
        <v>2000000</v>
      </c>
      <c r="G122" s="3">
        <v>12</v>
      </c>
      <c r="H122" s="3">
        <v>12.29</v>
      </c>
      <c r="I122" s="3" t="s">
        <v>251</v>
      </c>
      <c r="J122" s="3">
        <v>357</v>
      </c>
      <c r="K122" s="29">
        <v>45159</v>
      </c>
      <c r="L122" s="29" t="s">
        <v>1011</v>
      </c>
      <c r="M122" s="3" t="s">
        <v>24</v>
      </c>
      <c r="N122" s="3">
        <v>177969.02</v>
      </c>
      <c r="O122" s="3" t="s">
        <v>48</v>
      </c>
      <c r="P122" s="3" t="s">
        <v>80</v>
      </c>
      <c r="Q122" s="3" t="s">
        <v>42</v>
      </c>
      <c r="R122" s="3">
        <v>0</v>
      </c>
      <c r="S122" s="3">
        <v>718623.06</v>
      </c>
      <c r="T122" s="38" t="s">
        <v>2879</v>
      </c>
      <c r="U122" s="13"/>
      <c r="AM122" s="2" t="s">
        <v>2658</v>
      </c>
      <c r="AN122" s="2" t="s">
        <v>1513</v>
      </c>
      <c r="AO122" s="2">
        <v>41</v>
      </c>
      <c r="AP122" s="2" t="s">
        <v>65</v>
      </c>
      <c r="AQ122" s="2">
        <v>149070</v>
      </c>
      <c r="AR122" s="2">
        <v>400000</v>
      </c>
      <c r="AS122" s="2">
        <v>120</v>
      </c>
      <c r="AT122" s="2">
        <v>18.48</v>
      </c>
      <c r="AU122" s="2" t="s">
        <v>251</v>
      </c>
      <c r="AV122" s="2">
        <v>780</v>
      </c>
      <c r="AW122" s="30">
        <v>44898</v>
      </c>
      <c r="AX122" s="30" t="s">
        <v>2659</v>
      </c>
      <c r="AY122" s="2" t="s">
        <v>24</v>
      </c>
      <c r="AZ122" s="2">
        <v>7331.47</v>
      </c>
      <c r="BA122" s="2" t="s">
        <v>48</v>
      </c>
      <c r="BB122" s="2" t="s">
        <v>49</v>
      </c>
      <c r="BC122" s="2" t="s">
        <v>100</v>
      </c>
      <c r="BD122" s="2">
        <v>11</v>
      </c>
      <c r="BE122" s="2">
        <v>0</v>
      </c>
    </row>
    <row r="123" spans="1:57" x14ac:dyDescent="0.3">
      <c r="A123" s="2" t="s">
        <v>2157</v>
      </c>
      <c r="B123" s="2" t="s">
        <v>2158</v>
      </c>
      <c r="C123" s="2">
        <v>37</v>
      </c>
      <c r="D123" s="2" t="s">
        <v>65</v>
      </c>
      <c r="E123" s="2">
        <v>34113</v>
      </c>
      <c r="F123" s="2">
        <v>2000000</v>
      </c>
      <c r="G123" s="2">
        <v>12</v>
      </c>
      <c r="H123" s="2">
        <v>12.51</v>
      </c>
      <c r="I123" s="2" t="s">
        <v>22</v>
      </c>
      <c r="J123" s="2">
        <v>726</v>
      </c>
      <c r="K123" s="30">
        <v>45177</v>
      </c>
      <c r="L123" s="30" t="s">
        <v>1045</v>
      </c>
      <c r="M123" s="2" t="s">
        <v>24</v>
      </c>
      <c r="N123" s="2">
        <v>178175.1</v>
      </c>
      <c r="O123" s="2" t="s">
        <v>54</v>
      </c>
      <c r="P123" s="2" t="s">
        <v>99</v>
      </c>
      <c r="Q123" s="2" t="s">
        <v>42</v>
      </c>
      <c r="R123" s="2">
        <v>0</v>
      </c>
      <c r="S123" s="2">
        <v>717139.28</v>
      </c>
      <c r="T123" s="38" t="s">
        <v>2871</v>
      </c>
      <c r="U123" s="13"/>
    </row>
    <row r="124" spans="1:57" x14ac:dyDescent="0.3">
      <c r="A124" s="2" t="s">
        <v>2640</v>
      </c>
      <c r="B124" s="2" t="s">
        <v>2487</v>
      </c>
      <c r="C124" s="2">
        <v>56</v>
      </c>
      <c r="D124" s="2" t="s">
        <v>72</v>
      </c>
      <c r="E124" s="2">
        <v>81375</v>
      </c>
      <c r="F124" s="2">
        <v>750000</v>
      </c>
      <c r="G124" s="2">
        <v>24</v>
      </c>
      <c r="H124" s="2">
        <v>17.62</v>
      </c>
      <c r="I124" s="2" t="s">
        <v>31</v>
      </c>
      <c r="J124" s="2">
        <v>478</v>
      </c>
      <c r="K124" s="30">
        <v>44791</v>
      </c>
      <c r="L124" s="30" t="s">
        <v>894</v>
      </c>
      <c r="M124" s="2" t="s">
        <v>33</v>
      </c>
      <c r="N124" s="2">
        <v>37305.519999999997</v>
      </c>
      <c r="O124" s="2" t="s">
        <v>60</v>
      </c>
      <c r="P124" s="2" t="s">
        <v>61</v>
      </c>
      <c r="Q124" s="2" t="s">
        <v>42</v>
      </c>
      <c r="R124" s="2">
        <v>0</v>
      </c>
      <c r="S124" s="2">
        <v>716425.03</v>
      </c>
      <c r="T124" s="38" t="s">
        <v>2879</v>
      </c>
      <c r="U124" s="13"/>
    </row>
    <row r="125" spans="1:57" x14ac:dyDescent="0.3">
      <c r="A125" s="2" t="s">
        <v>973</v>
      </c>
      <c r="B125" s="2" t="s">
        <v>974</v>
      </c>
      <c r="C125" s="2">
        <v>57</v>
      </c>
      <c r="D125" s="2" t="s">
        <v>65</v>
      </c>
      <c r="E125" s="2"/>
      <c r="F125" s="2">
        <v>750000</v>
      </c>
      <c r="G125" s="2">
        <v>120</v>
      </c>
      <c r="H125" s="2">
        <v>17.28</v>
      </c>
      <c r="I125" s="2" t="s">
        <v>66</v>
      </c>
      <c r="J125" s="2">
        <v>732</v>
      </c>
      <c r="K125" s="30">
        <v>44977</v>
      </c>
      <c r="L125" s="30" t="s">
        <v>214</v>
      </c>
      <c r="M125" s="2" t="s">
        <v>24</v>
      </c>
      <c r="N125" s="2">
        <v>13168.19</v>
      </c>
      <c r="O125" s="2" t="s">
        <v>25</v>
      </c>
      <c r="P125" s="2" t="s">
        <v>123</v>
      </c>
      <c r="Q125" s="2" t="s">
        <v>35</v>
      </c>
      <c r="R125" s="2">
        <v>1</v>
      </c>
      <c r="S125" s="2">
        <v>714445.89</v>
      </c>
      <c r="T125" s="38" t="s">
        <v>2871</v>
      </c>
      <c r="U125" s="13"/>
    </row>
    <row r="126" spans="1:57" x14ac:dyDescent="0.3">
      <c r="A126" s="2" t="s">
        <v>1800</v>
      </c>
      <c r="B126" s="2" t="s">
        <v>1801</v>
      </c>
      <c r="C126" s="2">
        <v>26</v>
      </c>
      <c r="D126" s="2" t="s">
        <v>21</v>
      </c>
      <c r="E126" s="2">
        <v>19626</v>
      </c>
      <c r="F126" s="2">
        <v>750000</v>
      </c>
      <c r="G126" s="2">
        <v>180</v>
      </c>
      <c r="H126" s="2">
        <v>13.04</v>
      </c>
      <c r="I126" s="2" t="s">
        <v>83</v>
      </c>
      <c r="J126" s="2">
        <v>815</v>
      </c>
      <c r="K126" s="30">
        <v>44451</v>
      </c>
      <c r="L126" s="30" t="s">
        <v>1048</v>
      </c>
      <c r="M126" s="2" t="s">
        <v>33</v>
      </c>
      <c r="N126" s="2">
        <v>9509.06</v>
      </c>
      <c r="O126" s="2" t="s">
        <v>54</v>
      </c>
      <c r="P126" s="2" t="s">
        <v>304</v>
      </c>
      <c r="Q126" s="2" t="s">
        <v>35</v>
      </c>
      <c r="R126" s="2">
        <v>3</v>
      </c>
      <c r="S126" s="2">
        <v>707209.23</v>
      </c>
      <c r="T126" s="38" t="s">
        <v>2867</v>
      </c>
      <c r="U126" s="13"/>
    </row>
    <row r="127" spans="1:57" x14ac:dyDescent="0.3">
      <c r="A127" s="2" t="s">
        <v>2339</v>
      </c>
      <c r="B127" s="2" t="s">
        <v>2340</v>
      </c>
      <c r="C127" s="2">
        <v>23</v>
      </c>
      <c r="D127" s="2" t="s">
        <v>21</v>
      </c>
      <c r="E127" s="2">
        <v>160867</v>
      </c>
      <c r="F127" s="2">
        <v>1500000</v>
      </c>
      <c r="G127" s="2">
        <v>180</v>
      </c>
      <c r="H127" s="2">
        <v>21.85</v>
      </c>
      <c r="I127" s="2" t="s">
        <v>73</v>
      </c>
      <c r="J127" s="2">
        <v>850</v>
      </c>
      <c r="K127" s="30">
        <v>44395</v>
      </c>
      <c r="L127" s="30" t="s">
        <v>833</v>
      </c>
      <c r="M127" s="2" t="s">
        <v>24</v>
      </c>
      <c r="N127" s="2">
        <v>28416.51</v>
      </c>
      <c r="O127" s="2" t="s">
        <v>105</v>
      </c>
      <c r="P127" s="2" t="s">
        <v>118</v>
      </c>
      <c r="Q127" s="2" t="s">
        <v>27</v>
      </c>
      <c r="R127" s="2">
        <v>2</v>
      </c>
      <c r="S127" s="2">
        <v>707179.37</v>
      </c>
      <c r="T127" s="38" t="s">
        <v>2867</v>
      </c>
      <c r="U127" s="13"/>
    </row>
    <row r="128" spans="1:57" x14ac:dyDescent="0.3">
      <c r="A128" s="2" t="s">
        <v>1656</v>
      </c>
      <c r="B128" s="2" t="s">
        <v>1657</v>
      </c>
      <c r="C128" s="2">
        <v>38</v>
      </c>
      <c r="D128" s="2" t="s">
        <v>45</v>
      </c>
      <c r="E128" s="2">
        <v>145764</v>
      </c>
      <c r="F128" s="2">
        <v>1000000</v>
      </c>
      <c r="G128" s="2">
        <v>120</v>
      </c>
      <c r="H128" s="2">
        <v>21.95</v>
      </c>
      <c r="I128" s="2" t="s">
        <v>31</v>
      </c>
      <c r="J128" s="2">
        <v>726</v>
      </c>
      <c r="K128" s="30">
        <v>45189</v>
      </c>
      <c r="L128" s="30" t="s">
        <v>1658</v>
      </c>
      <c r="M128" s="2" t="s">
        <v>24</v>
      </c>
      <c r="N128" s="2">
        <v>20635.66</v>
      </c>
      <c r="O128" s="2" t="s">
        <v>105</v>
      </c>
      <c r="P128" s="2" t="s">
        <v>159</v>
      </c>
      <c r="Q128" s="2" t="s">
        <v>27</v>
      </c>
      <c r="R128" s="2">
        <v>2</v>
      </c>
      <c r="S128" s="2">
        <v>702846.5</v>
      </c>
      <c r="T128" s="38" t="s">
        <v>2871</v>
      </c>
      <c r="U128" s="13"/>
    </row>
    <row r="129" spans="1:21" x14ac:dyDescent="0.3">
      <c r="A129" s="2" t="s">
        <v>1898</v>
      </c>
      <c r="B129" s="2" t="s">
        <v>349</v>
      </c>
      <c r="C129" s="2">
        <v>31</v>
      </c>
      <c r="D129" s="2" t="s">
        <v>65</v>
      </c>
      <c r="E129" s="2">
        <v>163782</v>
      </c>
      <c r="F129" s="2">
        <v>1500000</v>
      </c>
      <c r="G129" s="2">
        <v>60</v>
      </c>
      <c r="H129" s="2">
        <v>8.27</v>
      </c>
      <c r="I129" s="2" t="s">
        <v>38</v>
      </c>
      <c r="J129" s="2">
        <v>555</v>
      </c>
      <c r="K129" s="30">
        <v>44571</v>
      </c>
      <c r="L129" s="30" t="s">
        <v>826</v>
      </c>
      <c r="M129" s="2" t="s">
        <v>24</v>
      </c>
      <c r="N129" s="2">
        <v>30608.79</v>
      </c>
      <c r="O129" s="2" t="s">
        <v>54</v>
      </c>
      <c r="P129" s="2" t="s">
        <v>164</v>
      </c>
      <c r="Q129" s="2" t="s">
        <v>35</v>
      </c>
      <c r="R129" s="2">
        <v>11</v>
      </c>
      <c r="S129" s="2">
        <v>701110.58</v>
      </c>
      <c r="T129" s="38" t="s">
        <v>2875</v>
      </c>
      <c r="U129" s="13"/>
    </row>
    <row r="130" spans="1:21" x14ac:dyDescent="0.3">
      <c r="A130" s="2" t="s">
        <v>2391</v>
      </c>
      <c r="B130" s="2" t="s">
        <v>2392</v>
      </c>
      <c r="C130" s="2">
        <v>61</v>
      </c>
      <c r="D130" s="2" t="s">
        <v>30</v>
      </c>
      <c r="E130" s="2">
        <v>164686</v>
      </c>
      <c r="F130" s="2">
        <v>1000000</v>
      </c>
      <c r="G130" s="2">
        <v>36</v>
      </c>
      <c r="H130" s="2">
        <v>12.19</v>
      </c>
      <c r="I130" s="2" t="s">
        <v>83</v>
      </c>
      <c r="J130" s="2">
        <v>705</v>
      </c>
      <c r="K130" s="30">
        <v>44863</v>
      </c>
      <c r="L130" s="30" t="s">
        <v>972</v>
      </c>
      <c r="M130" s="2" t="s">
        <v>24</v>
      </c>
      <c r="N130" s="2">
        <v>33305.129999999997</v>
      </c>
      <c r="O130" s="2" t="s">
        <v>105</v>
      </c>
      <c r="P130" s="2" t="s">
        <v>159</v>
      </c>
      <c r="Q130" s="2" t="s">
        <v>100</v>
      </c>
      <c r="R130" s="2">
        <v>9</v>
      </c>
      <c r="S130" s="2">
        <v>700253.83</v>
      </c>
      <c r="T130" s="38" t="s">
        <v>2871</v>
      </c>
      <c r="U130" s="13"/>
    </row>
    <row r="131" spans="1:21" x14ac:dyDescent="0.3">
      <c r="A131" s="3" t="s">
        <v>1774</v>
      </c>
      <c r="B131" s="3" t="s">
        <v>1775</v>
      </c>
      <c r="C131" s="3">
        <v>48</v>
      </c>
      <c r="D131" s="3" t="s">
        <v>30</v>
      </c>
      <c r="E131" s="3">
        <v>62075</v>
      </c>
      <c r="F131" s="3">
        <v>750000</v>
      </c>
      <c r="G131" s="3">
        <v>120</v>
      </c>
      <c r="H131" s="3">
        <v>14.14</v>
      </c>
      <c r="I131" s="3" t="s">
        <v>251</v>
      </c>
      <c r="J131" s="3">
        <v>882</v>
      </c>
      <c r="K131" s="29">
        <v>44687</v>
      </c>
      <c r="L131" s="29" t="s">
        <v>1776</v>
      </c>
      <c r="M131" s="3" t="s">
        <v>24</v>
      </c>
      <c r="N131" s="3">
        <v>11708.2</v>
      </c>
      <c r="O131" s="3" t="s">
        <v>25</v>
      </c>
      <c r="P131" s="3" t="s">
        <v>2998</v>
      </c>
      <c r="Q131" s="3" t="s">
        <v>27</v>
      </c>
      <c r="R131" s="3">
        <v>2</v>
      </c>
      <c r="S131" s="3">
        <v>697313.1</v>
      </c>
      <c r="T131" s="38" t="s">
        <v>2867</v>
      </c>
      <c r="U131" s="13"/>
    </row>
    <row r="132" spans="1:21" x14ac:dyDescent="0.3">
      <c r="A132" s="2" t="s">
        <v>2477</v>
      </c>
      <c r="B132" s="2" t="s">
        <v>1905</v>
      </c>
      <c r="C132" s="2">
        <v>26</v>
      </c>
      <c r="D132" s="2" t="s">
        <v>30</v>
      </c>
      <c r="E132" s="2">
        <v>99321</v>
      </c>
      <c r="F132" s="2">
        <v>1500000</v>
      </c>
      <c r="G132" s="2">
        <v>48</v>
      </c>
      <c r="H132" s="2">
        <v>19.04</v>
      </c>
      <c r="I132" s="2" t="s">
        <v>251</v>
      </c>
      <c r="J132" s="2">
        <v>398</v>
      </c>
      <c r="K132" s="30">
        <v>44411</v>
      </c>
      <c r="L132" s="30" t="s">
        <v>138</v>
      </c>
      <c r="M132" s="2" t="s">
        <v>24</v>
      </c>
      <c r="N132" s="2">
        <v>44881.84</v>
      </c>
      <c r="O132" s="2" t="s">
        <v>54</v>
      </c>
      <c r="P132" s="2" t="s">
        <v>164</v>
      </c>
      <c r="Q132" s="2" t="s">
        <v>35</v>
      </c>
      <c r="R132" s="2">
        <v>8</v>
      </c>
      <c r="S132" s="2">
        <v>692126.88</v>
      </c>
      <c r="T132" s="38" t="s">
        <v>2879</v>
      </c>
      <c r="U132" s="13"/>
    </row>
    <row r="133" spans="1:21" x14ac:dyDescent="0.3">
      <c r="A133" s="2" t="s">
        <v>944</v>
      </c>
      <c r="B133" s="2" t="s">
        <v>945</v>
      </c>
      <c r="C133" s="2">
        <v>31</v>
      </c>
      <c r="D133" s="2" t="s">
        <v>45</v>
      </c>
      <c r="E133" s="2">
        <v>248848</v>
      </c>
      <c r="F133" s="2">
        <v>750000</v>
      </c>
      <c r="G133" s="2">
        <v>12</v>
      </c>
      <c r="H133" s="2">
        <v>7.67</v>
      </c>
      <c r="I133" s="2" t="s">
        <v>251</v>
      </c>
      <c r="J133" s="2">
        <v>817</v>
      </c>
      <c r="K133" s="30">
        <v>45203</v>
      </c>
      <c r="L133" s="30" t="s">
        <v>946</v>
      </c>
      <c r="M133" s="2" t="s">
        <v>24</v>
      </c>
      <c r="N133" s="2">
        <v>65126.94</v>
      </c>
      <c r="O133" s="2" t="s">
        <v>60</v>
      </c>
      <c r="P133" s="2" t="s">
        <v>2997</v>
      </c>
      <c r="Q133" s="2" t="s">
        <v>35</v>
      </c>
      <c r="R133" s="2">
        <v>2</v>
      </c>
      <c r="S133" s="2">
        <v>691385.75</v>
      </c>
      <c r="T133" s="38" t="s">
        <v>2867</v>
      </c>
      <c r="U133" s="13"/>
    </row>
    <row r="134" spans="1:21" x14ac:dyDescent="0.3">
      <c r="A134" s="3" t="s">
        <v>2580</v>
      </c>
      <c r="B134" s="3" t="s">
        <v>2581</v>
      </c>
      <c r="C134" s="3">
        <v>42</v>
      </c>
      <c r="D134" s="3" t="s">
        <v>45</v>
      </c>
      <c r="E134" s="3">
        <v>75011</v>
      </c>
      <c r="F134" s="3">
        <v>1500000</v>
      </c>
      <c r="G134" s="3">
        <v>48</v>
      </c>
      <c r="H134" s="3">
        <v>19.29</v>
      </c>
      <c r="I134" s="3" t="s">
        <v>83</v>
      </c>
      <c r="J134" s="3">
        <v>800</v>
      </c>
      <c r="K134" s="29">
        <v>45243</v>
      </c>
      <c r="L134" s="29" t="s">
        <v>757</v>
      </c>
      <c r="M134" s="3" t="s">
        <v>24</v>
      </c>
      <c r="N134" s="3">
        <v>45080.04</v>
      </c>
      <c r="O134" s="3" t="s">
        <v>54</v>
      </c>
      <c r="P134" s="3" t="s">
        <v>164</v>
      </c>
      <c r="Q134" s="3" t="s">
        <v>42</v>
      </c>
      <c r="R134" s="3">
        <v>0</v>
      </c>
      <c r="S134" s="3">
        <v>688559.28</v>
      </c>
      <c r="T134" s="38" t="s">
        <v>2867</v>
      </c>
      <c r="U134" s="13"/>
    </row>
    <row r="135" spans="1:21" x14ac:dyDescent="0.3">
      <c r="A135" s="3" t="s">
        <v>2746</v>
      </c>
      <c r="B135" s="3" t="s">
        <v>1064</v>
      </c>
      <c r="C135" s="3">
        <v>58</v>
      </c>
      <c r="D135" s="3" t="s">
        <v>21</v>
      </c>
      <c r="E135" s="3">
        <v>19488</v>
      </c>
      <c r="F135" s="3">
        <v>1000000</v>
      </c>
      <c r="G135" s="3">
        <v>84</v>
      </c>
      <c r="H135" s="3">
        <v>16.91</v>
      </c>
      <c r="I135" s="3" t="s">
        <v>73</v>
      </c>
      <c r="J135" s="3">
        <v>307</v>
      </c>
      <c r="K135" s="29">
        <v>44393</v>
      </c>
      <c r="L135" s="29" t="s">
        <v>2420</v>
      </c>
      <c r="M135" s="3" t="s">
        <v>33</v>
      </c>
      <c r="N135" s="3">
        <v>20383.830000000002</v>
      </c>
      <c r="O135" s="3" t="s">
        <v>48</v>
      </c>
      <c r="P135" s="3" t="s">
        <v>80</v>
      </c>
      <c r="Q135" s="3" t="s">
        <v>42</v>
      </c>
      <c r="R135" s="3">
        <v>0</v>
      </c>
      <c r="S135" s="3">
        <v>688127.4</v>
      </c>
      <c r="T135" s="38" t="s">
        <v>2879</v>
      </c>
      <c r="U135" s="13"/>
    </row>
    <row r="136" spans="1:21" x14ac:dyDescent="0.3">
      <c r="A136" s="3" t="s">
        <v>381</v>
      </c>
      <c r="B136" s="3" t="s">
        <v>382</v>
      </c>
      <c r="C136" s="3">
        <v>41</v>
      </c>
      <c r="D136" s="3" t="s">
        <v>21</v>
      </c>
      <c r="E136" s="3">
        <v>218642</v>
      </c>
      <c r="F136" s="3">
        <v>750000</v>
      </c>
      <c r="G136" s="3">
        <v>24</v>
      </c>
      <c r="H136" s="3">
        <v>20.309999999999999</v>
      </c>
      <c r="I136" s="3" t="s">
        <v>251</v>
      </c>
      <c r="J136" s="3">
        <v>461</v>
      </c>
      <c r="K136" s="29">
        <v>44754</v>
      </c>
      <c r="L136" s="29" t="s">
        <v>383</v>
      </c>
      <c r="M136" s="3" t="s">
        <v>122</v>
      </c>
      <c r="N136" s="3">
        <v>38285.53</v>
      </c>
      <c r="O136" s="3" t="s">
        <v>54</v>
      </c>
      <c r="P136" s="3" t="s">
        <v>304</v>
      </c>
      <c r="Q136" s="3" t="s">
        <v>27</v>
      </c>
      <c r="R136" s="3">
        <v>2</v>
      </c>
      <c r="S136" s="3">
        <v>681086.05</v>
      </c>
      <c r="T136" s="38" t="s">
        <v>2879</v>
      </c>
      <c r="U136" s="13"/>
    </row>
    <row r="137" spans="1:21" x14ac:dyDescent="0.3">
      <c r="A137" s="3" t="s">
        <v>1711</v>
      </c>
      <c r="B137" s="3" t="s">
        <v>1491</v>
      </c>
      <c r="C137" s="3">
        <v>55</v>
      </c>
      <c r="D137" s="3" t="s">
        <v>72</v>
      </c>
      <c r="E137" s="3">
        <v>246683</v>
      </c>
      <c r="F137" s="3">
        <v>1500000</v>
      </c>
      <c r="G137" s="3">
        <v>48</v>
      </c>
      <c r="H137" s="3">
        <v>8.18</v>
      </c>
      <c r="I137" s="3" t="s">
        <v>73</v>
      </c>
      <c r="J137" s="3">
        <v>845</v>
      </c>
      <c r="K137" s="29">
        <v>44595</v>
      </c>
      <c r="L137" s="29" t="s">
        <v>1556</v>
      </c>
      <c r="M137" s="3" t="s">
        <v>24</v>
      </c>
      <c r="N137" s="3">
        <v>36746.25</v>
      </c>
      <c r="O137" s="3" t="s">
        <v>60</v>
      </c>
      <c r="P137" s="3" t="s">
        <v>61</v>
      </c>
      <c r="Q137" s="3" t="s">
        <v>100</v>
      </c>
      <c r="R137" s="3">
        <v>0</v>
      </c>
      <c r="S137" s="3">
        <v>673209.38</v>
      </c>
      <c r="T137" s="38" t="s">
        <v>2867</v>
      </c>
      <c r="U137" s="13"/>
    </row>
    <row r="138" spans="1:21" x14ac:dyDescent="0.3">
      <c r="A138" s="3" t="s">
        <v>2755</v>
      </c>
      <c r="B138" s="3" t="s">
        <v>2756</v>
      </c>
      <c r="C138" s="3">
        <v>64</v>
      </c>
      <c r="D138" s="3" t="s">
        <v>21</v>
      </c>
      <c r="E138" s="3"/>
      <c r="F138" s="3">
        <v>1500000</v>
      </c>
      <c r="G138" s="3">
        <v>12</v>
      </c>
      <c r="H138" s="3">
        <v>9.48</v>
      </c>
      <c r="I138" s="3" t="s">
        <v>22</v>
      </c>
      <c r="J138" s="3">
        <v>304</v>
      </c>
      <c r="K138" s="29">
        <v>44936</v>
      </c>
      <c r="L138" s="29" t="s">
        <v>783</v>
      </c>
      <c r="M138" s="3" t="s">
        <v>122</v>
      </c>
      <c r="N138" s="3">
        <v>131511.34</v>
      </c>
      <c r="O138" s="3" t="s">
        <v>25</v>
      </c>
      <c r="P138" s="3" t="s">
        <v>2998</v>
      </c>
      <c r="Q138" s="3" t="s">
        <v>35</v>
      </c>
      <c r="R138" s="3">
        <v>0</v>
      </c>
      <c r="S138" s="3">
        <v>671478.56</v>
      </c>
      <c r="T138" s="38" t="s">
        <v>2879</v>
      </c>
      <c r="U138" s="13"/>
    </row>
    <row r="139" spans="1:21" x14ac:dyDescent="0.3">
      <c r="A139" s="3" t="s">
        <v>2709</v>
      </c>
      <c r="B139" s="3" t="s">
        <v>2547</v>
      </c>
      <c r="C139" s="3">
        <v>48</v>
      </c>
      <c r="D139" s="3" t="s">
        <v>65</v>
      </c>
      <c r="E139" s="3">
        <v>124914</v>
      </c>
      <c r="F139" s="3">
        <v>750000</v>
      </c>
      <c r="G139" s="3">
        <v>84</v>
      </c>
      <c r="H139" s="3">
        <v>11.84</v>
      </c>
      <c r="I139" s="3" t="s">
        <v>83</v>
      </c>
      <c r="J139" s="3">
        <v>466</v>
      </c>
      <c r="K139" s="29">
        <v>44839</v>
      </c>
      <c r="L139" s="29" t="s">
        <v>2058</v>
      </c>
      <c r="M139" s="3" t="s">
        <v>33</v>
      </c>
      <c r="N139" s="3">
        <v>13175.46</v>
      </c>
      <c r="O139" s="3" t="s">
        <v>54</v>
      </c>
      <c r="P139" s="3" t="s">
        <v>164</v>
      </c>
      <c r="Q139" s="3" t="s">
        <v>42</v>
      </c>
      <c r="R139" s="3">
        <v>2</v>
      </c>
      <c r="S139" s="3">
        <v>655136.68999999994</v>
      </c>
      <c r="T139" s="38" t="s">
        <v>2879</v>
      </c>
      <c r="U139" s="13"/>
    </row>
    <row r="140" spans="1:21" x14ac:dyDescent="0.3">
      <c r="A140" s="3" t="s">
        <v>1544</v>
      </c>
      <c r="B140" s="3" t="s">
        <v>1545</v>
      </c>
      <c r="C140" s="3">
        <v>41</v>
      </c>
      <c r="D140" s="3" t="s">
        <v>21</v>
      </c>
      <c r="E140" s="3">
        <v>227926</v>
      </c>
      <c r="F140" s="3">
        <v>1000000</v>
      </c>
      <c r="G140" s="3">
        <v>24</v>
      </c>
      <c r="H140" s="3">
        <v>15.26</v>
      </c>
      <c r="I140" s="3" t="s">
        <v>83</v>
      </c>
      <c r="J140" s="3">
        <v>753</v>
      </c>
      <c r="K140" s="29">
        <v>44813</v>
      </c>
      <c r="L140" s="29" t="s">
        <v>547</v>
      </c>
      <c r="M140" s="3" t="s">
        <v>122</v>
      </c>
      <c r="N140" s="3">
        <v>48610.27</v>
      </c>
      <c r="O140" s="3" t="s">
        <v>60</v>
      </c>
      <c r="P140" s="3" t="s">
        <v>172</v>
      </c>
      <c r="Q140" s="3" t="s">
        <v>62</v>
      </c>
      <c r="R140" s="3">
        <v>1</v>
      </c>
      <c r="S140" s="3">
        <v>650006.06000000006</v>
      </c>
      <c r="T140" s="38" t="s">
        <v>2867</v>
      </c>
      <c r="U140" s="13"/>
    </row>
    <row r="141" spans="1:21" x14ac:dyDescent="0.3">
      <c r="A141" s="3" t="s">
        <v>1324</v>
      </c>
      <c r="B141" s="3" t="s">
        <v>1325</v>
      </c>
      <c r="C141" s="3">
        <v>27</v>
      </c>
      <c r="D141" s="3" t="s">
        <v>45</v>
      </c>
      <c r="E141" s="3">
        <v>17128</v>
      </c>
      <c r="F141" s="3">
        <v>750000</v>
      </c>
      <c r="G141" s="3">
        <v>240</v>
      </c>
      <c r="H141" s="3">
        <v>13.36</v>
      </c>
      <c r="I141" s="3" t="s">
        <v>251</v>
      </c>
      <c r="J141" s="3">
        <v>601</v>
      </c>
      <c r="K141" s="29">
        <v>44198</v>
      </c>
      <c r="L141" s="29" t="s">
        <v>1175</v>
      </c>
      <c r="M141" s="3" t="s">
        <v>24</v>
      </c>
      <c r="N141" s="3">
        <v>8979.86</v>
      </c>
      <c r="O141" s="3" t="s">
        <v>25</v>
      </c>
      <c r="P141" s="3" t="s">
        <v>151</v>
      </c>
      <c r="Q141" s="3" t="s">
        <v>42</v>
      </c>
      <c r="R141" s="3">
        <v>2</v>
      </c>
      <c r="S141" s="3">
        <v>644935.64</v>
      </c>
      <c r="T141" s="38" t="s">
        <v>2875</v>
      </c>
      <c r="U141" s="13"/>
    </row>
    <row r="142" spans="1:21" x14ac:dyDescent="0.3">
      <c r="A142" s="3" t="s">
        <v>2284</v>
      </c>
      <c r="B142" s="3" t="s">
        <v>742</v>
      </c>
      <c r="C142" s="3">
        <v>53</v>
      </c>
      <c r="D142" s="3" t="s">
        <v>30</v>
      </c>
      <c r="E142" s="3">
        <v>139111</v>
      </c>
      <c r="F142" s="3">
        <v>1500000</v>
      </c>
      <c r="G142" s="3">
        <v>240</v>
      </c>
      <c r="H142" s="3">
        <v>19.21</v>
      </c>
      <c r="I142" s="3" t="s">
        <v>46</v>
      </c>
      <c r="J142" s="3">
        <v>678</v>
      </c>
      <c r="K142" s="29">
        <v>44559</v>
      </c>
      <c r="L142" s="29" t="s">
        <v>245</v>
      </c>
      <c r="M142" s="3" t="s">
        <v>122</v>
      </c>
      <c r="N142" s="3">
        <v>24555.51</v>
      </c>
      <c r="O142" s="3" t="s">
        <v>25</v>
      </c>
      <c r="P142" s="3" t="s">
        <v>123</v>
      </c>
      <c r="Q142" s="3" t="s">
        <v>42</v>
      </c>
      <c r="R142" s="3">
        <v>2</v>
      </c>
      <c r="S142" s="3">
        <v>638101.6</v>
      </c>
      <c r="T142" s="38" t="s">
        <v>2871</v>
      </c>
      <c r="U142" s="13"/>
    </row>
    <row r="143" spans="1:21" x14ac:dyDescent="0.3">
      <c r="A143" s="3" t="s">
        <v>1610</v>
      </c>
      <c r="B143" s="3" t="s">
        <v>1611</v>
      </c>
      <c r="C143" s="3">
        <v>51</v>
      </c>
      <c r="D143" s="3" t="s">
        <v>65</v>
      </c>
      <c r="E143" s="3">
        <v>242745</v>
      </c>
      <c r="F143" s="3">
        <v>1000000</v>
      </c>
      <c r="G143" s="3">
        <v>180</v>
      </c>
      <c r="H143" s="3">
        <v>11.89</v>
      </c>
      <c r="I143" s="3" t="s">
        <v>38</v>
      </c>
      <c r="J143" s="3">
        <v>704</v>
      </c>
      <c r="K143" s="29">
        <v>44225</v>
      </c>
      <c r="L143" s="29" t="s">
        <v>1612</v>
      </c>
      <c r="M143" s="3" t="s">
        <v>122</v>
      </c>
      <c r="N143" s="3">
        <v>11931</v>
      </c>
      <c r="O143" s="3" t="s">
        <v>48</v>
      </c>
      <c r="P143" s="3" t="s">
        <v>49</v>
      </c>
      <c r="Q143" s="3" t="s">
        <v>42</v>
      </c>
      <c r="R143" s="3">
        <v>0</v>
      </c>
      <c r="S143" s="3">
        <v>634911.4</v>
      </c>
      <c r="T143" s="38" t="s">
        <v>2871</v>
      </c>
      <c r="U143" s="13"/>
    </row>
    <row r="144" spans="1:21" x14ac:dyDescent="0.3">
      <c r="A144" s="3" t="s">
        <v>1386</v>
      </c>
      <c r="B144" s="3" t="s">
        <v>1097</v>
      </c>
      <c r="C144" s="3">
        <v>53</v>
      </c>
      <c r="D144" s="3" t="s">
        <v>45</v>
      </c>
      <c r="E144" s="3">
        <v>224498</v>
      </c>
      <c r="F144" s="3">
        <v>750000</v>
      </c>
      <c r="G144" s="3">
        <v>48</v>
      </c>
      <c r="H144" s="3">
        <v>8.42</v>
      </c>
      <c r="I144" s="3" t="s">
        <v>83</v>
      </c>
      <c r="J144" s="3">
        <v>736</v>
      </c>
      <c r="K144" s="29">
        <v>44478</v>
      </c>
      <c r="L144" s="29" t="s">
        <v>488</v>
      </c>
      <c r="M144" s="3" t="s">
        <v>24</v>
      </c>
      <c r="N144" s="3">
        <v>18457.91</v>
      </c>
      <c r="O144" s="3" t="s">
        <v>48</v>
      </c>
      <c r="P144" s="3" t="s">
        <v>80</v>
      </c>
      <c r="Q144" s="3" t="s">
        <v>42</v>
      </c>
      <c r="R144" s="3">
        <v>1</v>
      </c>
      <c r="S144" s="3">
        <v>633715.17000000004</v>
      </c>
      <c r="T144" s="38" t="s">
        <v>2871</v>
      </c>
      <c r="U144" s="13"/>
    </row>
    <row r="145" spans="1:21" x14ac:dyDescent="0.3">
      <c r="A145" s="2" t="s">
        <v>707</v>
      </c>
      <c r="B145" s="2" t="s">
        <v>295</v>
      </c>
      <c r="C145" s="2">
        <v>51</v>
      </c>
      <c r="D145" s="2" t="s">
        <v>72</v>
      </c>
      <c r="E145" s="2">
        <v>83774</v>
      </c>
      <c r="F145" s="2">
        <v>1000000</v>
      </c>
      <c r="G145" s="2">
        <v>180</v>
      </c>
      <c r="H145" s="2">
        <v>15.15</v>
      </c>
      <c r="I145" s="2" t="s">
        <v>38</v>
      </c>
      <c r="J145" s="2">
        <v>697</v>
      </c>
      <c r="K145" s="30">
        <v>44909</v>
      </c>
      <c r="L145" s="30" t="s">
        <v>709</v>
      </c>
      <c r="M145" s="2" t="s">
        <v>24</v>
      </c>
      <c r="N145" s="2">
        <v>14098.75</v>
      </c>
      <c r="O145" s="2" t="s">
        <v>54</v>
      </c>
      <c r="P145" s="2" t="s">
        <v>164</v>
      </c>
      <c r="Q145" s="2" t="s">
        <v>35</v>
      </c>
      <c r="R145" s="2">
        <v>9</v>
      </c>
      <c r="S145" s="2">
        <v>632022.62</v>
      </c>
      <c r="T145" s="38" t="s">
        <v>2871</v>
      </c>
      <c r="U145" s="13"/>
    </row>
    <row r="146" spans="1:21" x14ac:dyDescent="0.3">
      <c r="A146" s="3" t="s">
        <v>368</v>
      </c>
      <c r="B146" s="3" t="s">
        <v>369</v>
      </c>
      <c r="C146" s="3">
        <v>30</v>
      </c>
      <c r="D146" s="3" t="s">
        <v>45</v>
      </c>
      <c r="E146" s="3">
        <v>30723</v>
      </c>
      <c r="F146" s="3">
        <v>750000</v>
      </c>
      <c r="G146" s="3">
        <v>240</v>
      </c>
      <c r="H146" s="3">
        <v>15.64</v>
      </c>
      <c r="I146" s="3" t="s">
        <v>22</v>
      </c>
      <c r="J146" s="3">
        <v>720</v>
      </c>
      <c r="K146" s="29">
        <v>44786</v>
      </c>
      <c r="L146" s="29" t="s">
        <v>370</v>
      </c>
      <c r="M146" s="3" t="s">
        <v>24</v>
      </c>
      <c r="N146" s="3">
        <v>10232.379999999999</v>
      </c>
      <c r="O146" s="3" t="s">
        <v>48</v>
      </c>
      <c r="P146" s="3" t="s">
        <v>80</v>
      </c>
      <c r="Q146" s="3" t="s">
        <v>42</v>
      </c>
      <c r="R146" s="3">
        <v>2</v>
      </c>
      <c r="S146" s="3">
        <v>630281.15</v>
      </c>
      <c r="T146" s="38" t="s">
        <v>2871</v>
      </c>
      <c r="U146" s="13"/>
    </row>
    <row r="147" spans="1:21" x14ac:dyDescent="0.3">
      <c r="A147" s="3" t="s">
        <v>842</v>
      </c>
      <c r="B147" s="3" t="s">
        <v>843</v>
      </c>
      <c r="C147" s="3">
        <v>57</v>
      </c>
      <c r="D147" s="3" t="s">
        <v>65</v>
      </c>
      <c r="E147" s="3">
        <v>103591</v>
      </c>
      <c r="F147" s="3">
        <v>750000</v>
      </c>
      <c r="G147" s="3">
        <v>180</v>
      </c>
      <c r="H147" s="3">
        <v>17.72</v>
      </c>
      <c r="I147" s="3" t="s">
        <v>73</v>
      </c>
      <c r="J147" s="3">
        <v>468</v>
      </c>
      <c r="K147" s="29">
        <v>44404</v>
      </c>
      <c r="L147" s="29" t="s">
        <v>844</v>
      </c>
      <c r="M147" s="3" t="s">
        <v>122</v>
      </c>
      <c r="N147" s="3">
        <v>11927.37</v>
      </c>
      <c r="O147" s="3" t="s">
        <v>54</v>
      </c>
      <c r="P147" s="3" t="s">
        <v>164</v>
      </c>
      <c r="Q147" s="3" t="s">
        <v>35</v>
      </c>
      <c r="R147" s="3">
        <v>2</v>
      </c>
      <c r="S147" s="3">
        <v>610449.77</v>
      </c>
      <c r="T147" s="38" t="s">
        <v>2879</v>
      </c>
      <c r="U147" s="13"/>
    </row>
    <row r="148" spans="1:21" x14ac:dyDescent="0.3">
      <c r="A148" s="2" t="s">
        <v>1651</v>
      </c>
      <c r="B148" s="2" t="s">
        <v>1652</v>
      </c>
      <c r="C148" s="2">
        <v>44</v>
      </c>
      <c r="D148" s="2" t="s">
        <v>65</v>
      </c>
      <c r="E148" s="2">
        <v>89589</v>
      </c>
      <c r="F148" s="2">
        <v>1000000</v>
      </c>
      <c r="G148" s="2">
        <v>36</v>
      </c>
      <c r="H148" s="2">
        <v>17.86</v>
      </c>
      <c r="I148" s="2" t="s">
        <v>83</v>
      </c>
      <c r="J148" s="2">
        <v>407</v>
      </c>
      <c r="K148" s="30">
        <v>44936</v>
      </c>
      <c r="L148" s="30" t="s">
        <v>1653</v>
      </c>
      <c r="M148" s="2" t="s">
        <v>24</v>
      </c>
      <c r="N148" s="2">
        <v>36082.199999999997</v>
      </c>
      <c r="O148" s="2" t="s">
        <v>48</v>
      </c>
      <c r="P148" s="2" t="s">
        <v>375</v>
      </c>
      <c r="Q148" s="2" t="s">
        <v>35</v>
      </c>
      <c r="R148" s="2">
        <v>9</v>
      </c>
      <c r="S148" s="2">
        <v>610312.24</v>
      </c>
      <c r="T148" s="38" t="s">
        <v>2879</v>
      </c>
      <c r="U148" s="13"/>
    </row>
    <row r="149" spans="1:21" x14ac:dyDescent="0.3">
      <c r="A149" s="2" t="s">
        <v>2043</v>
      </c>
      <c r="B149" s="2" t="s">
        <v>1756</v>
      </c>
      <c r="C149" s="2">
        <v>54</v>
      </c>
      <c r="D149" s="2" t="s">
        <v>72</v>
      </c>
      <c r="E149" s="2">
        <v>180528</v>
      </c>
      <c r="F149" s="2">
        <v>750000</v>
      </c>
      <c r="G149" s="2">
        <v>120</v>
      </c>
      <c r="H149" s="2">
        <v>19.72</v>
      </c>
      <c r="I149" s="2" t="s">
        <v>66</v>
      </c>
      <c r="J149" s="2">
        <v>866</v>
      </c>
      <c r="K149" s="30">
        <v>44388</v>
      </c>
      <c r="L149" s="30" t="s">
        <v>2044</v>
      </c>
      <c r="M149" s="2" t="s">
        <v>33</v>
      </c>
      <c r="N149" s="2">
        <v>14355.21</v>
      </c>
      <c r="O149" s="2" t="s">
        <v>105</v>
      </c>
      <c r="P149" s="2" t="s">
        <v>130</v>
      </c>
      <c r="Q149" s="2" t="s">
        <v>100</v>
      </c>
      <c r="R149" s="2">
        <v>3</v>
      </c>
      <c r="S149" s="2">
        <v>607883.42000000004</v>
      </c>
      <c r="T149" s="38" t="s">
        <v>2867</v>
      </c>
      <c r="U149" s="13"/>
    </row>
    <row r="150" spans="1:21" x14ac:dyDescent="0.3">
      <c r="A150" s="2" t="s">
        <v>1049</v>
      </c>
      <c r="B150" s="2" t="s">
        <v>1050</v>
      </c>
      <c r="C150" s="2">
        <v>43</v>
      </c>
      <c r="D150" s="2" t="s">
        <v>72</v>
      </c>
      <c r="E150" s="2">
        <v>141226</v>
      </c>
      <c r="F150" s="2">
        <v>1000000</v>
      </c>
      <c r="G150" s="2">
        <v>180</v>
      </c>
      <c r="H150" s="2">
        <v>14.45</v>
      </c>
      <c r="I150" s="2" t="s">
        <v>251</v>
      </c>
      <c r="J150" s="2">
        <v>720</v>
      </c>
      <c r="K150" s="30">
        <v>44526</v>
      </c>
      <c r="L150" s="30" t="s">
        <v>284</v>
      </c>
      <c r="M150" s="2" t="s">
        <v>24</v>
      </c>
      <c r="N150" s="2">
        <v>13621.1</v>
      </c>
      <c r="O150" s="2" t="s">
        <v>25</v>
      </c>
      <c r="P150" s="2" t="s">
        <v>34</v>
      </c>
      <c r="Q150" s="2" t="s">
        <v>42</v>
      </c>
      <c r="R150" s="2">
        <v>0</v>
      </c>
      <c r="S150" s="2">
        <v>607712.31999999995</v>
      </c>
      <c r="T150" s="38" t="s">
        <v>2871</v>
      </c>
      <c r="U150" s="13"/>
    </row>
    <row r="151" spans="1:21" x14ac:dyDescent="0.3">
      <c r="A151" s="2" t="s">
        <v>1262</v>
      </c>
      <c r="B151" s="2" t="s">
        <v>148</v>
      </c>
      <c r="C151" s="2">
        <v>64</v>
      </c>
      <c r="D151" s="2" t="s">
        <v>45</v>
      </c>
      <c r="E151" s="2">
        <v>234680</v>
      </c>
      <c r="F151" s="2">
        <v>750000</v>
      </c>
      <c r="G151" s="2">
        <v>60</v>
      </c>
      <c r="H151" s="2">
        <v>12.3</v>
      </c>
      <c r="I151" s="2" t="s">
        <v>22</v>
      </c>
      <c r="J151" s="2">
        <v>350</v>
      </c>
      <c r="K151" s="30">
        <v>44779</v>
      </c>
      <c r="L151" s="30" t="s">
        <v>1263</v>
      </c>
      <c r="M151" s="2" t="s">
        <v>24</v>
      </c>
      <c r="N151" s="2">
        <v>16797.259999999998</v>
      </c>
      <c r="O151" s="2" t="s">
        <v>25</v>
      </c>
      <c r="P151" s="2" t="s">
        <v>2998</v>
      </c>
      <c r="Q151" s="2" t="s">
        <v>27</v>
      </c>
      <c r="R151" s="2">
        <v>0</v>
      </c>
      <c r="S151" s="2">
        <v>598824.66</v>
      </c>
      <c r="T151" s="38" t="s">
        <v>2879</v>
      </c>
      <c r="U151" s="13"/>
    </row>
    <row r="152" spans="1:21" x14ac:dyDescent="0.3">
      <c r="A152" s="3" t="s">
        <v>1092</v>
      </c>
      <c r="B152" s="3" t="s">
        <v>1093</v>
      </c>
      <c r="C152" s="3">
        <v>53</v>
      </c>
      <c r="D152" s="3" t="s">
        <v>30</v>
      </c>
      <c r="E152" s="3">
        <v>76567</v>
      </c>
      <c r="F152" s="3">
        <v>1500000</v>
      </c>
      <c r="G152" s="3">
        <v>48</v>
      </c>
      <c r="H152" s="3">
        <v>20.149999999999999</v>
      </c>
      <c r="I152" s="3" t="s">
        <v>83</v>
      </c>
      <c r="J152" s="3">
        <v>534</v>
      </c>
      <c r="K152" s="29">
        <v>44516</v>
      </c>
      <c r="L152" s="29" t="s">
        <v>1095</v>
      </c>
      <c r="M152" s="3" t="s">
        <v>24</v>
      </c>
      <c r="N152" s="3">
        <v>45765.51</v>
      </c>
      <c r="O152" s="3" t="s">
        <v>105</v>
      </c>
      <c r="P152" s="3" t="s">
        <v>159</v>
      </c>
      <c r="Q152" s="3" t="s">
        <v>35</v>
      </c>
      <c r="R152" s="3">
        <v>9</v>
      </c>
      <c r="S152" s="3">
        <v>593842.9</v>
      </c>
      <c r="T152" s="38" t="s">
        <v>2879</v>
      </c>
      <c r="U152" s="13"/>
    </row>
    <row r="153" spans="1:21" x14ac:dyDescent="0.3">
      <c r="A153" s="2" t="s">
        <v>1971</v>
      </c>
      <c r="B153" s="2" t="s">
        <v>1972</v>
      </c>
      <c r="C153" s="2">
        <v>55</v>
      </c>
      <c r="D153" s="2" t="s">
        <v>45</v>
      </c>
      <c r="E153" s="2">
        <v>218579</v>
      </c>
      <c r="F153" s="2">
        <v>1500000</v>
      </c>
      <c r="G153" s="2">
        <v>48</v>
      </c>
      <c r="H153" s="2">
        <v>17.690000000000001</v>
      </c>
      <c r="I153" s="2" t="s">
        <v>83</v>
      </c>
      <c r="J153" s="2">
        <v>670</v>
      </c>
      <c r="K153" s="30">
        <v>45167</v>
      </c>
      <c r="L153" s="30" t="s">
        <v>1973</v>
      </c>
      <c r="M153" s="2" t="s">
        <v>24</v>
      </c>
      <c r="N153" s="2">
        <v>43819.89</v>
      </c>
      <c r="O153" s="2" t="s">
        <v>25</v>
      </c>
      <c r="P153" s="2" t="s">
        <v>34</v>
      </c>
      <c r="Q153" s="2" t="s">
        <v>42</v>
      </c>
      <c r="R153" s="2">
        <v>0</v>
      </c>
      <c r="S153" s="2">
        <v>592928.28</v>
      </c>
      <c r="T153" s="38" t="s">
        <v>2871</v>
      </c>
      <c r="U153" s="13"/>
    </row>
    <row r="154" spans="1:21" x14ac:dyDescent="0.3">
      <c r="A154" s="3" t="s">
        <v>1741</v>
      </c>
      <c r="B154" s="3" t="s">
        <v>1742</v>
      </c>
      <c r="C154" s="3">
        <v>42</v>
      </c>
      <c r="D154" s="3" t="s">
        <v>45</v>
      </c>
      <c r="E154" s="3">
        <v>127601</v>
      </c>
      <c r="F154" s="3">
        <v>1000000</v>
      </c>
      <c r="G154" s="3">
        <v>48</v>
      </c>
      <c r="H154" s="3">
        <v>20.85</v>
      </c>
      <c r="I154" s="3" t="s">
        <v>83</v>
      </c>
      <c r="J154" s="3">
        <v>848</v>
      </c>
      <c r="K154" s="29">
        <v>44306</v>
      </c>
      <c r="L154" s="29" t="s">
        <v>1265</v>
      </c>
      <c r="M154" s="3" t="s">
        <v>24</v>
      </c>
      <c r="N154" s="3">
        <v>30885.07</v>
      </c>
      <c r="O154" s="3" t="s">
        <v>48</v>
      </c>
      <c r="P154" s="3" t="s">
        <v>86</v>
      </c>
      <c r="Q154" s="3" t="s">
        <v>35</v>
      </c>
      <c r="R154" s="3">
        <v>5</v>
      </c>
      <c r="S154" s="3">
        <v>583051.55000000005</v>
      </c>
      <c r="T154" s="38" t="s">
        <v>2867</v>
      </c>
      <c r="U154" s="13"/>
    </row>
    <row r="155" spans="1:21" x14ac:dyDescent="0.3">
      <c r="A155" s="3" t="s">
        <v>710</v>
      </c>
      <c r="B155" s="3" t="s">
        <v>1951</v>
      </c>
      <c r="C155" s="3">
        <v>65</v>
      </c>
      <c r="D155" s="3" t="s">
        <v>21</v>
      </c>
      <c r="E155" s="3">
        <v>176083</v>
      </c>
      <c r="F155" s="3">
        <v>750000</v>
      </c>
      <c r="G155" s="3">
        <v>24</v>
      </c>
      <c r="H155" s="3">
        <v>17.25</v>
      </c>
      <c r="I155" s="3" t="s">
        <v>38</v>
      </c>
      <c r="J155" s="3">
        <v>420</v>
      </c>
      <c r="K155" s="29">
        <v>44961</v>
      </c>
      <c r="L155" s="29" t="s">
        <v>47</v>
      </c>
      <c r="M155" s="3" t="s">
        <v>24</v>
      </c>
      <c r="N155" s="3">
        <v>37171.85</v>
      </c>
      <c r="O155" s="3" t="s">
        <v>105</v>
      </c>
      <c r="P155" s="3" t="s">
        <v>130</v>
      </c>
      <c r="Q155" s="3" t="s">
        <v>27</v>
      </c>
      <c r="R155" s="3">
        <v>0</v>
      </c>
      <c r="S155" s="3">
        <v>582726.68000000005</v>
      </c>
      <c r="T155" s="38" t="s">
        <v>2879</v>
      </c>
      <c r="U155" s="13"/>
    </row>
    <row r="156" spans="1:21" x14ac:dyDescent="0.3">
      <c r="A156" s="3" t="s">
        <v>2797</v>
      </c>
      <c r="B156" s="3" t="s">
        <v>2798</v>
      </c>
      <c r="C156" s="3">
        <v>60</v>
      </c>
      <c r="D156" s="3" t="s">
        <v>30</v>
      </c>
      <c r="E156" s="3">
        <v>207260</v>
      </c>
      <c r="F156" s="3">
        <v>2000000</v>
      </c>
      <c r="G156" s="3">
        <v>12</v>
      </c>
      <c r="H156" s="3">
        <v>10.35</v>
      </c>
      <c r="I156" s="3" t="s">
        <v>66</v>
      </c>
      <c r="J156" s="3">
        <v>684</v>
      </c>
      <c r="K156" s="29">
        <v>44433</v>
      </c>
      <c r="L156" s="29" t="s">
        <v>1590</v>
      </c>
      <c r="M156" s="3" t="s">
        <v>24</v>
      </c>
      <c r="N156" s="3">
        <v>176157.5</v>
      </c>
      <c r="O156" s="3" t="s">
        <v>54</v>
      </c>
      <c r="P156" s="3" t="s">
        <v>164</v>
      </c>
      <c r="Q156" s="3" t="s">
        <v>42</v>
      </c>
      <c r="R156" s="3">
        <v>0</v>
      </c>
      <c r="S156" s="3">
        <v>573124.25</v>
      </c>
      <c r="T156" s="38" t="s">
        <v>2871</v>
      </c>
      <c r="U156" s="13"/>
    </row>
    <row r="157" spans="1:21" x14ac:dyDescent="0.3">
      <c r="A157" s="3" t="s">
        <v>1440</v>
      </c>
      <c r="B157" s="3" t="s">
        <v>1441</v>
      </c>
      <c r="C157" s="3">
        <v>23</v>
      </c>
      <c r="D157" s="3" t="s">
        <v>65</v>
      </c>
      <c r="E157" s="3">
        <v>145919</v>
      </c>
      <c r="F157" s="3">
        <v>2000000</v>
      </c>
      <c r="G157" s="3">
        <v>36</v>
      </c>
      <c r="H157" s="3">
        <v>21.24</v>
      </c>
      <c r="I157" s="3" t="s">
        <v>38</v>
      </c>
      <c r="J157" s="3">
        <v>459</v>
      </c>
      <c r="K157" s="29">
        <v>44802</v>
      </c>
      <c r="L157" s="29" t="s">
        <v>952</v>
      </c>
      <c r="M157" s="3" t="s">
        <v>24</v>
      </c>
      <c r="N157" s="3">
        <v>75596.81</v>
      </c>
      <c r="O157" s="3" t="s">
        <v>25</v>
      </c>
      <c r="P157" s="3" t="s">
        <v>123</v>
      </c>
      <c r="Q157" s="3" t="s">
        <v>42</v>
      </c>
      <c r="R157" s="3">
        <v>2</v>
      </c>
      <c r="S157" s="3">
        <v>571220.29</v>
      </c>
      <c r="T157" s="38" t="s">
        <v>2879</v>
      </c>
      <c r="U157" s="13"/>
    </row>
    <row r="158" spans="1:21" x14ac:dyDescent="0.3">
      <c r="A158" s="3" t="s">
        <v>2497</v>
      </c>
      <c r="B158" s="3" t="s">
        <v>2498</v>
      </c>
      <c r="C158" s="3">
        <v>28</v>
      </c>
      <c r="D158" s="3" t="s">
        <v>65</v>
      </c>
      <c r="E158" s="3">
        <v>65635</v>
      </c>
      <c r="F158" s="3">
        <v>750000</v>
      </c>
      <c r="G158" s="3">
        <v>36</v>
      </c>
      <c r="H158" s="3">
        <v>21.96</v>
      </c>
      <c r="I158" s="3" t="s">
        <v>38</v>
      </c>
      <c r="J158" s="3">
        <v>765</v>
      </c>
      <c r="K158" s="29">
        <v>44331</v>
      </c>
      <c r="L158" s="29" t="s">
        <v>2149</v>
      </c>
      <c r="M158" s="3" t="s">
        <v>122</v>
      </c>
      <c r="N158" s="3">
        <v>28627.32</v>
      </c>
      <c r="O158" s="3" t="s">
        <v>54</v>
      </c>
      <c r="P158" s="3" t="s">
        <v>164</v>
      </c>
      <c r="Q158" s="3" t="s">
        <v>27</v>
      </c>
      <c r="R158" s="3">
        <v>1</v>
      </c>
      <c r="S158" s="3">
        <v>569647.88</v>
      </c>
      <c r="T158" s="38" t="s">
        <v>2867</v>
      </c>
      <c r="U158" s="13"/>
    </row>
    <row r="159" spans="1:21" x14ac:dyDescent="0.3">
      <c r="A159" s="3" t="s">
        <v>601</v>
      </c>
      <c r="B159" s="3" t="s">
        <v>602</v>
      </c>
      <c r="C159" s="3">
        <v>35</v>
      </c>
      <c r="D159" s="3" t="s">
        <v>72</v>
      </c>
      <c r="E159" s="3">
        <v>41449</v>
      </c>
      <c r="F159" s="3">
        <v>750000</v>
      </c>
      <c r="G159" s="3">
        <v>12</v>
      </c>
      <c r="H159" s="3">
        <v>13.97</v>
      </c>
      <c r="I159" s="3" t="s">
        <v>46</v>
      </c>
      <c r="J159" s="3">
        <v>550</v>
      </c>
      <c r="K159" s="29">
        <v>44641</v>
      </c>
      <c r="L159" s="29" t="s">
        <v>603</v>
      </c>
      <c r="M159" s="3" t="s">
        <v>33</v>
      </c>
      <c r="N159" s="3">
        <v>67329.75</v>
      </c>
      <c r="O159" s="3" t="s">
        <v>25</v>
      </c>
      <c r="P159" s="3" t="s">
        <v>2998</v>
      </c>
      <c r="Q159" s="3" t="s">
        <v>35</v>
      </c>
      <c r="R159" s="3">
        <v>7</v>
      </c>
      <c r="S159" s="3">
        <v>568209.68000000005</v>
      </c>
      <c r="T159" s="38" t="s">
        <v>2875</v>
      </c>
      <c r="U159" s="13"/>
    </row>
    <row r="160" spans="1:21" x14ac:dyDescent="0.3">
      <c r="A160" s="3" t="s">
        <v>2519</v>
      </c>
      <c r="B160" s="3" t="s">
        <v>2520</v>
      </c>
      <c r="C160" s="3">
        <v>35</v>
      </c>
      <c r="D160" s="3" t="s">
        <v>21</v>
      </c>
      <c r="E160" s="3">
        <v>26470</v>
      </c>
      <c r="F160" s="3">
        <v>750000</v>
      </c>
      <c r="G160" s="3">
        <v>12</v>
      </c>
      <c r="H160" s="3">
        <v>21.25</v>
      </c>
      <c r="I160" s="3" t="s">
        <v>38</v>
      </c>
      <c r="J160" s="3">
        <v>556</v>
      </c>
      <c r="K160" s="29">
        <v>44312</v>
      </c>
      <c r="L160" s="29" t="s">
        <v>585</v>
      </c>
      <c r="M160" s="3" t="s">
        <v>33</v>
      </c>
      <c r="N160" s="3">
        <v>69925.350000000006</v>
      </c>
      <c r="O160" s="3" t="s">
        <v>105</v>
      </c>
      <c r="P160" s="3" t="s">
        <v>130</v>
      </c>
      <c r="Q160" s="3" t="s">
        <v>27</v>
      </c>
      <c r="R160" s="3">
        <v>1</v>
      </c>
      <c r="S160" s="3">
        <v>561201.55000000005</v>
      </c>
      <c r="T160" s="38" t="s">
        <v>2875</v>
      </c>
      <c r="U160" s="13"/>
    </row>
    <row r="161" spans="1:21" x14ac:dyDescent="0.3">
      <c r="A161" s="2" t="s">
        <v>1588</v>
      </c>
      <c r="B161" s="2" t="s">
        <v>1589</v>
      </c>
      <c r="C161" s="2">
        <v>64</v>
      </c>
      <c r="D161" s="2" t="s">
        <v>65</v>
      </c>
      <c r="E161" s="2">
        <v>134027</v>
      </c>
      <c r="F161" s="2">
        <v>1000000</v>
      </c>
      <c r="G161" s="2">
        <v>60</v>
      </c>
      <c r="H161" s="2">
        <v>16.12</v>
      </c>
      <c r="I161" s="2" t="s">
        <v>46</v>
      </c>
      <c r="J161" s="2">
        <v>637</v>
      </c>
      <c r="K161" s="30">
        <v>44461</v>
      </c>
      <c r="L161" s="30" t="s">
        <v>1591</v>
      </c>
      <c r="M161" s="2" t="s">
        <v>33</v>
      </c>
      <c r="N161" s="2">
        <v>24381.86</v>
      </c>
      <c r="O161" s="2" t="s">
        <v>25</v>
      </c>
      <c r="P161" s="2" t="s">
        <v>123</v>
      </c>
      <c r="Q161" s="2" t="s">
        <v>42</v>
      </c>
      <c r="R161" s="2">
        <v>1</v>
      </c>
      <c r="S161" s="2">
        <v>561126.52</v>
      </c>
      <c r="T161" s="38" t="s">
        <v>2875</v>
      </c>
      <c r="U161" s="13"/>
    </row>
    <row r="162" spans="1:21" x14ac:dyDescent="0.3">
      <c r="A162" s="3" t="s">
        <v>2017</v>
      </c>
      <c r="B162" s="3" t="s">
        <v>2018</v>
      </c>
      <c r="C162" s="3">
        <v>31</v>
      </c>
      <c r="D162" s="3" t="s">
        <v>30</v>
      </c>
      <c r="E162" s="3">
        <v>98935</v>
      </c>
      <c r="F162" s="3">
        <v>750000</v>
      </c>
      <c r="G162" s="3">
        <v>12</v>
      </c>
      <c r="H162" s="3">
        <v>21.82</v>
      </c>
      <c r="I162" s="3" t="s">
        <v>73</v>
      </c>
      <c r="J162" s="3">
        <v>363</v>
      </c>
      <c r="K162" s="29">
        <v>44307</v>
      </c>
      <c r="L162" s="29" t="s">
        <v>2019</v>
      </c>
      <c r="M162" s="3" t="s">
        <v>24</v>
      </c>
      <c r="N162" s="3">
        <v>70130.83</v>
      </c>
      <c r="O162" s="3" t="s">
        <v>48</v>
      </c>
      <c r="P162" s="3" t="s">
        <v>80</v>
      </c>
      <c r="Q162" s="3" t="s">
        <v>35</v>
      </c>
      <c r="R162" s="3">
        <v>7</v>
      </c>
      <c r="S162" s="3">
        <v>560646.76</v>
      </c>
      <c r="T162" s="38" t="s">
        <v>2879</v>
      </c>
      <c r="U162" s="13"/>
    </row>
    <row r="163" spans="1:21" x14ac:dyDescent="0.3">
      <c r="A163" s="3" t="s">
        <v>719</v>
      </c>
      <c r="B163" s="3" t="s">
        <v>720</v>
      </c>
      <c r="C163" s="3">
        <v>57</v>
      </c>
      <c r="D163" s="3" t="s">
        <v>45</v>
      </c>
      <c r="E163" s="3">
        <v>44677</v>
      </c>
      <c r="F163" s="3">
        <v>750000</v>
      </c>
      <c r="G163" s="3">
        <v>24</v>
      </c>
      <c r="H163" s="3">
        <v>11.38</v>
      </c>
      <c r="I163" s="3" t="s">
        <v>38</v>
      </c>
      <c r="J163" s="3">
        <v>855</v>
      </c>
      <c r="K163" s="29">
        <v>45067</v>
      </c>
      <c r="L163" s="29" t="s">
        <v>721</v>
      </c>
      <c r="M163" s="3" t="s">
        <v>122</v>
      </c>
      <c r="N163" s="3">
        <v>35088.339999999997</v>
      </c>
      <c r="O163" s="3" t="s">
        <v>25</v>
      </c>
      <c r="P163" s="3" t="s">
        <v>2998</v>
      </c>
      <c r="Q163" s="3" t="s">
        <v>42</v>
      </c>
      <c r="R163" s="3">
        <v>2</v>
      </c>
      <c r="S163" s="3">
        <v>560522.96</v>
      </c>
      <c r="T163" s="38" t="s">
        <v>2867</v>
      </c>
      <c r="U163" s="13"/>
    </row>
    <row r="164" spans="1:21" x14ac:dyDescent="0.3">
      <c r="A164" s="3" t="s">
        <v>1933</v>
      </c>
      <c r="B164" s="3" t="s">
        <v>359</v>
      </c>
      <c r="C164" s="3">
        <v>28</v>
      </c>
      <c r="D164" s="3" t="s">
        <v>72</v>
      </c>
      <c r="E164" s="3">
        <v>158282</v>
      </c>
      <c r="F164" s="3">
        <v>750000</v>
      </c>
      <c r="G164" s="3">
        <v>84</v>
      </c>
      <c r="H164" s="3">
        <v>11.87</v>
      </c>
      <c r="I164" s="3" t="s">
        <v>31</v>
      </c>
      <c r="J164" s="3">
        <v>506</v>
      </c>
      <c r="K164" s="29">
        <v>44589</v>
      </c>
      <c r="L164" s="29" t="s">
        <v>217</v>
      </c>
      <c r="M164" s="3" t="s">
        <v>24</v>
      </c>
      <c r="N164" s="3">
        <v>13187.46</v>
      </c>
      <c r="O164" s="3" t="s">
        <v>54</v>
      </c>
      <c r="P164" s="3" t="s">
        <v>2996</v>
      </c>
      <c r="Q164" s="3" t="s">
        <v>27</v>
      </c>
      <c r="R164" s="3">
        <v>0</v>
      </c>
      <c r="S164" s="3">
        <v>560100.57999999996</v>
      </c>
      <c r="T164" s="38" t="s">
        <v>2879</v>
      </c>
      <c r="U164" s="13"/>
    </row>
    <row r="165" spans="1:21" x14ac:dyDescent="0.3">
      <c r="A165" s="2" t="s">
        <v>2585</v>
      </c>
      <c r="B165" s="2" t="s">
        <v>2586</v>
      </c>
      <c r="C165" s="2">
        <v>63</v>
      </c>
      <c r="D165" s="2" t="s">
        <v>30</v>
      </c>
      <c r="E165" s="2">
        <v>171653</v>
      </c>
      <c r="F165" s="2">
        <v>750000</v>
      </c>
      <c r="G165" s="2">
        <v>24</v>
      </c>
      <c r="H165" s="2">
        <v>11.79</v>
      </c>
      <c r="I165" s="2" t="s">
        <v>46</v>
      </c>
      <c r="J165" s="2">
        <v>499</v>
      </c>
      <c r="K165" s="30">
        <v>44967</v>
      </c>
      <c r="L165" s="30" t="s">
        <v>1723</v>
      </c>
      <c r="M165" s="2" t="s">
        <v>24</v>
      </c>
      <c r="N165" s="2">
        <v>35231.599999999999</v>
      </c>
      <c r="O165" s="2" t="s">
        <v>54</v>
      </c>
      <c r="P165" s="2" t="s">
        <v>99</v>
      </c>
      <c r="Q165" s="2" t="s">
        <v>42</v>
      </c>
      <c r="R165" s="2">
        <v>1</v>
      </c>
      <c r="S165" s="2">
        <v>528040.92000000004</v>
      </c>
      <c r="T165" s="38" t="s">
        <v>2879</v>
      </c>
      <c r="U165" s="13"/>
    </row>
    <row r="166" spans="1:21" x14ac:dyDescent="0.3">
      <c r="A166" s="3" t="s">
        <v>2482</v>
      </c>
      <c r="B166" s="3" t="s">
        <v>2483</v>
      </c>
      <c r="C166" s="3">
        <v>60</v>
      </c>
      <c r="D166" s="3" t="s">
        <v>65</v>
      </c>
      <c r="E166" s="3">
        <v>127939</v>
      </c>
      <c r="F166" s="3">
        <v>1500000</v>
      </c>
      <c r="G166" s="3">
        <v>36</v>
      </c>
      <c r="H166" s="3">
        <v>21.8</v>
      </c>
      <c r="I166" s="3" t="s">
        <v>83</v>
      </c>
      <c r="J166" s="3">
        <v>762</v>
      </c>
      <c r="K166" s="29">
        <v>44873</v>
      </c>
      <c r="L166" s="29" t="s">
        <v>1432</v>
      </c>
      <c r="M166" s="3" t="s">
        <v>24</v>
      </c>
      <c r="N166" s="3">
        <v>57130.6</v>
      </c>
      <c r="O166" s="3" t="s">
        <v>48</v>
      </c>
      <c r="P166" s="3" t="s">
        <v>375</v>
      </c>
      <c r="Q166" s="3" t="s">
        <v>42</v>
      </c>
      <c r="R166" s="3">
        <v>2</v>
      </c>
      <c r="S166" s="3">
        <v>523066.74</v>
      </c>
      <c r="T166" s="38" t="s">
        <v>2867</v>
      </c>
      <c r="U166" s="13"/>
    </row>
    <row r="167" spans="1:21" x14ac:dyDescent="0.3">
      <c r="A167" s="3" t="s">
        <v>1626</v>
      </c>
      <c r="B167" s="3" t="s">
        <v>1627</v>
      </c>
      <c r="C167" s="3">
        <v>30</v>
      </c>
      <c r="D167" s="3" t="s">
        <v>21</v>
      </c>
      <c r="E167" s="3">
        <v>204528</v>
      </c>
      <c r="F167" s="3">
        <v>1500000</v>
      </c>
      <c r="G167" s="3">
        <v>120</v>
      </c>
      <c r="H167" s="3">
        <v>21.42</v>
      </c>
      <c r="I167" s="3" t="s">
        <v>38</v>
      </c>
      <c r="J167" s="3">
        <v>783</v>
      </c>
      <c r="K167" s="29">
        <v>44373</v>
      </c>
      <c r="L167" s="29" t="s">
        <v>112</v>
      </c>
      <c r="M167" s="3" t="s">
        <v>24</v>
      </c>
      <c r="N167" s="3">
        <v>30414.36</v>
      </c>
      <c r="O167" s="3" t="s">
        <v>105</v>
      </c>
      <c r="P167" s="3" t="s">
        <v>2999</v>
      </c>
      <c r="Q167" s="3" t="s">
        <v>42</v>
      </c>
      <c r="R167" s="3">
        <v>0</v>
      </c>
      <c r="S167" s="3">
        <v>514574.74</v>
      </c>
      <c r="T167" s="38" t="s">
        <v>2867</v>
      </c>
      <c r="U167" s="13"/>
    </row>
    <row r="168" spans="1:21" x14ac:dyDescent="0.3">
      <c r="A168" s="3" t="s">
        <v>575</v>
      </c>
      <c r="B168" s="3" t="s">
        <v>2944</v>
      </c>
      <c r="C168" s="3">
        <v>41</v>
      </c>
      <c r="D168" s="3" t="s">
        <v>45</v>
      </c>
      <c r="E168" s="3">
        <v>204499</v>
      </c>
      <c r="F168" s="3">
        <v>750000</v>
      </c>
      <c r="G168" s="3">
        <v>12</v>
      </c>
      <c r="H168" s="3">
        <v>11.29</v>
      </c>
      <c r="I168" s="3" t="s">
        <v>38</v>
      </c>
      <c r="J168" s="3">
        <v>541</v>
      </c>
      <c r="K168" s="29">
        <v>44524</v>
      </c>
      <c r="L168" s="29" t="s">
        <v>576</v>
      </c>
      <c r="M168" s="3" t="s">
        <v>24</v>
      </c>
      <c r="N168" s="3">
        <v>66387.740000000005</v>
      </c>
      <c r="O168" s="3" t="s">
        <v>25</v>
      </c>
      <c r="P168" s="3" t="s">
        <v>26</v>
      </c>
      <c r="Q168" s="3" t="s">
        <v>42</v>
      </c>
      <c r="R168" s="3">
        <v>1</v>
      </c>
      <c r="S168" s="3">
        <v>511004.14</v>
      </c>
      <c r="T168" s="38" t="s">
        <v>2879</v>
      </c>
      <c r="U168" s="13"/>
    </row>
    <row r="169" spans="1:21" x14ac:dyDescent="0.3">
      <c r="A169" s="2" t="s">
        <v>1777</v>
      </c>
      <c r="B169" s="2" t="s">
        <v>1534</v>
      </c>
      <c r="C169" s="2">
        <v>62</v>
      </c>
      <c r="D169" s="2" t="s">
        <v>45</v>
      </c>
      <c r="E169" s="2">
        <v>91517</v>
      </c>
      <c r="F169" s="2">
        <v>1000000</v>
      </c>
      <c r="G169" s="2">
        <v>24</v>
      </c>
      <c r="H169" s="2">
        <v>17.62</v>
      </c>
      <c r="I169" s="2" t="s">
        <v>83</v>
      </c>
      <c r="J169" s="2">
        <v>805</v>
      </c>
      <c r="K169" s="30">
        <v>44353</v>
      </c>
      <c r="L169" s="30" t="s">
        <v>560</v>
      </c>
      <c r="M169" s="2" t="s">
        <v>24</v>
      </c>
      <c r="N169" s="2">
        <v>49740.69</v>
      </c>
      <c r="O169" s="2" t="s">
        <v>60</v>
      </c>
      <c r="P169" s="2" t="s">
        <v>69</v>
      </c>
      <c r="Q169" s="2" t="s">
        <v>35</v>
      </c>
      <c r="R169" s="2">
        <v>1</v>
      </c>
      <c r="S169" s="2">
        <v>507567.17</v>
      </c>
      <c r="T169" s="38" t="s">
        <v>2867</v>
      </c>
      <c r="U169" s="13"/>
    </row>
    <row r="170" spans="1:21" x14ac:dyDescent="0.3">
      <c r="A170" s="3" t="s">
        <v>1798</v>
      </c>
      <c r="B170" s="3" t="s">
        <v>1148</v>
      </c>
      <c r="C170" s="3">
        <v>28</v>
      </c>
      <c r="D170" s="3" t="s">
        <v>45</v>
      </c>
      <c r="E170" s="3">
        <v>222424</v>
      </c>
      <c r="F170" s="3">
        <v>750000</v>
      </c>
      <c r="G170" s="3">
        <v>36</v>
      </c>
      <c r="H170" s="3">
        <v>11.15</v>
      </c>
      <c r="I170" s="3" t="s">
        <v>22</v>
      </c>
      <c r="J170" s="3">
        <v>632</v>
      </c>
      <c r="K170" s="29">
        <v>44848</v>
      </c>
      <c r="L170" s="29" t="s">
        <v>163</v>
      </c>
      <c r="M170" s="3" t="s">
        <v>33</v>
      </c>
      <c r="N170" s="3">
        <v>24607.35</v>
      </c>
      <c r="O170" s="3" t="s">
        <v>60</v>
      </c>
      <c r="P170" s="3" t="s">
        <v>192</v>
      </c>
      <c r="Q170" s="3" t="s">
        <v>27</v>
      </c>
      <c r="R170" s="3">
        <v>1</v>
      </c>
      <c r="S170" s="3">
        <v>506387.23</v>
      </c>
      <c r="T170" s="38" t="s">
        <v>2875</v>
      </c>
      <c r="U170" s="13"/>
    </row>
    <row r="171" spans="1:21" x14ac:dyDescent="0.3">
      <c r="A171" s="2" t="s">
        <v>1075</v>
      </c>
      <c r="B171" s="2" t="s">
        <v>1076</v>
      </c>
      <c r="C171" s="2">
        <v>46</v>
      </c>
      <c r="D171" s="2" t="s">
        <v>65</v>
      </c>
      <c r="E171" s="2">
        <v>175947</v>
      </c>
      <c r="F171" s="2">
        <v>1000000</v>
      </c>
      <c r="G171" s="2">
        <v>240</v>
      </c>
      <c r="H171" s="2">
        <v>11.65</v>
      </c>
      <c r="I171" s="2" t="s">
        <v>46</v>
      </c>
      <c r="J171" s="2">
        <v>479</v>
      </c>
      <c r="K171" s="30">
        <v>45258</v>
      </c>
      <c r="L171" s="30" t="s">
        <v>1077</v>
      </c>
      <c r="M171" s="2" t="s">
        <v>24</v>
      </c>
      <c r="N171" s="2">
        <v>10767.84</v>
      </c>
      <c r="O171" s="2" t="s">
        <v>60</v>
      </c>
      <c r="P171" s="2" t="s">
        <v>2997</v>
      </c>
      <c r="Q171" s="2" t="s">
        <v>27</v>
      </c>
      <c r="R171" s="2">
        <v>0</v>
      </c>
      <c r="S171" s="2">
        <v>505756.14</v>
      </c>
      <c r="T171" s="38" t="s">
        <v>2879</v>
      </c>
      <c r="U171" s="13"/>
    </row>
    <row r="172" spans="1:21" x14ac:dyDescent="0.3">
      <c r="A172" s="3" t="s">
        <v>536</v>
      </c>
      <c r="B172" s="3" t="s">
        <v>537</v>
      </c>
      <c r="C172" s="3">
        <v>43</v>
      </c>
      <c r="D172" s="3" t="s">
        <v>72</v>
      </c>
      <c r="E172" s="3">
        <v>124193</v>
      </c>
      <c r="F172" s="3">
        <v>750000</v>
      </c>
      <c r="G172" s="3">
        <v>60</v>
      </c>
      <c r="H172" s="3">
        <v>19.05</v>
      </c>
      <c r="I172" s="3" t="s">
        <v>46</v>
      </c>
      <c r="J172" s="3">
        <v>785</v>
      </c>
      <c r="K172" s="29">
        <v>44302</v>
      </c>
      <c r="L172" s="29" t="s">
        <v>539</v>
      </c>
      <c r="M172" s="3" t="s">
        <v>24</v>
      </c>
      <c r="N172" s="3">
        <v>19476.05</v>
      </c>
      <c r="O172" s="3" t="s">
        <v>48</v>
      </c>
      <c r="P172" s="3" t="s">
        <v>375</v>
      </c>
      <c r="Q172" s="3" t="s">
        <v>42</v>
      </c>
      <c r="R172" s="3">
        <v>2</v>
      </c>
      <c r="S172" s="3">
        <v>504601.77</v>
      </c>
      <c r="T172" s="38" t="s">
        <v>2867</v>
      </c>
      <c r="U172" s="13"/>
    </row>
    <row r="173" spans="1:21" x14ac:dyDescent="0.3">
      <c r="A173" s="2" t="s">
        <v>2768</v>
      </c>
      <c r="B173" s="2" t="s">
        <v>2769</v>
      </c>
      <c r="C173" s="2">
        <v>64</v>
      </c>
      <c r="D173" s="2" t="s">
        <v>30</v>
      </c>
      <c r="E173" s="2">
        <v>239855</v>
      </c>
      <c r="F173" s="2">
        <v>1000000</v>
      </c>
      <c r="G173" s="2">
        <v>36</v>
      </c>
      <c r="H173" s="2">
        <v>10.5</v>
      </c>
      <c r="I173" s="2" t="s">
        <v>38</v>
      </c>
      <c r="J173" s="2">
        <v>492</v>
      </c>
      <c r="K173" s="30">
        <v>45092</v>
      </c>
      <c r="L173" s="30" t="s">
        <v>2770</v>
      </c>
      <c r="M173" s="2" t="s">
        <v>24</v>
      </c>
      <c r="N173" s="2">
        <v>32502.44</v>
      </c>
      <c r="O173" s="2" t="s">
        <v>105</v>
      </c>
      <c r="P173" s="2" t="s">
        <v>118</v>
      </c>
      <c r="Q173" s="2" t="s">
        <v>42</v>
      </c>
      <c r="R173" s="2">
        <v>1</v>
      </c>
      <c r="S173" s="2">
        <v>502712.67</v>
      </c>
      <c r="T173" s="38" t="s">
        <v>2879</v>
      </c>
      <c r="U173" s="13"/>
    </row>
    <row r="174" spans="1:21" x14ac:dyDescent="0.3">
      <c r="A174" s="3" t="s">
        <v>127</v>
      </c>
      <c r="B174" s="3" t="s">
        <v>128</v>
      </c>
      <c r="C174" s="3">
        <v>59</v>
      </c>
      <c r="D174" s="3" t="s">
        <v>45</v>
      </c>
      <c r="E174" s="3">
        <v>25418</v>
      </c>
      <c r="F174" s="3">
        <v>750000</v>
      </c>
      <c r="G174" s="3">
        <v>24</v>
      </c>
      <c r="H174" s="3">
        <v>13.58</v>
      </c>
      <c r="I174" s="3" t="s">
        <v>38</v>
      </c>
      <c r="J174" s="3">
        <v>567</v>
      </c>
      <c r="K174" s="29">
        <v>45007</v>
      </c>
      <c r="L174" s="29" t="s">
        <v>93</v>
      </c>
      <c r="M174" s="3" t="s">
        <v>24</v>
      </c>
      <c r="N174" s="3">
        <v>35861.03</v>
      </c>
      <c r="O174" s="3" t="s">
        <v>105</v>
      </c>
      <c r="P174" s="3" t="s">
        <v>130</v>
      </c>
      <c r="Q174" s="3" t="s">
        <v>42</v>
      </c>
      <c r="R174" s="3">
        <v>0</v>
      </c>
      <c r="S174" s="3">
        <v>491800.58</v>
      </c>
      <c r="T174" s="38" t="s">
        <v>2875</v>
      </c>
      <c r="U174" s="13"/>
    </row>
    <row r="175" spans="1:21" x14ac:dyDescent="0.3">
      <c r="A175" s="2" t="s">
        <v>2325</v>
      </c>
      <c r="B175" s="2" t="s">
        <v>2326</v>
      </c>
      <c r="C175" s="2">
        <v>38</v>
      </c>
      <c r="D175" s="2" t="s">
        <v>65</v>
      </c>
      <c r="E175" s="2">
        <v>103463</v>
      </c>
      <c r="F175" s="2">
        <v>1000000</v>
      </c>
      <c r="G175" s="2">
        <v>60</v>
      </c>
      <c r="H175" s="2">
        <v>18.62</v>
      </c>
      <c r="I175" s="2" t="s">
        <v>46</v>
      </c>
      <c r="J175" s="2">
        <v>855</v>
      </c>
      <c r="K175" s="30">
        <v>45051</v>
      </c>
      <c r="L175" s="30" t="s">
        <v>2198</v>
      </c>
      <c r="M175" s="2" t="s">
        <v>24</v>
      </c>
      <c r="N175" s="2">
        <v>25731.91</v>
      </c>
      <c r="O175" s="2" t="s">
        <v>48</v>
      </c>
      <c r="P175" s="2" t="s">
        <v>86</v>
      </c>
      <c r="Q175" s="2" t="s">
        <v>42</v>
      </c>
      <c r="R175" s="2">
        <v>1</v>
      </c>
      <c r="S175" s="2">
        <v>490508.18</v>
      </c>
      <c r="T175" s="38" t="s">
        <v>2867</v>
      </c>
      <c r="U175" s="13"/>
    </row>
    <row r="176" spans="1:21" x14ac:dyDescent="0.3">
      <c r="A176" s="3" t="s">
        <v>2675</v>
      </c>
      <c r="B176" s="3" t="s">
        <v>2676</v>
      </c>
      <c r="C176" s="3">
        <v>61</v>
      </c>
      <c r="D176" s="3" t="s">
        <v>65</v>
      </c>
      <c r="E176" s="3">
        <v>21036</v>
      </c>
      <c r="F176" s="3">
        <v>500000</v>
      </c>
      <c r="G176" s="3">
        <v>60</v>
      </c>
      <c r="H176" s="3">
        <v>10.47</v>
      </c>
      <c r="I176" s="3" t="s">
        <v>31</v>
      </c>
      <c r="J176" s="3">
        <v>747</v>
      </c>
      <c r="K176" s="29">
        <v>45219</v>
      </c>
      <c r="L176" s="29" t="s">
        <v>1072</v>
      </c>
      <c r="M176" s="3" t="s">
        <v>24</v>
      </c>
      <c r="N176" s="3">
        <v>10739.52</v>
      </c>
      <c r="O176" s="3" t="s">
        <v>54</v>
      </c>
      <c r="P176" s="3" t="s">
        <v>183</v>
      </c>
      <c r="Q176" s="3" t="s">
        <v>42</v>
      </c>
      <c r="R176" s="3">
        <v>1</v>
      </c>
      <c r="S176" s="3">
        <v>490334.43</v>
      </c>
      <c r="T176" s="38" t="s">
        <v>2871</v>
      </c>
      <c r="U176" s="13"/>
    </row>
    <row r="177" spans="1:21" x14ac:dyDescent="0.3">
      <c r="A177" s="2" t="s">
        <v>2757</v>
      </c>
      <c r="B177" s="2" t="s">
        <v>2758</v>
      </c>
      <c r="C177" s="2">
        <v>38</v>
      </c>
      <c r="D177" s="2" t="s">
        <v>30</v>
      </c>
      <c r="E177" s="2">
        <v>169888</v>
      </c>
      <c r="F177" s="2">
        <v>500000</v>
      </c>
      <c r="G177" s="2">
        <v>48</v>
      </c>
      <c r="H177" s="2">
        <v>8.69</v>
      </c>
      <c r="I177" s="2" t="s">
        <v>251</v>
      </c>
      <c r="J177" s="2">
        <v>489</v>
      </c>
      <c r="K177" s="30">
        <v>45160</v>
      </c>
      <c r="L177" s="30" t="s">
        <v>2759</v>
      </c>
      <c r="M177" s="2" t="s">
        <v>33</v>
      </c>
      <c r="N177" s="2">
        <v>12369.05</v>
      </c>
      <c r="O177" s="2" t="s">
        <v>54</v>
      </c>
      <c r="P177" s="2" t="s">
        <v>304</v>
      </c>
      <c r="Q177" s="2" t="s">
        <v>42</v>
      </c>
      <c r="R177" s="2">
        <v>2</v>
      </c>
      <c r="S177" s="2">
        <v>488867.85</v>
      </c>
      <c r="T177" s="38" t="s">
        <v>2879</v>
      </c>
      <c r="U177" s="13"/>
    </row>
    <row r="178" spans="1:21" x14ac:dyDescent="0.3">
      <c r="A178" s="3" t="s">
        <v>1027</v>
      </c>
      <c r="B178" s="3" t="s">
        <v>1028</v>
      </c>
      <c r="C178" s="3">
        <v>39</v>
      </c>
      <c r="D178" s="3" t="s">
        <v>30</v>
      </c>
      <c r="E178" s="3">
        <v>248648</v>
      </c>
      <c r="F178" s="3">
        <v>500000</v>
      </c>
      <c r="G178" s="3">
        <v>48</v>
      </c>
      <c r="H178" s="3">
        <v>11.32</v>
      </c>
      <c r="I178" s="3" t="s">
        <v>22</v>
      </c>
      <c r="J178" s="3">
        <v>377</v>
      </c>
      <c r="K178" s="29">
        <v>45026</v>
      </c>
      <c r="L178" s="29" t="s">
        <v>1029</v>
      </c>
      <c r="M178" s="3" t="s">
        <v>24</v>
      </c>
      <c r="N178" s="3">
        <v>13000.6</v>
      </c>
      <c r="O178" s="3" t="s">
        <v>25</v>
      </c>
      <c r="P178" s="3" t="s">
        <v>123</v>
      </c>
      <c r="Q178" s="3" t="s">
        <v>100</v>
      </c>
      <c r="R178" s="3">
        <v>10</v>
      </c>
      <c r="S178" s="3">
        <v>488299.46</v>
      </c>
      <c r="T178" s="38" t="s">
        <v>2879</v>
      </c>
      <c r="U178" s="13"/>
    </row>
    <row r="179" spans="1:21" x14ac:dyDescent="0.3">
      <c r="A179" s="2" t="s">
        <v>390</v>
      </c>
      <c r="B179" s="2" t="s">
        <v>391</v>
      </c>
      <c r="C179" s="2">
        <v>33</v>
      </c>
      <c r="D179" s="2" t="s">
        <v>30</v>
      </c>
      <c r="E179" s="2">
        <v>114669</v>
      </c>
      <c r="F179" s="2">
        <v>500000</v>
      </c>
      <c r="G179" s="2">
        <v>48</v>
      </c>
      <c r="H179" s="2">
        <v>14.75</v>
      </c>
      <c r="I179" s="2" t="s">
        <v>38</v>
      </c>
      <c r="J179" s="2">
        <v>373</v>
      </c>
      <c r="K179" s="30">
        <v>45138</v>
      </c>
      <c r="L179" s="30" t="s">
        <v>393</v>
      </c>
      <c r="M179" s="2" t="s">
        <v>24</v>
      </c>
      <c r="N179" s="2">
        <v>13852.09</v>
      </c>
      <c r="O179" s="2" t="s">
        <v>60</v>
      </c>
      <c r="P179" s="2" t="s">
        <v>172</v>
      </c>
      <c r="Q179" s="2" t="s">
        <v>42</v>
      </c>
      <c r="R179" s="2">
        <v>1</v>
      </c>
      <c r="S179" s="2">
        <v>487533.12</v>
      </c>
      <c r="T179" s="38" t="s">
        <v>2879</v>
      </c>
      <c r="U179" s="13"/>
    </row>
    <row r="180" spans="1:21" x14ac:dyDescent="0.3">
      <c r="A180" s="2" t="s">
        <v>1661</v>
      </c>
      <c r="B180" s="2" t="s">
        <v>1290</v>
      </c>
      <c r="C180" s="2">
        <v>58</v>
      </c>
      <c r="D180" s="2" t="s">
        <v>21</v>
      </c>
      <c r="E180" s="2">
        <v>25559</v>
      </c>
      <c r="F180" s="2">
        <v>500000</v>
      </c>
      <c r="G180" s="2">
        <v>36</v>
      </c>
      <c r="H180" s="2">
        <v>9.2100000000000009</v>
      </c>
      <c r="I180" s="2" t="s">
        <v>66</v>
      </c>
      <c r="J180" s="2">
        <v>683</v>
      </c>
      <c r="K180" s="30">
        <v>44489</v>
      </c>
      <c r="L180" s="30" t="s">
        <v>1035</v>
      </c>
      <c r="M180" s="2" t="s">
        <v>33</v>
      </c>
      <c r="N180" s="2">
        <v>15948.78</v>
      </c>
      <c r="O180" s="2" t="s">
        <v>48</v>
      </c>
      <c r="P180" s="2" t="s">
        <v>199</v>
      </c>
      <c r="Q180" s="2" t="s">
        <v>27</v>
      </c>
      <c r="R180" s="2">
        <v>1</v>
      </c>
      <c r="S180" s="2">
        <v>485646.1</v>
      </c>
      <c r="T180" s="38" t="s">
        <v>2871</v>
      </c>
      <c r="U180" s="13"/>
    </row>
    <row r="181" spans="1:21" x14ac:dyDescent="0.3">
      <c r="A181" s="2" t="s">
        <v>1345</v>
      </c>
      <c r="B181" s="2" t="s">
        <v>1346</v>
      </c>
      <c r="C181" s="2">
        <v>29</v>
      </c>
      <c r="D181" s="2" t="s">
        <v>45</v>
      </c>
      <c r="E181" s="2">
        <v>60773</v>
      </c>
      <c r="F181" s="2">
        <v>750000</v>
      </c>
      <c r="G181" s="2">
        <v>36</v>
      </c>
      <c r="H181" s="2">
        <v>17.059999999999999</v>
      </c>
      <c r="I181" s="2" t="s">
        <v>38</v>
      </c>
      <c r="J181" s="2">
        <v>479</v>
      </c>
      <c r="K181" s="30">
        <v>45277</v>
      </c>
      <c r="L181" s="30" t="s">
        <v>1347</v>
      </c>
      <c r="M181" s="2" t="s">
        <v>24</v>
      </c>
      <c r="N181" s="2">
        <v>26761.95</v>
      </c>
      <c r="O181" s="2" t="s">
        <v>48</v>
      </c>
      <c r="P181" s="2" t="s">
        <v>86</v>
      </c>
      <c r="Q181" s="2" t="s">
        <v>27</v>
      </c>
      <c r="R181" s="2">
        <v>1</v>
      </c>
      <c r="S181" s="2">
        <v>485056.7</v>
      </c>
      <c r="T181" s="38" t="s">
        <v>2879</v>
      </c>
      <c r="U181" s="13"/>
    </row>
    <row r="182" spans="1:21" x14ac:dyDescent="0.3">
      <c r="A182" s="2" t="s">
        <v>2817</v>
      </c>
      <c r="B182" s="2" t="s">
        <v>1674</v>
      </c>
      <c r="C182" s="2">
        <v>46</v>
      </c>
      <c r="D182" s="2" t="s">
        <v>30</v>
      </c>
      <c r="E182" s="2">
        <v>153496</v>
      </c>
      <c r="F182" s="2">
        <v>1000000</v>
      </c>
      <c r="G182" s="2">
        <v>24</v>
      </c>
      <c r="H182" s="2">
        <v>13.3</v>
      </c>
      <c r="I182" s="2" t="s">
        <v>83</v>
      </c>
      <c r="J182" s="2">
        <v>458</v>
      </c>
      <c r="K182" s="30">
        <v>44801</v>
      </c>
      <c r="L182" s="30" t="s">
        <v>999</v>
      </c>
      <c r="M182" s="2" t="s">
        <v>24</v>
      </c>
      <c r="N182" s="2">
        <v>47682.86</v>
      </c>
      <c r="O182" s="2" t="s">
        <v>25</v>
      </c>
      <c r="P182" s="2" t="s">
        <v>34</v>
      </c>
      <c r="Q182" s="2" t="s">
        <v>42</v>
      </c>
      <c r="R182" s="2">
        <v>2</v>
      </c>
      <c r="S182" s="2">
        <v>485025.11</v>
      </c>
      <c r="T182" s="38" t="s">
        <v>2879</v>
      </c>
      <c r="U182" s="13"/>
    </row>
    <row r="183" spans="1:21" x14ac:dyDescent="0.3">
      <c r="A183" s="2" t="s">
        <v>997</v>
      </c>
      <c r="B183" s="2" t="s">
        <v>998</v>
      </c>
      <c r="C183" s="2">
        <v>29</v>
      </c>
      <c r="D183" s="2" t="s">
        <v>65</v>
      </c>
      <c r="E183" s="2">
        <v>82263</v>
      </c>
      <c r="F183" s="2">
        <v>500000</v>
      </c>
      <c r="G183" s="2">
        <v>60</v>
      </c>
      <c r="H183" s="2">
        <v>7.86</v>
      </c>
      <c r="I183" s="2" t="s">
        <v>38</v>
      </c>
      <c r="J183" s="2" t="s">
        <v>2882</v>
      </c>
      <c r="K183" s="30">
        <v>44804</v>
      </c>
      <c r="L183" s="30" t="s">
        <v>999</v>
      </c>
      <c r="M183" s="2" t="s">
        <v>24</v>
      </c>
      <c r="N183" s="2">
        <v>10104.73</v>
      </c>
      <c r="O183" s="2" t="s">
        <v>54</v>
      </c>
      <c r="P183" s="2" t="s">
        <v>164</v>
      </c>
      <c r="Q183" s="2" t="s">
        <v>42</v>
      </c>
      <c r="R183" s="2">
        <v>1</v>
      </c>
      <c r="S183" s="2">
        <v>481811.49</v>
      </c>
      <c r="T183" s="38" t="s">
        <v>2883</v>
      </c>
      <c r="U183" s="13"/>
    </row>
    <row r="184" spans="1:21" x14ac:dyDescent="0.3">
      <c r="A184" s="3" t="s">
        <v>981</v>
      </c>
      <c r="B184" s="3" t="s">
        <v>982</v>
      </c>
      <c r="C184" s="3">
        <v>38</v>
      </c>
      <c r="D184" s="3" t="s">
        <v>30</v>
      </c>
      <c r="E184" s="3">
        <v>177676</v>
      </c>
      <c r="F184" s="3">
        <v>2000000</v>
      </c>
      <c r="G184" s="3">
        <v>180</v>
      </c>
      <c r="H184" s="3">
        <v>19.53</v>
      </c>
      <c r="I184" s="3" t="s">
        <v>38</v>
      </c>
      <c r="J184" s="3">
        <v>859</v>
      </c>
      <c r="K184" s="29">
        <v>44799</v>
      </c>
      <c r="L184" s="29" t="s">
        <v>984</v>
      </c>
      <c r="M184" s="3" t="s">
        <v>24</v>
      </c>
      <c r="N184" s="3">
        <v>34433.46</v>
      </c>
      <c r="O184" s="3" t="s">
        <v>54</v>
      </c>
      <c r="P184" s="3" t="s">
        <v>2996</v>
      </c>
      <c r="Q184" s="3" t="s">
        <v>42</v>
      </c>
      <c r="R184" s="3">
        <v>2</v>
      </c>
      <c r="S184" s="3">
        <v>481484.41</v>
      </c>
      <c r="T184" s="38" t="s">
        <v>2867</v>
      </c>
      <c r="U184" s="13"/>
    </row>
    <row r="185" spans="1:21" x14ac:dyDescent="0.3">
      <c r="A185" s="2" t="s">
        <v>1882</v>
      </c>
      <c r="B185" s="2" t="s">
        <v>1883</v>
      </c>
      <c r="C185" s="2">
        <v>24</v>
      </c>
      <c r="D185" s="2" t="s">
        <v>72</v>
      </c>
      <c r="E185" s="2">
        <v>47693</v>
      </c>
      <c r="F185" s="2">
        <v>500000</v>
      </c>
      <c r="G185" s="2">
        <v>60</v>
      </c>
      <c r="H185" s="2">
        <v>12.77</v>
      </c>
      <c r="I185" s="2" t="s">
        <v>251</v>
      </c>
      <c r="J185" s="2">
        <v>733</v>
      </c>
      <c r="K185" s="30">
        <v>45260</v>
      </c>
      <c r="L185" s="30" t="s">
        <v>1709</v>
      </c>
      <c r="M185" s="2" t="s">
        <v>24</v>
      </c>
      <c r="N185" s="2">
        <v>11317.75</v>
      </c>
      <c r="O185" s="2" t="s">
        <v>25</v>
      </c>
      <c r="P185" s="2" t="s">
        <v>34</v>
      </c>
      <c r="Q185" s="2" t="s">
        <v>42</v>
      </c>
      <c r="R185" s="2">
        <v>1</v>
      </c>
      <c r="S185" s="2">
        <v>479628.05</v>
      </c>
      <c r="T185" s="38" t="s">
        <v>2871</v>
      </c>
      <c r="U185" s="13"/>
    </row>
    <row r="186" spans="1:21" x14ac:dyDescent="0.3">
      <c r="A186" s="3" t="s">
        <v>2647</v>
      </c>
      <c r="B186" s="3" t="s">
        <v>2648</v>
      </c>
      <c r="C186" s="3">
        <v>64</v>
      </c>
      <c r="D186" s="3" t="s">
        <v>45</v>
      </c>
      <c r="E186" s="3">
        <v>112862</v>
      </c>
      <c r="F186" s="3">
        <v>500000</v>
      </c>
      <c r="G186" s="3">
        <v>60</v>
      </c>
      <c r="H186" s="3">
        <v>14.43</v>
      </c>
      <c r="I186" s="3" t="s">
        <v>251</v>
      </c>
      <c r="J186" s="3">
        <v>896</v>
      </c>
      <c r="K186" s="29">
        <v>44672</v>
      </c>
      <c r="L186" s="29" t="s">
        <v>818</v>
      </c>
      <c r="M186" s="3" t="s">
        <v>24</v>
      </c>
      <c r="N186" s="3">
        <v>11745.89</v>
      </c>
      <c r="O186" s="3" t="s">
        <v>60</v>
      </c>
      <c r="P186" s="3" t="s">
        <v>172</v>
      </c>
      <c r="Q186" s="3" t="s">
        <v>42</v>
      </c>
      <c r="R186" s="3">
        <v>2</v>
      </c>
      <c r="S186" s="3">
        <v>478857.4</v>
      </c>
      <c r="T186" s="38" t="s">
        <v>2867</v>
      </c>
      <c r="U186" s="13"/>
    </row>
    <row r="187" spans="1:21" x14ac:dyDescent="0.3">
      <c r="A187" s="2" t="s">
        <v>2814</v>
      </c>
      <c r="B187" s="2" t="s">
        <v>2815</v>
      </c>
      <c r="C187" s="2">
        <v>37</v>
      </c>
      <c r="D187" s="2" t="s">
        <v>65</v>
      </c>
      <c r="E187" s="2">
        <v>172837</v>
      </c>
      <c r="F187" s="2">
        <v>750000</v>
      </c>
      <c r="G187" s="2">
        <v>240</v>
      </c>
      <c r="H187" s="2">
        <v>14.17</v>
      </c>
      <c r="I187" s="2" t="s">
        <v>38</v>
      </c>
      <c r="J187" s="2">
        <v>317</v>
      </c>
      <c r="K187" s="30">
        <v>44329</v>
      </c>
      <c r="L187" s="30" t="s">
        <v>2573</v>
      </c>
      <c r="M187" s="2" t="s">
        <v>122</v>
      </c>
      <c r="N187" s="2">
        <v>9419.15</v>
      </c>
      <c r="O187" s="2" t="s">
        <v>54</v>
      </c>
      <c r="P187" s="2" t="s">
        <v>99</v>
      </c>
      <c r="Q187" s="2" t="s">
        <v>35</v>
      </c>
      <c r="R187" s="2">
        <v>2</v>
      </c>
      <c r="S187" s="2">
        <v>478728.48</v>
      </c>
      <c r="T187" s="38" t="s">
        <v>2879</v>
      </c>
      <c r="U187" s="13"/>
    </row>
    <row r="188" spans="1:21" x14ac:dyDescent="0.3">
      <c r="A188" s="3" t="s">
        <v>1355</v>
      </c>
      <c r="B188" s="3" t="s">
        <v>596</v>
      </c>
      <c r="C188" s="3">
        <v>52</v>
      </c>
      <c r="D188" s="3" t="s">
        <v>21</v>
      </c>
      <c r="E188" s="3">
        <v>53050</v>
      </c>
      <c r="F188" s="3">
        <v>500000</v>
      </c>
      <c r="G188" s="3">
        <v>120</v>
      </c>
      <c r="H188" s="3">
        <v>7.67</v>
      </c>
      <c r="I188" s="3" t="s">
        <v>31</v>
      </c>
      <c r="J188" s="3">
        <v>691</v>
      </c>
      <c r="K188" s="29">
        <v>44396</v>
      </c>
      <c r="L188" s="29" t="s">
        <v>672</v>
      </c>
      <c r="M188" s="3" t="s">
        <v>24</v>
      </c>
      <c r="N188" s="3">
        <v>5979.55</v>
      </c>
      <c r="O188" s="3" t="s">
        <v>48</v>
      </c>
      <c r="P188" s="3" t="s">
        <v>375</v>
      </c>
      <c r="Q188" s="3" t="s">
        <v>42</v>
      </c>
      <c r="R188" s="3">
        <v>2</v>
      </c>
      <c r="S188" s="3">
        <v>473092.03</v>
      </c>
      <c r="T188" s="38" t="s">
        <v>2871</v>
      </c>
      <c r="U188" s="13"/>
    </row>
    <row r="189" spans="1:21" x14ac:dyDescent="0.3">
      <c r="A189" s="3" t="s">
        <v>2159</v>
      </c>
      <c r="B189" s="3" t="s">
        <v>144</v>
      </c>
      <c r="C189" s="3">
        <v>28</v>
      </c>
      <c r="D189" s="3" t="s">
        <v>72</v>
      </c>
      <c r="E189" s="3">
        <v>145179</v>
      </c>
      <c r="F189" s="3">
        <v>500000</v>
      </c>
      <c r="G189" s="3">
        <v>48</v>
      </c>
      <c r="H189" s="3">
        <v>16.93</v>
      </c>
      <c r="I189" s="3" t="s">
        <v>73</v>
      </c>
      <c r="J189" s="3">
        <v>789</v>
      </c>
      <c r="K189" s="29">
        <v>44250</v>
      </c>
      <c r="L189" s="29" t="s">
        <v>978</v>
      </c>
      <c r="M189" s="3" t="s">
        <v>33</v>
      </c>
      <c r="N189" s="3">
        <v>14409.42</v>
      </c>
      <c r="O189" s="3" t="s">
        <v>48</v>
      </c>
      <c r="P189" s="3" t="s">
        <v>86</v>
      </c>
      <c r="Q189" s="3" t="s">
        <v>35</v>
      </c>
      <c r="R189" s="3">
        <v>0</v>
      </c>
      <c r="S189" s="3">
        <v>461094.57</v>
      </c>
      <c r="T189" s="38" t="s">
        <v>2867</v>
      </c>
      <c r="U189" s="13"/>
    </row>
    <row r="190" spans="1:21" x14ac:dyDescent="0.3">
      <c r="A190" s="3" t="s">
        <v>1630</v>
      </c>
      <c r="B190" s="3" t="s">
        <v>237</v>
      </c>
      <c r="C190" s="3">
        <v>44</v>
      </c>
      <c r="D190" s="3" t="s">
        <v>30</v>
      </c>
      <c r="E190" s="3">
        <v>60800</v>
      </c>
      <c r="F190" s="3">
        <v>500000</v>
      </c>
      <c r="G190" s="3">
        <v>12</v>
      </c>
      <c r="H190" s="3">
        <v>19.2</v>
      </c>
      <c r="I190" s="3" t="s">
        <v>38</v>
      </c>
      <c r="J190" s="3">
        <v>740</v>
      </c>
      <c r="K190" s="29">
        <v>44655</v>
      </c>
      <c r="L190" s="29" t="s">
        <v>817</v>
      </c>
      <c r="M190" s="3" t="s">
        <v>122</v>
      </c>
      <c r="N190" s="3">
        <v>46126.03</v>
      </c>
      <c r="O190" s="3" t="s">
        <v>25</v>
      </c>
      <c r="P190" s="3" t="s">
        <v>123</v>
      </c>
      <c r="Q190" s="3" t="s">
        <v>35</v>
      </c>
      <c r="R190" s="3">
        <v>3</v>
      </c>
      <c r="S190" s="3">
        <v>458486.57</v>
      </c>
      <c r="T190" s="38" t="s">
        <v>2871</v>
      </c>
      <c r="U190" s="13"/>
    </row>
    <row r="191" spans="1:21" x14ac:dyDescent="0.3">
      <c r="A191" s="3" t="s">
        <v>407</v>
      </c>
      <c r="B191" s="3" t="s">
        <v>408</v>
      </c>
      <c r="C191" s="3">
        <v>59</v>
      </c>
      <c r="D191" s="3" t="s">
        <v>72</v>
      </c>
      <c r="E191" s="3">
        <v>107259</v>
      </c>
      <c r="F191" s="3">
        <v>500000</v>
      </c>
      <c r="G191" s="3">
        <v>24</v>
      </c>
      <c r="H191" s="3">
        <v>12</v>
      </c>
      <c r="I191" s="3" t="s">
        <v>31</v>
      </c>
      <c r="J191" s="3">
        <v>338</v>
      </c>
      <c r="K191" s="29">
        <v>44381</v>
      </c>
      <c r="L191" s="29" t="s">
        <v>410</v>
      </c>
      <c r="M191" s="3" t="s">
        <v>33</v>
      </c>
      <c r="N191" s="3">
        <v>23536.74</v>
      </c>
      <c r="O191" s="3" t="s">
        <v>25</v>
      </c>
      <c r="P191" s="3" t="s">
        <v>151</v>
      </c>
      <c r="Q191" s="3" t="s">
        <v>100</v>
      </c>
      <c r="R191" s="3">
        <v>4</v>
      </c>
      <c r="S191" s="3">
        <v>457633.87</v>
      </c>
      <c r="T191" s="38" t="s">
        <v>2879</v>
      </c>
      <c r="U191" s="13"/>
    </row>
    <row r="192" spans="1:21" x14ac:dyDescent="0.3">
      <c r="A192" s="3" t="s">
        <v>388</v>
      </c>
      <c r="B192" s="3" t="s">
        <v>132</v>
      </c>
      <c r="C192" s="3">
        <v>24</v>
      </c>
      <c r="D192" s="3" t="s">
        <v>30</v>
      </c>
      <c r="E192" s="3">
        <v>118615</v>
      </c>
      <c r="F192" s="3">
        <v>750000</v>
      </c>
      <c r="G192" s="3">
        <v>12</v>
      </c>
      <c r="H192" s="3">
        <v>7.61</v>
      </c>
      <c r="I192" s="3" t="s">
        <v>66</v>
      </c>
      <c r="J192" s="3">
        <v>516</v>
      </c>
      <c r="K192" s="29">
        <v>44442</v>
      </c>
      <c r="L192" s="29" t="s">
        <v>389</v>
      </c>
      <c r="M192" s="3" t="s">
        <v>33</v>
      </c>
      <c r="N192" s="3">
        <v>65106.16</v>
      </c>
      <c r="O192" s="3" t="s">
        <v>105</v>
      </c>
      <c r="P192" s="3" t="s">
        <v>130</v>
      </c>
      <c r="Q192" s="3" t="s">
        <v>35</v>
      </c>
      <c r="R192" s="3">
        <v>4</v>
      </c>
      <c r="S192" s="3">
        <v>457022.28</v>
      </c>
      <c r="T192" s="38" t="s">
        <v>2879</v>
      </c>
      <c r="U192" s="13"/>
    </row>
    <row r="193" spans="1:21" x14ac:dyDescent="0.3">
      <c r="A193" s="3" t="s">
        <v>2319</v>
      </c>
      <c r="B193" s="3" t="s">
        <v>1769</v>
      </c>
      <c r="C193" s="3">
        <v>42</v>
      </c>
      <c r="D193" s="3" t="s">
        <v>30</v>
      </c>
      <c r="E193" s="3">
        <v>165649</v>
      </c>
      <c r="F193" s="3">
        <v>500000</v>
      </c>
      <c r="G193" s="3">
        <v>120</v>
      </c>
      <c r="H193" s="3">
        <v>17.45</v>
      </c>
      <c r="I193" s="3" t="s">
        <v>46</v>
      </c>
      <c r="J193" s="3">
        <v>797</v>
      </c>
      <c r="K193" s="29">
        <v>44817</v>
      </c>
      <c r="L193" s="29" t="s">
        <v>507</v>
      </c>
      <c r="M193" s="3" t="s">
        <v>24</v>
      </c>
      <c r="N193" s="3">
        <v>8832.98</v>
      </c>
      <c r="O193" s="3" t="s">
        <v>60</v>
      </c>
      <c r="P193" s="3" t="s">
        <v>2997</v>
      </c>
      <c r="Q193" s="3" t="s">
        <v>35</v>
      </c>
      <c r="R193" s="3">
        <v>12</v>
      </c>
      <c r="S193" s="3">
        <v>452301.91</v>
      </c>
      <c r="T193" s="38" t="s">
        <v>2867</v>
      </c>
      <c r="U193" s="13"/>
    </row>
    <row r="194" spans="1:21" x14ac:dyDescent="0.3">
      <c r="A194" s="3" t="s">
        <v>1703</v>
      </c>
      <c r="B194" s="3" t="s">
        <v>1704</v>
      </c>
      <c r="C194" s="3">
        <v>34</v>
      </c>
      <c r="D194" s="3" t="s">
        <v>72</v>
      </c>
      <c r="E194" s="3">
        <v>228983</v>
      </c>
      <c r="F194" s="3">
        <v>750000</v>
      </c>
      <c r="G194" s="3">
        <v>60</v>
      </c>
      <c r="H194" s="3">
        <v>19.22</v>
      </c>
      <c r="I194" s="3" t="s">
        <v>83</v>
      </c>
      <c r="J194" s="3">
        <v>539</v>
      </c>
      <c r="K194" s="29">
        <v>45206</v>
      </c>
      <c r="L194" s="29" t="s">
        <v>1132</v>
      </c>
      <c r="M194" s="3" t="s">
        <v>24</v>
      </c>
      <c r="N194" s="3">
        <v>19546.32</v>
      </c>
      <c r="O194" s="3" t="s">
        <v>60</v>
      </c>
      <c r="P194" s="3" t="s">
        <v>61</v>
      </c>
      <c r="Q194" s="3" t="s">
        <v>100</v>
      </c>
      <c r="R194" s="3">
        <v>0</v>
      </c>
      <c r="S194" s="3">
        <v>450941.3</v>
      </c>
      <c r="T194" s="38" t="s">
        <v>2879</v>
      </c>
      <c r="U194" s="13"/>
    </row>
    <row r="195" spans="1:21" x14ac:dyDescent="0.3">
      <c r="A195" s="3" t="s">
        <v>1426</v>
      </c>
      <c r="B195" s="3" t="s">
        <v>1427</v>
      </c>
      <c r="C195" s="3">
        <v>52</v>
      </c>
      <c r="D195" s="3" t="s">
        <v>45</v>
      </c>
      <c r="E195" s="3">
        <v>192814</v>
      </c>
      <c r="F195" s="3">
        <v>500000</v>
      </c>
      <c r="G195" s="3">
        <v>60</v>
      </c>
      <c r="H195" s="3">
        <v>14.05</v>
      </c>
      <c r="I195" s="3" t="s">
        <v>38</v>
      </c>
      <c r="J195" s="3">
        <v>367</v>
      </c>
      <c r="K195" s="29">
        <v>44997</v>
      </c>
      <c r="L195" s="29" t="s">
        <v>1428</v>
      </c>
      <c r="M195" s="3" t="s">
        <v>33</v>
      </c>
      <c r="N195" s="3">
        <v>11647.09</v>
      </c>
      <c r="O195" s="3" t="s">
        <v>105</v>
      </c>
      <c r="P195" s="3" t="s">
        <v>118</v>
      </c>
      <c r="Q195" s="3" t="s">
        <v>100</v>
      </c>
      <c r="R195" s="3">
        <v>1</v>
      </c>
      <c r="S195" s="3">
        <v>447588.09</v>
      </c>
      <c r="T195" s="38" t="s">
        <v>2879</v>
      </c>
      <c r="U195" s="13"/>
    </row>
    <row r="196" spans="1:21" x14ac:dyDescent="0.3">
      <c r="A196" s="2" t="s">
        <v>1904</v>
      </c>
      <c r="B196" s="2" t="s">
        <v>1905</v>
      </c>
      <c r="C196" s="2">
        <v>37</v>
      </c>
      <c r="D196" s="2" t="s">
        <v>45</v>
      </c>
      <c r="E196" s="2">
        <v>194326</v>
      </c>
      <c r="F196" s="2">
        <v>750000</v>
      </c>
      <c r="G196" s="2">
        <v>12</v>
      </c>
      <c r="H196" s="2">
        <v>16.309999999999999</v>
      </c>
      <c r="I196" s="2" t="s">
        <v>251</v>
      </c>
      <c r="J196" s="2">
        <v>836</v>
      </c>
      <c r="K196" s="30">
        <v>44470</v>
      </c>
      <c r="L196" s="30" t="s">
        <v>1662</v>
      </c>
      <c r="M196" s="2" t="s">
        <v>33</v>
      </c>
      <c r="N196" s="2">
        <v>68158.22</v>
      </c>
      <c r="O196" s="2" t="s">
        <v>105</v>
      </c>
      <c r="P196" s="2" t="s">
        <v>159</v>
      </c>
      <c r="Q196" s="2" t="s">
        <v>42</v>
      </c>
      <c r="R196" s="2">
        <v>0</v>
      </c>
      <c r="S196" s="2">
        <v>443288.01</v>
      </c>
      <c r="T196" s="38" t="s">
        <v>2867</v>
      </c>
      <c r="U196" s="13"/>
    </row>
    <row r="197" spans="1:21" x14ac:dyDescent="0.3">
      <c r="A197" s="2" t="s">
        <v>2613</v>
      </c>
      <c r="B197" s="2" t="s">
        <v>369</v>
      </c>
      <c r="C197" s="2">
        <v>26</v>
      </c>
      <c r="D197" s="2" t="s">
        <v>21</v>
      </c>
      <c r="E197" s="2">
        <v>124441</v>
      </c>
      <c r="F197" s="2">
        <v>1000000</v>
      </c>
      <c r="G197" s="2">
        <v>12</v>
      </c>
      <c r="H197" s="2">
        <v>11.81</v>
      </c>
      <c r="I197" s="2" t="s">
        <v>46</v>
      </c>
      <c r="J197" s="2">
        <v>422</v>
      </c>
      <c r="K197" s="30">
        <v>44616</v>
      </c>
      <c r="L197" s="30" t="s">
        <v>499</v>
      </c>
      <c r="M197" s="2" t="s">
        <v>33</v>
      </c>
      <c r="N197" s="2">
        <v>88759.93</v>
      </c>
      <c r="O197" s="2" t="s">
        <v>48</v>
      </c>
      <c r="P197" s="2" t="s">
        <v>86</v>
      </c>
      <c r="Q197" s="2" t="s">
        <v>42</v>
      </c>
      <c r="R197" s="2">
        <v>1</v>
      </c>
      <c r="S197" s="2">
        <v>440812.44</v>
      </c>
      <c r="T197" s="38" t="s">
        <v>2879</v>
      </c>
      <c r="U197" s="13"/>
    </row>
    <row r="198" spans="1:21" x14ac:dyDescent="0.3">
      <c r="A198" s="3" t="s">
        <v>508</v>
      </c>
      <c r="B198" s="3" t="s">
        <v>509</v>
      </c>
      <c r="C198" s="3">
        <v>41</v>
      </c>
      <c r="D198" s="3" t="s">
        <v>65</v>
      </c>
      <c r="E198" s="3">
        <v>34129</v>
      </c>
      <c r="F198" s="3">
        <v>1500000</v>
      </c>
      <c r="G198" s="3">
        <v>12</v>
      </c>
      <c r="H198" s="3">
        <v>9.7899999999999991</v>
      </c>
      <c r="I198" s="3" t="s">
        <v>73</v>
      </c>
      <c r="J198" s="3">
        <v>795</v>
      </c>
      <c r="K198" s="29">
        <v>44491</v>
      </c>
      <c r="L198" s="29" t="s">
        <v>510</v>
      </c>
      <c r="M198" s="3" t="s">
        <v>24</v>
      </c>
      <c r="N198" s="3">
        <v>131727.37</v>
      </c>
      <c r="O198" s="3" t="s">
        <v>60</v>
      </c>
      <c r="P198" s="3" t="s">
        <v>192</v>
      </c>
      <c r="Q198" s="3" t="s">
        <v>42</v>
      </c>
      <c r="R198" s="3">
        <v>1</v>
      </c>
      <c r="S198" s="3">
        <v>433008.3</v>
      </c>
      <c r="T198" s="38" t="s">
        <v>2867</v>
      </c>
      <c r="U198" s="13"/>
    </row>
    <row r="199" spans="1:21" x14ac:dyDescent="0.3">
      <c r="A199" s="2" t="s">
        <v>629</v>
      </c>
      <c r="B199" s="2" t="s">
        <v>630</v>
      </c>
      <c r="C199" s="2">
        <v>38</v>
      </c>
      <c r="D199" s="2" t="s">
        <v>65</v>
      </c>
      <c r="E199" s="2">
        <v>204676</v>
      </c>
      <c r="F199" s="2">
        <v>1000000</v>
      </c>
      <c r="G199" s="2">
        <v>180</v>
      </c>
      <c r="H199" s="2">
        <v>14.18</v>
      </c>
      <c r="I199" s="2" t="s">
        <v>38</v>
      </c>
      <c r="J199" s="2">
        <v>473</v>
      </c>
      <c r="K199" s="30">
        <v>44317</v>
      </c>
      <c r="L199" s="30" t="s">
        <v>632</v>
      </c>
      <c r="M199" s="2" t="s">
        <v>24</v>
      </c>
      <c r="N199" s="2">
        <v>13438.57</v>
      </c>
      <c r="O199" s="2" t="s">
        <v>105</v>
      </c>
      <c r="P199" s="2" t="s">
        <v>2999</v>
      </c>
      <c r="Q199" s="2" t="s">
        <v>42</v>
      </c>
      <c r="R199" s="2">
        <v>1</v>
      </c>
      <c r="S199" s="2">
        <v>431548.49</v>
      </c>
      <c r="T199" s="38" t="s">
        <v>2879</v>
      </c>
      <c r="U199" s="13"/>
    </row>
    <row r="200" spans="1:21" x14ac:dyDescent="0.3">
      <c r="A200" s="2" t="s">
        <v>1691</v>
      </c>
      <c r="B200" s="2" t="s">
        <v>1692</v>
      </c>
      <c r="C200" s="2">
        <v>25</v>
      </c>
      <c r="D200" s="2" t="s">
        <v>65</v>
      </c>
      <c r="E200" s="2">
        <v>86644</v>
      </c>
      <c r="F200" s="2">
        <v>750000</v>
      </c>
      <c r="G200" s="2">
        <v>60</v>
      </c>
      <c r="H200" s="2">
        <v>19.670000000000002</v>
      </c>
      <c r="I200" s="2" t="s">
        <v>73</v>
      </c>
      <c r="J200" s="2">
        <v>659</v>
      </c>
      <c r="K200" s="30">
        <v>44290</v>
      </c>
      <c r="L200" s="30" t="s">
        <v>959</v>
      </c>
      <c r="M200" s="2" t="s">
        <v>24</v>
      </c>
      <c r="N200" s="2">
        <v>19732.95</v>
      </c>
      <c r="O200" s="2" t="s">
        <v>105</v>
      </c>
      <c r="P200" s="2" t="s">
        <v>2999</v>
      </c>
      <c r="Q200" s="2" t="s">
        <v>27</v>
      </c>
      <c r="R200" s="2">
        <v>2</v>
      </c>
      <c r="S200" s="2">
        <v>430326.21</v>
      </c>
      <c r="T200" s="38" t="s">
        <v>2871</v>
      </c>
      <c r="U200" s="13"/>
    </row>
    <row r="201" spans="1:21" x14ac:dyDescent="0.3">
      <c r="A201" s="2" t="s">
        <v>1724</v>
      </c>
      <c r="B201" s="2" t="s">
        <v>399</v>
      </c>
      <c r="C201" s="2">
        <v>43</v>
      </c>
      <c r="D201" s="2" t="s">
        <v>72</v>
      </c>
      <c r="E201" s="2">
        <v>134033</v>
      </c>
      <c r="F201" s="2">
        <v>500000</v>
      </c>
      <c r="G201" s="2">
        <v>84</v>
      </c>
      <c r="H201" s="2">
        <v>16.02</v>
      </c>
      <c r="I201" s="2" t="s">
        <v>22</v>
      </c>
      <c r="J201" s="2">
        <v>405</v>
      </c>
      <c r="K201" s="30">
        <v>44593</v>
      </c>
      <c r="L201" s="30" t="s">
        <v>1559</v>
      </c>
      <c r="M201" s="2" t="s">
        <v>24</v>
      </c>
      <c r="N201" s="2">
        <v>9936.73</v>
      </c>
      <c r="O201" s="2" t="s">
        <v>25</v>
      </c>
      <c r="P201" s="2" t="s">
        <v>123</v>
      </c>
      <c r="Q201" s="2" t="s">
        <v>42</v>
      </c>
      <c r="R201" s="2">
        <v>2</v>
      </c>
      <c r="S201" s="2">
        <v>428455.54</v>
      </c>
      <c r="T201" s="38" t="s">
        <v>2879</v>
      </c>
      <c r="U201" s="13"/>
    </row>
    <row r="202" spans="1:21" x14ac:dyDescent="0.3">
      <c r="A202" s="2" t="s">
        <v>2101</v>
      </c>
      <c r="B202" s="2" t="s">
        <v>2102</v>
      </c>
      <c r="C202" s="2">
        <v>38</v>
      </c>
      <c r="D202" s="2" t="s">
        <v>72</v>
      </c>
      <c r="E202" s="2">
        <v>59754</v>
      </c>
      <c r="F202" s="2">
        <v>1000000</v>
      </c>
      <c r="G202" s="2">
        <v>12</v>
      </c>
      <c r="H202" s="2">
        <v>16.11</v>
      </c>
      <c r="I202" s="2" t="s">
        <v>31</v>
      </c>
      <c r="J202" s="2">
        <v>897</v>
      </c>
      <c r="K202" s="30">
        <v>44421</v>
      </c>
      <c r="L202" s="30" t="s">
        <v>2103</v>
      </c>
      <c r="M202" s="2" t="s">
        <v>24</v>
      </c>
      <c r="N202" s="2">
        <v>90782.92</v>
      </c>
      <c r="O202" s="2" t="s">
        <v>25</v>
      </c>
      <c r="P202" s="2" t="s">
        <v>2998</v>
      </c>
      <c r="Q202" s="2" t="s">
        <v>42</v>
      </c>
      <c r="R202" s="2">
        <v>0</v>
      </c>
      <c r="S202" s="2">
        <v>428067.6</v>
      </c>
      <c r="T202" s="38" t="s">
        <v>2867</v>
      </c>
      <c r="U202" s="13"/>
    </row>
    <row r="203" spans="1:21" x14ac:dyDescent="0.3">
      <c r="A203" s="2" t="s">
        <v>1631</v>
      </c>
      <c r="B203" s="2" t="s">
        <v>1503</v>
      </c>
      <c r="C203" s="2">
        <v>44</v>
      </c>
      <c r="D203" s="2" t="s">
        <v>21</v>
      </c>
      <c r="E203" s="2">
        <v>216875</v>
      </c>
      <c r="F203" s="2">
        <v>500000</v>
      </c>
      <c r="G203" s="2">
        <v>60</v>
      </c>
      <c r="H203" s="2">
        <v>20.5</v>
      </c>
      <c r="I203" s="2" t="s">
        <v>22</v>
      </c>
      <c r="J203" s="2">
        <v>351</v>
      </c>
      <c r="K203" s="30">
        <v>44405</v>
      </c>
      <c r="L203" s="30" t="s">
        <v>1172</v>
      </c>
      <c r="M203" s="2" t="s">
        <v>24</v>
      </c>
      <c r="N203" s="2">
        <v>13386.43</v>
      </c>
      <c r="O203" s="2" t="s">
        <v>60</v>
      </c>
      <c r="P203" s="2" t="s">
        <v>2997</v>
      </c>
      <c r="Q203" s="2" t="s">
        <v>42</v>
      </c>
      <c r="R203" s="2">
        <v>0</v>
      </c>
      <c r="S203" s="2">
        <v>427713.28000000003</v>
      </c>
      <c r="T203" s="38" t="s">
        <v>2879</v>
      </c>
      <c r="U203" s="13"/>
    </row>
    <row r="204" spans="1:21" x14ac:dyDescent="0.3">
      <c r="A204" s="2" t="s">
        <v>1496</v>
      </c>
      <c r="B204" s="2" t="s">
        <v>377</v>
      </c>
      <c r="C204" s="2">
        <v>53</v>
      </c>
      <c r="D204" s="2" t="s">
        <v>21</v>
      </c>
      <c r="E204" s="2">
        <v>215492</v>
      </c>
      <c r="F204" s="2">
        <v>1500000</v>
      </c>
      <c r="G204" s="2">
        <v>60</v>
      </c>
      <c r="H204" s="2">
        <v>18.47</v>
      </c>
      <c r="I204" s="2" t="s">
        <v>73</v>
      </c>
      <c r="J204" s="2">
        <v>664</v>
      </c>
      <c r="K204" s="30">
        <v>45244</v>
      </c>
      <c r="L204" s="30" t="s">
        <v>437</v>
      </c>
      <c r="M204" s="2" t="s">
        <v>24</v>
      </c>
      <c r="N204" s="2">
        <v>38474.699999999997</v>
      </c>
      <c r="O204" s="2" t="s">
        <v>60</v>
      </c>
      <c r="P204" s="2" t="s">
        <v>69</v>
      </c>
      <c r="Q204" s="2" t="s">
        <v>100</v>
      </c>
      <c r="R204" s="2">
        <v>6</v>
      </c>
      <c r="S204" s="2">
        <v>426555.87</v>
      </c>
      <c r="T204" s="38" t="s">
        <v>2871</v>
      </c>
      <c r="U204" s="13"/>
    </row>
    <row r="205" spans="1:21" x14ac:dyDescent="0.3">
      <c r="A205" s="3" t="s">
        <v>2399</v>
      </c>
      <c r="B205" s="3" t="s">
        <v>1572</v>
      </c>
      <c r="C205" s="3">
        <v>62</v>
      </c>
      <c r="D205" s="3" t="s">
        <v>21</v>
      </c>
      <c r="E205" s="3">
        <v>87363</v>
      </c>
      <c r="F205" s="3">
        <v>500000</v>
      </c>
      <c r="G205" s="3">
        <v>84</v>
      </c>
      <c r="H205" s="3">
        <v>13.85</v>
      </c>
      <c r="I205" s="3" t="s">
        <v>66</v>
      </c>
      <c r="J205" s="3">
        <v>413</v>
      </c>
      <c r="K205" s="29">
        <v>44861</v>
      </c>
      <c r="L205" s="29" t="s">
        <v>502</v>
      </c>
      <c r="M205" s="3" t="s">
        <v>24</v>
      </c>
      <c r="N205" s="3">
        <v>9328.6200000000008</v>
      </c>
      <c r="O205" s="3" t="s">
        <v>60</v>
      </c>
      <c r="P205" s="3" t="s">
        <v>192</v>
      </c>
      <c r="Q205" s="3" t="s">
        <v>35</v>
      </c>
      <c r="R205" s="3">
        <v>11</v>
      </c>
      <c r="S205" s="3">
        <v>424438.18</v>
      </c>
      <c r="T205" s="38" t="s">
        <v>2879</v>
      </c>
      <c r="U205" s="13"/>
    </row>
    <row r="206" spans="1:21" x14ac:dyDescent="0.3">
      <c r="A206" s="2" t="s">
        <v>747</v>
      </c>
      <c r="B206" s="2" t="s">
        <v>748</v>
      </c>
      <c r="C206" s="2">
        <v>30</v>
      </c>
      <c r="D206" s="2" t="s">
        <v>45</v>
      </c>
      <c r="E206" s="2">
        <v>74294</v>
      </c>
      <c r="F206" s="2">
        <v>500000</v>
      </c>
      <c r="G206" s="2">
        <v>180</v>
      </c>
      <c r="H206" s="2">
        <v>7.63</v>
      </c>
      <c r="I206" s="2" t="s">
        <v>38</v>
      </c>
      <c r="J206" s="2">
        <v>423</v>
      </c>
      <c r="K206" s="30">
        <v>44665</v>
      </c>
      <c r="L206" s="30" t="s">
        <v>340</v>
      </c>
      <c r="M206" s="2" t="s">
        <v>33</v>
      </c>
      <c r="N206" s="2">
        <v>4672.08</v>
      </c>
      <c r="O206" s="2" t="s">
        <v>60</v>
      </c>
      <c r="P206" s="2" t="s">
        <v>192</v>
      </c>
      <c r="Q206" s="2" t="s">
        <v>42</v>
      </c>
      <c r="R206" s="2">
        <v>1</v>
      </c>
      <c r="S206" s="2">
        <v>424312.3</v>
      </c>
      <c r="T206" s="38" t="s">
        <v>2879</v>
      </c>
      <c r="U206" s="13"/>
    </row>
    <row r="207" spans="1:21" x14ac:dyDescent="0.3">
      <c r="A207" s="3" t="s">
        <v>1920</v>
      </c>
      <c r="B207" s="3" t="s">
        <v>1921</v>
      </c>
      <c r="C207" s="3">
        <v>30</v>
      </c>
      <c r="D207" s="3" t="s">
        <v>72</v>
      </c>
      <c r="E207" s="3">
        <v>43279</v>
      </c>
      <c r="F207" s="3">
        <v>2000000</v>
      </c>
      <c r="G207" s="3">
        <v>12</v>
      </c>
      <c r="H207" s="3">
        <v>9.33</v>
      </c>
      <c r="I207" s="3" t="s">
        <v>38</v>
      </c>
      <c r="J207" s="3">
        <v>812</v>
      </c>
      <c r="K207" s="29">
        <v>44897</v>
      </c>
      <c r="L207" s="29" t="s">
        <v>1146</v>
      </c>
      <c r="M207" s="3" t="s">
        <v>24</v>
      </c>
      <c r="N207" s="3">
        <v>175209.16</v>
      </c>
      <c r="O207" s="3" t="s">
        <v>25</v>
      </c>
      <c r="P207" s="3" t="s">
        <v>34</v>
      </c>
      <c r="Q207" s="3" t="s">
        <v>35</v>
      </c>
      <c r="R207" s="3">
        <v>0</v>
      </c>
      <c r="S207" s="3">
        <v>423117.56</v>
      </c>
      <c r="T207" s="38" t="s">
        <v>2867</v>
      </c>
      <c r="U207" s="13"/>
    </row>
    <row r="208" spans="1:21" x14ac:dyDescent="0.3">
      <c r="A208" s="3" t="s">
        <v>1244</v>
      </c>
      <c r="B208" s="3" t="s">
        <v>1245</v>
      </c>
      <c r="C208" s="3">
        <v>24</v>
      </c>
      <c r="D208" s="3" t="s">
        <v>45</v>
      </c>
      <c r="E208" s="3">
        <v>116554</v>
      </c>
      <c r="F208" s="3">
        <v>500000</v>
      </c>
      <c r="G208" s="3">
        <v>12</v>
      </c>
      <c r="H208" s="3">
        <v>10.25</v>
      </c>
      <c r="I208" s="3" t="s">
        <v>31</v>
      </c>
      <c r="J208" s="3">
        <v>707</v>
      </c>
      <c r="K208" s="29">
        <v>45062</v>
      </c>
      <c r="L208" s="29" t="s">
        <v>1246</v>
      </c>
      <c r="M208" s="3" t="s">
        <v>33</v>
      </c>
      <c r="N208" s="3">
        <v>44016.1</v>
      </c>
      <c r="O208" s="3" t="s">
        <v>48</v>
      </c>
      <c r="P208" s="3" t="s">
        <v>199</v>
      </c>
      <c r="Q208" s="3" t="s">
        <v>42</v>
      </c>
      <c r="R208" s="3">
        <v>1</v>
      </c>
      <c r="S208" s="3">
        <v>420771.02</v>
      </c>
      <c r="T208" s="38" t="s">
        <v>2871</v>
      </c>
      <c r="U208" s="13"/>
    </row>
    <row r="209" spans="1:21" x14ac:dyDescent="0.3">
      <c r="A209" s="2" t="s">
        <v>729</v>
      </c>
      <c r="B209" s="2" t="s">
        <v>730</v>
      </c>
      <c r="C209" s="2">
        <v>40</v>
      </c>
      <c r="D209" s="2" t="s">
        <v>45</v>
      </c>
      <c r="E209" s="2">
        <v>85082</v>
      </c>
      <c r="F209" s="2">
        <v>500000</v>
      </c>
      <c r="G209" s="2">
        <v>24</v>
      </c>
      <c r="H209" s="2">
        <v>9.4700000000000006</v>
      </c>
      <c r="I209" s="2" t="s">
        <v>73</v>
      </c>
      <c r="J209" s="2">
        <v>360</v>
      </c>
      <c r="K209" s="30">
        <v>44708</v>
      </c>
      <c r="L209" s="30" t="s">
        <v>731</v>
      </c>
      <c r="M209" s="2" t="s">
        <v>33</v>
      </c>
      <c r="N209" s="2">
        <v>22950.34</v>
      </c>
      <c r="O209" s="2" t="s">
        <v>48</v>
      </c>
      <c r="P209" s="2" t="s">
        <v>86</v>
      </c>
      <c r="Q209" s="2" t="s">
        <v>42</v>
      </c>
      <c r="R209" s="2">
        <v>2</v>
      </c>
      <c r="S209" s="2">
        <v>417378.78</v>
      </c>
      <c r="T209" s="38" t="s">
        <v>2879</v>
      </c>
      <c r="U209" s="13"/>
    </row>
    <row r="210" spans="1:21" x14ac:dyDescent="0.3">
      <c r="A210" s="2" t="s">
        <v>819</v>
      </c>
      <c r="B210" s="2" t="s">
        <v>111</v>
      </c>
      <c r="C210" s="2">
        <v>64</v>
      </c>
      <c r="D210" s="2" t="s">
        <v>30</v>
      </c>
      <c r="E210" s="2">
        <v>84868</v>
      </c>
      <c r="F210" s="2">
        <v>500000</v>
      </c>
      <c r="G210" s="2">
        <v>12</v>
      </c>
      <c r="H210" s="2">
        <v>18.579999999999998</v>
      </c>
      <c r="I210" s="2" t="s">
        <v>83</v>
      </c>
      <c r="J210" s="2">
        <v>889</v>
      </c>
      <c r="K210" s="30">
        <v>44681</v>
      </c>
      <c r="L210" s="30" t="s">
        <v>820</v>
      </c>
      <c r="M210" s="2" t="s">
        <v>24</v>
      </c>
      <c r="N210" s="2">
        <v>45978.12</v>
      </c>
      <c r="O210" s="2" t="s">
        <v>60</v>
      </c>
      <c r="P210" s="2" t="s">
        <v>61</v>
      </c>
      <c r="Q210" s="2" t="s">
        <v>35</v>
      </c>
      <c r="R210" s="2">
        <v>2</v>
      </c>
      <c r="S210" s="2">
        <v>417239.38</v>
      </c>
      <c r="T210" s="38" t="s">
        <v>2867</v>
      </c>
      <c r="U210" s="13"/>
    </row>
    <row r="211" spans="1:21" x14ac:dyDescent="0.3">
      <c r="A211" s="3" t="s">
        <v>2594</v>
      </c>
      <c r="B211" s="3" t="s">
        <v>2595</v>
      </c>
      <c r="C211" s="3">
        <v>30</v>
      </c>
      <c r="D211" s="3" t="s">
        <v>30</v>
      </c>
      <c r="E211" s="3">
        <v>41805</v>
      </c>
      <c r="F211" s="3">
        <v>500000</v>
      </c>
      <c r="G211" s="3">
        <v>36</v>
      </c>
      <c r="H211" s="3">
        <v>21.13</v>
      </c>
      <c r="I211" s="3" t="s">
        <v>83</v>
      </c>
      <c r="J211" s="3">
        <v>394</v>
      </c>
      <c r="K211" s="29">
        <v>45042</v>
      </c>
      <c r="L211" s="29" t="s">
        <v>337</v>
      </c>
      <c r="M211" s="3" t="s">
        <v>24</v>
      </c>
      <c r="N211" s="3">
        <v>18870.919999999998</v>
      </c>
      <c r="O211" s="3" t="s">
        <v>48</v>
      </c>
      <c r="P211" s="3" t="s">
        <v>199</v>
      </c>
      <c r="Q211" s="3" t="s">
        <v>42</v>
      </c>
      <c r="R211" s="3">
        <v>1</v>
      </c>
      <c r="S211" s="3">
        <v>415080.86</v>
      </c>
      <c r="T211" s="38" t="s">
        <v>2879</v>
      </c>
      <c r="U211" s="13"/>
    </row>
    <row r="212" spans="1:21" x14ac:dyDescent="0.3">
      <c r="A212" s="2" t="s">
        <v>2230</v>
      </c>
      <c r="B212" s="2" t="s">
        <v>1421</v>
      </c>
      <c r="C212" s="2">
        <v>48</v>
      </c>
      <c r="D212" s="2" t="s">
        <v>72</v>
      </c>
      <c r="E212" s="2">
        <v>162392</v>
      </c>
      <c r="F212" s="2">
        <v>2000000</v>
      </c>
      <c r="G212" s="2">
        <v>84</v>
      </c>
      <c r="H212" s="2">
        <v>11.29</v>
      </c>
      <c r="I212" s="2" t="s">
        <v>38</v>
      </c>
      <c r="J212" s="2">
        <v>721</v>
      </c>
      <c r="K212" s="30">
        <v>44730</v>
      </c>
      <c r="L212" s="30" t="s">
        <v>2231</v>
      </c>
      <c r="M212" s="2" t="s">
        <v>24</v>
      </c>
      <c r="N212" s="2">
        <v>34550.589999999997</v>
      </c>
      <c r="O212" s="2" t="s">
        <v>60</v>
      </c>
      <c r="P212" s="2" t="s">
        <v>2997</v>
      </c>
      <c r="Q212" s="2" t="s">
        <v>100</v>
      </c>
      <c r="R212" s="2">
        <v>6</v>
      </c>
      <c r="S212" s="2">
        <v>414127.92</v>
      </c>
      <c r="T212" s="38" t="s">
        <v>2871</v>
      </c>
      <c r="U212" s="13"/>
    </row>
    <row r="213" spans="1:21" x14ac:dyDescent="0.3">
      <c r="A213" s="2" t="s">
        <v>551</v>
      </c>
      <c r="B213" s="2" t="s">
        <v>552</v>
      </c>
      <c r="C213" s="2">
        <v>40</v>
      </c>
      <c r="D213" s="2" t="s">
        <v>72</v>
      </c>
      <c r="E213" s="2">
        <v>90400</v>
      </c>
      <c r="F213" s="2">
        <v>1500000</v>
      </c>
      <c r="G213" s="2">
        <v>24</v>
      </c>
      <c r="H213" s="2">
        <v>12.52</v>
      </c>
      <c r="I213" s="2" t="s">
        <v>31</v>
      </c>
      <c r="J213" s="2">
        <v>562</v>
      </c>
      <c r="K213" s="30">
        <v>44752</v>
      </c>
      <c r="L213" s="30" t="s">
        <v>287</v>
      </c>
      <c r="M213" s="2" t="s">
        <v>24</v>
      </c>
      <c r="N213" s="2">
        <v>70975.009999999995</v>
      </c>
      <c r="O213" s="2" t="s">
        <v>60</v>
      </c>
      <c r="P213" s="2" t="s">
        <v>192</v>
      </c>
      <c r="Q213" s="2" t="s">
        <v>42</v>
      </c>
      <c r="R213" s="2">
        <v>0</v>
      </c>
      <c r="S213" s="2">
        <v>414082.35</v>
      </c>
      <c r="T213" s="38" t="s">
        <v>2875</v>
      </c>
      <c r="U213" s="13"/>
    </row>
    <row r="214" spans="1:21" x14ac:dyDescent="0.3">
      <c r="A214" s="3" t="s">
        <v>1637</v>
      </c>
      <c r="B214" s="3" t="s">
        <v>1638</v>
      </c>
      <c r="C214" s="3">
        <v>48</v>
      </c>
      <c r="D214" s="3" t="s">
        <v>21</v>
      </c>
      <c r="E214" s="3">
        <v>180004</v>
      </c>
      <c r="F214" s="3">
        <v>1000000</v>
      </c>
      <c r="G214" s="3">
        <v>48</v>
      </c>
      <c r="H214" s="3">
        <v>9.6999999999999993</v>
      </c>
      <c r="I214" s="3" t="s">
        <v>73</v>
      </c>
      <c r="J214" s="3">
        <v>533</v>
      </c>
      <c r="K214" s="29">
        <v>45136</v>
      </c>
      <c r="L214" s="29" t="s">
        <v>1411</v>
      </c>
      <c r="M214" s="3" t="s">
        <v>33</v>
      </c>
      <c r="N214" s="3">
        <v>25218.75</v>
      </c>
      <c r="O214" s="3" t="s">
        <v>105</v>
      </c>
      <c r="P214" s="3" t="s">
        <v>118</v>
      </c>
      <c r="Q214" s="3" t="s">
        <v>42</v>
      </c>
      <c r="R214" s="3">
        <v>1</v>
      </c>
      <c r="S214" s="3">
        <v>409881.25</v>
      </c>
      <c r="T214" s="38" t="s">
        <v>2879</v>
      </c>
      <c r="U214" s="13"/>
    </row>
    <row r="215" spans="1:21" x14ac:dyDescent="0.3">
      <c r="A215" s="2" t="s">
        <v>2147</v>
      </c>
      <c r="B215" s="2" t="s">
        <v>1720</v>
      </c>
      <c r="C215" s="2">
        <v>46</v>
      </c>
      <c r="D215" s="2" t="s">
        <v>30</v>
      </c>
      <c r="E215" s="2">
        <v>182089</v>
      </c>
      <c r="F215" s="2">
        <v>750000</v>
      </c>
      <c r="G215" s="2">
        <v>240</v>
      </c>
      <c r="H215" s="2">
        <v>10.4</v>
      </c>
      <c r="I215" s="2" t="s">
        <v>66</v>
      </c>
      <c r="J215" s="2">
        <v>802</v>
      </c>
      <c r="K215" s="30">
        <v>44528</v>
      </c>
      <c r="L215" s="30" t="s">
        <v>1510</v>
      </c>
      <c r="M215" s="2" t="s">
        <v>24</v>
      </c>
      <c r="N215" s="2">
        <v>7437.54</v>
      </c>
      <c r="O215" s="2" t="s">
        <v>60</v>
      </c>
      <c r="P215" s="2" t="s">
        <v>61</v>
      </c>
      <c r="Q215" s="2" t="s">
        <v>42</v>
      </c>
      <c r="R215" s="2">
        <v>0</v>
      </c>
      <c r="S215" s="2">
        <v>408616.91</v>
      </c>
      <c r="T215" s="38" t="s">
        <v>2867</v>
      </c>
      <c r="U215" s="13"/>
    </row>
    <row r="216" spans="1:21" x14ac:dyDescent="0.3">
      <c r="A216" s="2" t="s">
        <v>378</v>
      </c>
      <c r="B216" s="2" t="s">
        <v>379</v>
      </c>
      <c r="C216" s="2">
        <v>33</v>
      </c>
      <c r="D216" s="2" t="s">
        <v>30</v>
      </c>
      <c r="E216" s="2">
        <v>163457</v>
      </c>
      <c r="F216" s="2">
        <v>1000000</v>
      </c>
      <c r="G216" s="2">
        <v>120</v>
      </c>
      <c r="H216" s="2">
        <v>8.51</v>
      </c>
      <c r="I216" s="2" t="s">
        <v>46</v>
      </c>
      <c r="J216" s="2">
        <v>393</v>
      </c>
      <c r="K216" s="30">
        <v>45126</v>
      </c>
      <c r="L216" s="30" t="s">
        <v>380</v>
      </c>
      <c r="M216" s="2" t="s">
        <v>24</v>
      </c>
      <c r="N216" s="2">
        <v>12403.92</v>
      </c>
      <c r="O216" s="2" t="s">
        <v>54</v>
      </c>
      <c r="P216" s="2" t="s">
        <v>2996</v>
      </c>
      <c r="Q216" s="2" t="s">
        <v>42</v>
      </c>
      <c r="R216" s="2">
        <v>1</v>
      </c>
      <c r="S216" s="2">
        <v>408333.02</v>
      </c>
      <c r="T216" s="38" t="s">
        <v>2879</v>
      </c>
      <c r="U216" s="13"/>
    </row>
    <row r="217" spans="1:21" x14ac:dyDescent="0.3">
      <c r="A217" s="3" t="s">
        <v>2181</v>
      </c>
      <c r="B217" s="3" t="s">
        <v>1737</v>
      </c>
      <c r="C217" s="3">
        <v>50</v>
      </c>
      <c r="D217" s="3" t="s">
        <v>65</v>
      </c>
      <c r="E217" s="3">
        <v>19526</v>
      </c>
      <c r="F217" s="3">
        <v>400000</v>
      </c>
      <c r="G217" s="3">
        <v>12</v>
      </c>
      <c r="H217" s="3">
        <v>14.26</v>
      </c>
      <c r="I217" s="3" t="s">
        <v>38</v>
      </c>
      <c r="J217" s="3">
        <v>791</v>
      </c>
      <c r="K217" s="29">
        <v>44359</v>
      </c>
      <c r="L217" s="29" t="s">
        <v>666</v>
      </c>
      <c r="M217" s="3" t="s">
        <v>24</v>
      </c>
      <c r="N217" s="3">
        <v>35963.800000000003</v>
      </c>
      <c r="O217" s="3" t="s">
        <v>54</v>
      </c>
      <c r="P217" s="3" t="s">
        <v>2996</v>
      </c>
      <c r="Q217" s="3" t="s">
        <v>35</v>
      </c>
      <c r="R217" s="3">
        <v>6</v>
      </c>
      <c r="S217" s="3">
        <v>400000</v>
      </c>
      <c r="T217" s="38" t="s">
        <v>2867</v>
      </c>
      <c r="U217" s="13"/>
    </row>
    <row r="218" spans="1:21" x14ac:dyDescent="0.3">
      <c r="A218" s="3" t="s">
        <v>2434</v>
      </c>
      <c r="B218" s="3" t="s">
        <v>1627</v>
      </c>
      <c r="C218" s="3">
        <v>64</v>
      </c>
      <c r="D218" s="3" t="s">
        <v>45</v>
      </c>
      <c r="E218" s="3">
        <v>151293</v>
      </c>
      <c r="F218" s="3">
        <v>500000</v>
      </c>
      <c r="G218" s="3">
        <v>60</v>
      </c>
      <c r="H218" s="3">
        <v>18.52</v>
      </c>
      <c r="I218" s="3" t="s">
        <v>251</v>
      </c>
      <c r="J218" s="3">
        <v>635</v>
      </c>
      <c r="K218" s="29">
        <v>44267</v>
      </c>
      <c r="L218" s="29" t="s">
        <v>934</v>
      </c>
      <c r="M218" s="3" t="s">
        <v>24</v>
      </c>
      <c r="N218" s="3">
        <v>12838.58</v>
      </c>
      <c r="O218" s="3" t="s">
        <v>60</v>
      </c>
      <c r="P218" s="3" t="s">
        <v>61</v>
      </c>
      <c r="Q218" s="3" t="s">
        <v>100</v>
      </c>
      <c r="R218" s="3">
        <v>10</v>
      </c>
      <c r="S218" s="3">
        <v>396007.5</v>
      </c>
      <c r="T218" s="38" t="s">
        <v>2875</v>
      </c>
      <c r="U218" s="13"/>
    </row>
    <row r="219" spans="1:21" x14ac:dyDescent="0.3">
      <c r="A219" s="3" t="s">
        <v>322</v>
      </c>
      <c r="B219" s="3" t="s">
        <v>323</v>
      </c>
      <c r="C219" s="3">
        <v>41</v>
      </c>
      <c r="D219" s="3" t="s">
        <v>65</v>
      </c>
      <c r="E219" s="3">
        <v>23746</v>
      </c>
      <c r="F219" s="3">
        <v>750000</v>
      </c>
      <c r="G219" s="3">
        <v>84</v>
      </c>
      <c r="H219" s="3">
        <v>18.12</v>
      </c>
      <c r="I219" s="3" t="s">
        <v>22</v>
      </c>
      <c r="J219" s="3">
        <v>602</v>
      </c>
      <c r="K219" s="29">
        <v>44467</v>
      </c>
      <c r="L219" s="29" t="s">
        <v>324</v>
      </c>
      <c r="M219" s="3" t="s">
        <v>24</v>
      </c>
      <c r="N219" s="3">
        <v>15816.17</v>
      </c>
      <c r="O219" s="3" t="s">
        <v>48</v>
      </c>
      <c r="P219" s="3" t="s">
        <v>80</v>
      </c>
      <c r="Q219" s="3" t="s">
        <v>42</v>
      </c>
      <c r="R219" s="3">
        <v>0</v>
      </c>
      <c r="S219" s="3">
        <v>394136.17</v>
      </c>
      <c r="T219" s="38" t="s">
        <v>2875</v>
      </c>
      <c r="U219" s="13"/>
    </row>
    <row r="220" spans="1:21" x14ac:dyDescent="0.3">
      <c r="A220" s="2" t="s">
        <v>985</v>
      </c>
      <c r="B220" s="2" t="s">
        <v>986</v>
      </c>
      <c r="C220" s="2">
        <v>33</v>
      </c>
      <c r="D220" s="2" t="s">
        <v>30</v>
      </c>
      <c r="E220" s="2">
        <v>207696</v>
      </c>
      <c r="F220" s="2">
        <v>500000</v>
      </c>
      <c r="G220" s="2">
        <v>24</v>
      </c>
      <c r="H220" s="2">
        <v>12.97</v>
      </c>
      <c r="I220" s="2" t="s">
        <v>73</v>
      </c>
      <c r="J220" s="2">
        <v>585</v>
      </c>
      <c r="K220" s="30">
        <v>44719</v>
      </c>
      <c r="L220" s="30" t="s">
        <v>988</v>
      </c>
      <c r="M220" s="2" t="s">
        <v>24</v>
      </c>
      <c r="N220" s="2">
        <v>23763.87</v>
      </c>
      <c r="O220" s="2" t="s">
        <v>54</v>
      </c>
      <c r="P220" s="2" t="s">
        <v>183</v>
      </c>
      <c r="Q220" s="2"/>
      <c r="R220" s="2">
        <v>0</v>
      </c>
      <c r="S220" s="2">
        <v>393062.59</v>
      </c>
      <c r="T220" s="38" t="s">
        <v>2875</v>
      </c>
      <c r="U220" s="13"/>
    </row>
    <row r="221" spans="1:21" x14ac:dyDescent="0.3">
      <c r="A221" s="3" t="s">
        <v>2303</v>
      </c>
      <c r="B221" s="3" t="s">
        <v>2304</v>
      </c>
      <c r="C221" s="3">
        <v>24</v>
      </c>
      <c r="D221" s="3" t="s">
        <v>30</v>
      </c>
      <c r="E221" s="3">
        <v>215061</v>
      </c>
      <c r="F221" s="3">
        <v>500000</v>
      </c>
      <c r="G221" s="3">
        <v>24</v>
      </c>
      <c r="H221" s="3">
        <v>13.6</v>
      </c>
      <c r="I221" s="3" t="s">
        <v>66</v>
      </c>
      <c r="J221" s="3">
        <v>891</v>
      </c>
      <c r="K221" s="29">
        <v>45245</v>
      </c>
      <c r="L221" s="29" t="s">
        <v>1017</v>
      </c>
      <c r="M221" s="3" t="s">
        <v>33</v>
      </c>
      <c r="N221" s="3">
        <v>23912.07</v>
      </c>
      <c r="O221" s="3" t="s">
        <v>60</v>
      </c>
      <c r="P221" s="3" t="s">
        <v>69</v>
      </c>
      <c r="Q221" s="3" t="s">
        <v>42</v>
      </c>
      <c r="R221" s="3">
        <v>0</v>
      </c>
      <c r="S221" s="3">
        <v>392395.68</v>
      </c>
      <c r="T221" s="38" t="s">
        <v>2867</v>
      </c>
      <c r="U221" s="13"/>
    </row>
    <row r="222" spans="1:21" x14ac:dyDescent="0.3">
      <c r="A222" s="2" t="s">
        <v>2705</v>
      </c>
      <c r="B222" s="2" t="s">
        <v>748</v>
      </c>
      <c r="C222" s="2">
        <v>36</v>
      </c>
      <c r="D222" s="2" t="s">
        <v>65</v>
      </c>
      <c r="E222" s="2">
        <v>58412</v>
      </c>
      <c r="F222" s="2">
        <v>1000000</v>
      </c>
      <c r="G222" s="2">
        <v>180</v>
      </c>
      <c r="H222" s="2">
        <v>9.16</v>
      </c>
      <c r="I222" s="2" t="s">
        <v>31</v>
      </c>
      <c r="J222" s="2">
        <v>650</v>
      </c>
      <c r="K222" s="30">
        <v>44874</v>
      </c>
      <c r="L222" s="30" t="s">
        <v>1145</v>
      </c>
      <c r="M222" s="2" t="s">
        <v>24</v>
      </c>
      <c r="N222" s="2">
        <v>10238.07</v>
      </c>
      <c r="O222" s="2" t="s">
        <v>54</v>
      </c>
      <c r="P222" s="2" t="s">
        <v>183</v>
      </c>
      <c r="Q222" s="2" t="s">
        <v>27</v>
      </c>
      <c r="R222" s="2">
        <v>1</v>
      </c>
      <c r="S222" s="2">
        <v>391858.64</v>
      </c>
      <c r="T222" s="38" t="s">
        <v>2871</v>
      </c>
      <c r="U222" s="13"/>
    </row>
    <row r="223" spans="1:21" x14ac:dyDescent="0.3">
      <c r="A223" s="2" t="s">
        <v>2347</v>
      </c>
      <c r="B223" s="2" t="s">
        <v>2348</v>
      </c>
      <c r="C223" s="2">
        <v>30</v>
      </c>
      <c r="D223" s="2" t="s">
        <v>45</v>
      </c>
      <c r="E223" s="2">
        <v>177508</v>
      </c>
      <c r="F223" s="2">
        <v>500000</v>
      </c>
      <c r="G223" s="2">
        <v>24</v>
      </c>
      <c r="H223" s="2">
        <v>16.190000000000001</v>
      </c>
      <c r="I223" s="2" t="s">
        <v>73</v>
      </c>
      <c r="J223" s="2">
        <v>323</v>
      </c>
      <c r="K223" s="30">
        <v>45163</v>
      </c>
      <c r="L223" s="30" t="s">
        <v>1291</v>
      </c>
      <c r="M223" s="2" t="s">
        <v>24</v>
      </c>
      <c r="N223" s="2">
        <v>24526.97</v>
      </c>
      <c r="O223" s="2" t="s">
        <v>48</v>
      </c>
      <c r="P223" s="2" t="s">
        <v>375</v>
      </c>
      <c r="Q223" s="2" t="s">
        <v>35</v>
      </c>
      <c r="R223" s="2">
        <v>3</v>
      </c>
      <c r="S223" s="2">
        <v>389628.64</v>
      </c>
      <c r="T223" s="38" t="s">
        <v>2879</v>
      </c>
      <c r="U223" s="13"/>
    </row>
    <row r="224" spans="1:21" x14ac:dyDescent="0.3">
      <c r="A224" s="3" t="s">
        <v>960</v>
      </c>
      <c r="B224" s="3" t="s">
        <v>685</v>
      </c>
      <c r="C224" s="3">
        <v>48</v>
      </c>
      <c r="D224" s="3" t="s">
        <v>72</v>
      </c>
      <c r="E224" s="3">
        <v>81660</v>
      </c>
      <c r="F224" s="3">
        <v>750000</v>
      </c>
      <c r="G224" s="3">
        <v>48</v>
      </c>
      <c r="H224" s="3">
        <v>10.220000000000001</v>
      </c>
      <c r="I224" s="3" t="s">
        <v>73</v>
      </c>
      <c r="J224" s="3">
        <v>520</v>
      </c>
      <c r="K224" s="29">
        <v>44417</v>
      </c>
      <c r="L224" s="29" t="s">
        <v>699</v>
      </c>
      <c r="M224" s="3" t="s">
        <v>24</v>
      </c>
      <c r="N224" s="3">
        <v>19101.28</v>
      </c>
      <c r="O224" s="3" t="s">
        <v>60</v>
      </c>
      <c r="P224" s="3" t="s">
        <v>192</v>
      </c>
      <c r="Q224" s="3" t="s">
        <v>42</v>
      </c>
      <c r="R224" s="3">
        <v>2</v>
      </c>
      <c r="S224" s="3">
        <v>388985.81</v>
      </c>
      <c r="T224" s="38" t="s">
        <v>2879</v>
      </c>
      <c r="U224" s="13"/>
    </row>
    <row r="225" spans="1:21" x14ac:dyDescent="0.3">
      <c r="A225" s="2" t="s">
        <v>2194</v>
      </c>
      <c r="B225" s="2" t="s">
        <v>2195</v>
      </c>
      <c r="C225" s="2">
        <v>39</v>
      </c>
      <c r="D225" s="2" t="s">
        <v>21</v>
      </c>
      <c r="E225" s="2">
        <v>234154</v>
      </c>
      <c r="F225" s="2">
        <v>750000</v>
      </c>
      <c r="G225" s="2">
        <v>60</v>
      </c>
      <c r="H225" s="2">
        <v>20.71</v>
      </c>
      <c r="I225" s="2" t="s">
        <v>38</v>
      </c>
      <c r="J225" s="2">
        <v>548</v>
      </c>
      <c r="K225" s="30">
        <v>44433</v>
      </c>
      <c r="L225" s="30" t="s">
        <v>221</v>
      </c>
      <c r="M225" s="2" t="s">
        <v>24</v>
      </c>
      <c r="N225" s="2">
        <v>20167.86</v>
      </c>
      <c r="O225" s="2" t="s">
        <v>48</v>
      </c>
      <c r="P225" s="2" t="s">
        <v>86</v>
      </c>
      <c r="Q225" s="2" t="s">
        <v>100</v>
      </c>
      <c r="R225" s="2">
        <v>7</v>
      </c>
      <c r="S225" s="2">
        <v>386978.52</v>
      </c>
      <c r="T225" s="38" t="s">
        <v>2879</v>
      </c>
      <c r="U225" s="13"/>
    </row>
    <row r="226" spans="1:21" x14ac:dyDescent="0.3">
      <c r="A226" s="3" t="s">
        <v>1374</v>
      </c>
      <c r="B226" s="3" t="s">
        <v>1375</v>
      </c>
      <c r="C226" s="3">
        <v>52</v>
      </c>
      <c r="D226" s="3" t="s">
        <v>65</v>
      </c>
      <c r="E226" s="3">
        <v>120883</v>
      </c>
      <c r="F226" s="3">
        <v>1500000</v>
      </c>
      <c r="G226" s="3">
        <v>24</v>
      </c>
      <c r="H226" s="3">
        <v>15.33</v>
      </c>
      <c r="I226" s="3" t="s">
        <v>46</v>
      </c>
      <c r="J226" s="3">
        <v>693</v>
      </c>
      <c r="K226" s="29">
        <v>44932</v>
      </c>
      <c r="L226" s="29" t="s">
        <v>725</v>
      </c>
      <c r="M226" s="3" t="s">
        <v>24</v>
      </c>
      <c r="N226" s="3">
        <v>72965.37</v>
      </c>
      <c r="O226" s="3" t="s">
        <v>60</v>
      </c>
      <c r="P226" s="3" t="s">
        <v>172</v>
      </c>
      <c r="Q226" s="3" t="s">
        <v>42</v>
      </c>
      <c r="R226" s="3">
        <v>2</v>
      </c>
      <c r="S226" s="3">
        <v>383629.84</v>
      </c>
      <c r="T226" s="38" t="s">
        <v>2871</v>
      </c>
      <c r="U226" s="13"/>
    </row>
    <row r="227" spans="1:21" x14ac:dyDescent="0.3">
      <c r="A227" s="3" t="s">
        <v>2057</v>
      </c>
      <c r="B227" s="3" t="s">
        <v>1436</v>
      </c>
      <c r="C227" s="3">
        <v>51</v>
      </c>
      <c r="D227" s="3" t="s">
        <v>65</v>
      </c>
      <c r="E227" s="3">
        <v>129311</v>
      </c>
      <c r="F227" s="3">
        <v>500000</v>
      </c>
      <c r="G227" s="3">
        <v>120</v>
      </c>
      <c r="H227" s="3">
        <v>20.87</v>
      </c>
      <c r="I227" s="3" t="s">
        <v>66</v>
      </c>
      <c r="J227" s="3">
        <v>477</v>
      </c>
      <c r="K227" s="29">
        <v>44835</v>
      </c>
      <c r="L227" s="29" t="s">
        <v>2058</v>
      </c>
      <c r="M227" s="3" t="s">
        <v>24</v>
      </c>
      <c r="N227" s="3">
        <v>9952.93</v>
      </c>
      <c r="O227" s="3" t="s">
        <v>105</v>
      </c>
      <c r="P227" s="3" t="s">
        <v>130</v>
      </c>
      <c r="Q227" s="3" t="s">
        <v>42</v>
      </c>
      <c r="R227" s="3">
        <v>1</v>
      </c>
      <c r="S227" s="3">
        <v>383550.71999999997</v>
      </c>
      <c r="T227" s="38" t="s">
        <v>2879</v>
      </c>
      <c r="U227" s="13"/>
    </row>
    <row r="228" spans="1:21" x14ac:dyDescent="0.3">
      <c r="A228" s="2" t="s">
        <v>1666</v>
      </c>
      <c r="B228" s="2" t="s">
        <v>1134</v>
      </c>
      <c r="C228" s="2">
        <v>58</v>
      </c>
      <c r="D228" s="2" t="s">
        <v>65</v>
      </c>
      <c r="E228" s="2">
        <v>103558</v>
      </c>
      <c r="F228" s="2">
        <v>2000000</v>
      </c>
      <c r="G228" s="2">
        <v>120</v>
      </c>
      <c r="H228" s="2">
        <v>14.39</v>
      </c>
      <c r="I228" s="2" t="s">
        <v>251</v>
      </c>
      <c r="J228" s="2">
        <v>441</v>
      </c>
      <c r="K228" s="30">
        <v>45116</v>
      </c>
      <c r="L228" s="30" t="s">
        <v>1667</v>
      </c>
      <c r="M228" s="2" t="s">
        <v>24</v>
      </c>
      <c r="N228" s="2">
        <v>31523.98</v>
      </c>
      <c r="O228" s="2" t="s">
        <v>54</v>
      </c>
      <c r="P228" s="2" t="s">
        <v>164</v>
      </c>
      <c r="Q228" s="2" t="s">
        <v>35</v>
      </c>
      <c r="R228" s="2">
        <v>12</v>
      </c>
      <c r="S228" s="2">
        <v>382819.83</v>
      </c>
      <c r="T228" s="38" t="s">
        <v>2879</v>
      </c>
      <c r="U228" s="13"/>
    </row>
    <row r="229" spans="1:21" x14ac:dyDescent="0.3">
      <c r="A229" s="3" t="s">
        <v>995</v>
      </c>
      <c r="B229" s="3" t="s">
        <v>996</v>
      </c>
      <c r="C229" s="3">
        <v>61</v>
      </c>
      <c r="D229" s="3" t="s">
        <v>45</v>
      </c>
      <c r="E229" s="3">
        <v>139480</v>
      </c>
      <c r="F229" s="3">
        <v>500000</v>
      </c>
      <c r="G229" s="3">
        <v>12</v>
      </c>
      <c r="H229" s="3">
        <v>9.16</v>
      </c>
      <c r="I229" s="3" t="s">
        <v>38</v>
      </c>
      <c r="J229" s="3">
        <v>756</v>
      </c>
      <c r="K229" s="29">
        <v>44278</v>
      </c>
      <c r="L229" s="29" t="s">
        <v>538</v>
      </c>
      <c r="M229" s="3" t="s">
        <v>24</v>
      </c>
      <c r="N229" s="3">
        <v>43762.85</v>
      </c>
      <c r="O229" s="3" t="s">
        <v>105</v>
      </c>
      <c r="P229" s="3" t="s">
        <v>2999</v>
      </c>
      <c r="Q229" s="3" t="s">
        <v>42</v>
      </c>
      <c r="R229" s="3">
        <v>2</v>
      </c>
      <c r="S229" s="3">
        <v>381840.3</v>
      </c>
      <c r="T229" s="38" t="s">
        <v>2867</v>
      </c>
      <c r="U229" s="13"/>
    </row>
    <row r="230" spans="1:21" x14ac:dyDescent="0.3">
      <c r="A230" s="2" t="s">
        <v>2343</v>
      </c>
      <c r="B230" s="2" t="s">
        <v>2344</v>
      </c>
      <c r="C230" s="2">
        <v>45</v>
      </c>
      <c r="D230" s="2" t="s">
        <v>72</v>
      </c>
      <c r="E230" s="2">
        <v>189125</v>
      </c>
      <c r="F230" s="2">
        <v>1000000</v>
      </c>
      <c r="G230" s="2">
        <v>84</v>
      </c>
      <c r="H230" s="2">
        <v>14.78</v>
      </c>
      <c r="I230" s="2" t="s">
        <v>73</v>
      </c>
      <c r="J230" s="2">
        <v>530</v>
      </c>
      <c r="K230" s="30">
        <v>45117</v>
      </c>
      <c r="L230" s="30" t="s">
        <v>364</v>
      </c>
      <c r="M230" s="2" t="s">
        <v>24</v>
      </c>
      <c r="N230" s="2">
        <v>19173.53</v>
      </c>
      <c r="O230" s="2" t="s">
        <v>60</v>
      </c>
      <c r="P230" s="2" t="s">
        <v>2997</v>
      </c>
      <c r="Q230" s="2" t="s">
        <v>42</v>
      </c>
      <c r="R230" s="2">
        <v>1</v>
      </c>
      <c r="S230" s="2">
        <v>378777.63</v>
      </c>
      <c r="T230" s="38" t="s">
        <v>2879</v>
      </c>
      <c r="U230" s="13"/>
    </row>
    <row r="231" spans="1:21" x14ac:dyDescent="0.3">
      <c r="A231" s="2" t="s">
        <v>423</v>
      </c>
      <c r="B231" s="2" t="s">
        <v>424</v>
      </c>
      <c r="C231" s="2">
        <v>30</v>
      </c>
      <c r="D231" s="2" t="s">
        <v>45</v>
      </c>
      <c r="E231" s="2">
        <v>39498</v>
      </c>
      <c r="F231" s="2">
        <v>1000000</v>
      </c>
      <c r="G231" s="2">
        <v>120</v>
      </c>
      <c r="H231" s="2">
        <v>14.87</v>
      </c>
      <c r="I231" s="2" t="s">
        <v>46</v>
      </c>
      <c r="J231" s="2">
        <v>671</v>
      </c>
      <c r="K231" s="30">
        <v>45192</v>
      </c>
      <c r="L231" s="30" t="s">
        <v>425</v>
      </c>
      <c r="M231" s="2" t="s">
        <v>24</v>
      </c>
      <c r="N231" s="2">
        <v>16053.98</v>
      </c>
      <c r="O231" s="2" t="s">
        <v>48</v>
      </c>
      <c r="P231" s="2" t="s">
        <v>86</v>
      </c>
      <c r="Q231" s="2" t="s">
        <v>42</v>
      </c>
      <c r="R231" s="2">
        <v>0</v>
      </c>
      <c r="S231" s="2">
        <v>378710.97</v>
      </c>
      <c r="T231" s="38" t="s">
        <v>2871</v>
      </c>
      <c r="U231" s="13"/>
    </row>
    <row r="232" spans="1:21" x14ac:dyDescent="0.3">
      <c r="A232" s="2" t="s">
        <v>2328</v>
      </c>
      <c r="B232" s="2" t="s">
        <v>2203</v>
      </c>
      <c r="C232" s="2">
        <v>49</v>
      </c>
      <c r="D232" s="2" t="s">
        <v>21</v>
      </c>
      <c r="E232" s="2">
        <v>105540</v>
      </c>
      <c r="F232" s="2">
        <v>400000</v>
      </c>
      <c r="G232" s="2">
        <v>48</v>
      </c>
      <c r="H232" s="2">
        <v>20.82</v>
      </c>
      <c r="I232" s="2" t="s">
        <v>31</v>
      </c>
      <c r="J232" s="2">
        <v>341</v>
      </c>
      <c r="K232" s="30">
        <v>44497</v>
      </c>
      <c r="L232" s="30" t="s">
        <v>1191</v>
      </c>
      <c r="M232" s="2" t="s">
        <v>24</v>
      </c>
      <c r="N232" s="2">
        <v>12347.58</v>
      </c>
      <c r="O232" s="2" t="s">
        <v>25</v>
      </c>
      <c r="P232" s="2" t="s">
        <v>151</v>
      </c>
      <c r="Q232" s="2" t="s">
        <v>42</v>
      </c>
      <c r="R232" s="2">
        <v>1</v>
      </c>
      <c r="S232" s="2">
        <v>377774.36</v>
      </c>
      <c r="T232" s="38" t="s">
        <v>2879</v>
      </c>
      <c r="U232" s="13"/>
    </row>
    <row r="233" spans="1:21" x14ac:dyDescent="0.3">
      <c r="A233" s="2" t="s">
        <v>1755</v>
      </c>
      <c r="B233" s="2" t="s">
        <v>1756</v>
      </c>
      <c r="C233" s="2">
        <v>56</v>
      </c>
      <c r="D233" s="2" t="s">
        <v>21</v>
      </c>
      <c r="E233" s="2">
        <v>17237</v>
      </c>
      <c r="F233" s="2">
        <v>2000000</v>
      </c>
      <c r="G233" s="2">
        <v>60</v>
      </c>
      <c r="H233" s="2">
        <v>11.59</v>
      </c>
      <c r="I233" s="2" t="s">
        <v>38</v>
      </c>
      <c r="J233" s="2">
        <v>713</v>
      </c>
      <c r="K233" s="30">
        <v>44221</v>
      </c>
      <c r="L233" s="30" t="s">
        <v>1757</v>
      </c>
      <c r="M233" s="2"/>
      <c r="N233" s="2">
        <v>44075.63</v>
      </c>
      <c r="O233" s="2" t="s">
        <v>60</v>
      </c>
      <c r="P233" s="2" t="s">
        <v>69</v>
      </c>
      <c r="Q233" s="2" t="s">
        <v>100</v>
      </c>
      <c r="R233" s="2">
        <v>12</v>
      </c>
      <c r="S233" s="2">
        <v>373609.25</v>
      </c>
      <c r="T233" s="38" t="s">
        <v>2871</v>
      </c>
      <c r="U233" s="13"/>
    </row>
    <row r="234" spans="1:21" x14ac:dyDescent="0.3">
      <c r="A234" s="3" t="s">
        <v>1139</v>
      </c>
      <c r="B234" s="3" t="s">
        <v>1140</v>
      </c>
      <c r="C234" s="3">
        <v>29</v>
      </c>
      <c r="D234" s="3" t="s">
        <v>65</v>
      </c>
      <c r="E234" s="3">
        <v>176934</v>
      </c>
      <c r="F234" s="3">
        <v>400000</v>
      </c>
      <c r="G234" s="3">
        <v>60</v>
      </c>
      <c r="H234" s="3">
        <v>17.66</v>
      </c>
      <c r="I234" s="3" t="s">
        <v>31</v>
      </c>
      <c r="J234" s="3">
        <v>492</v>
      </c>
      <c r="K234" s="29">
        <v>45292</v>
      </c>
      <c r="L234" s="29" t="s">
        <v>1142</v>
      </c>
      <c r="M234" s="3" t="s">
        <v>24</v>
      </c>
      <c r="N234" s="3">
        <v>10083.530000000001</v>
      </c>
      <c r="O234" s="3" t="s">
        <v>48</v>
      </c>
      <c r="P234" s="3" t="s">
        <v>49</v>
      </c>
      <c r="Q234" s="3" t="s">
        <v>35</v>
      </c>
      <c r="R234" s="3">
        <v>2</v>
      </c>
      <c r="S234" s="3">
        <v>372774.47</v>
      </c>
      <c r="T234" s="38" t="s">
        <v>2879</v>
      </c>
      <c r="U234" s="13"/>
    </row>
    <row r="235" spans="1:21" x14ac:dyDescent="0.3">
      <c r="A235" s="2" t="s">
        <v>1961</v>
      </c>
      <c r="B235" s="2" t="s">
        <v>1059</v>
      </c>
      <c r="C235" s="2">
        <v>23</v>
      </c>
      <c r="D235" s="2" t="s">
        <v>72</v>
      </c>
      <c r="E235" s="2">
        <v>41952</v>
      </c>
      <c r="F235" s="2">
        <v>500000</v>
      </c>
      <c r="G235" s="2">
        <v>60</v>
      </c>
      <c r="H235" s="2">
        <v>8.99</v>
      </c>
      <c r="I235" s="2" t="s">
        <v>73</v>
      </c>
      <c r="J235" s="2">
        <v>445</v>
      </c>
      <c r="K235" s="30">
        <v>45071</v>
      </c>
      <c r="L235" s="30" t="s">
        <v>1721</v>
      </c>
      <c r="M235" s="2" t="s">
        <v>24</v>
      </c>
      <c r="N235" s="2">
        <v>10376.75</v>
      </c>
      <c r="O235" s="2" t="s">
        <v>25</v>
      </c>
      <c r="P235" s="2" t="s">
        <v>34</v>
      </c>
      <c r="Q235" s="2" t="s">
        <v>42</v>
      </c>
      <c r="R235" s="2">
        <v>0</v>
      </c>
      <c r="S235" s="2">
        <v>369252.95</v>
      </c>
      <c r="T235" s="38" t="s">
        <v>2879</v>
      </c>
      <c r="U235" s="13"/>
    </row>
    <row r="236" spans="1:21" x14ac:dyDescent="0.3">
      <c r="A236" s="3" t="s">
        <v>2202</v>
      </c>
      <c r="B236" s="3" t="s">
        <v>2203</v>
      </c>
      <c r="C236" s="3">
        <v>62</v>
      </c>
      <c r="D236" s="3" t="s">
        <v>30</v>
      </c>
      <c r="E236" s="3">
        <v>62163</v>
      </c>
      <c r="F236" s="3">
        <v>400000</v>
      </c>
      <c r="G236" s="3">
        <v>12</v>
      </c>
      <c r="H236" s="3">
        <v>9.92</v>
      </c>
      <c r="I236" s="3" t="s">
        <v>73</v>
      </c>
      <c r="J236" s="3">
        <v>569</v>
      </c>
      <c r="K236" s="29">
        <v>44455</v>
      </c>
      <c r="L236" s="29" t="s">
        <v>327</v>
      </c>
      <c r="M236" s="3" t="s">
        <v>122</v>
      </c>
      <c r="N236" s="3">
        <v>35151.47</v>
      </c>
      <c r="O236" s="3" t="s">
        <v>54</v>
      </c>
      <c r="P236" s="3" t="s">
        <v>164</v>
      </c>
      <c r="Q236" s="3" t="s">
        <v>27</v>
      </c>
      <c r="R236" s="3">
        <v>2</v>
      </c>
      <c r="S236" s="3">
        <v>368363.68</v>
      </c>
      <c r="T236" s="38" t="s">
        <v>2875</v>
      </c>
      <c r="U236" s="13"/>
    </row>
    <row r="237" spans="1:21" x14ac:dyDescent="0.3">
      <c r="A237" s="3" t="s">
        <v>772</v>
      </c>
      <c r="B237" s="3" t="s">
        <v>237</v>
      </c>
      <c r="C237" s="3">
        <v>32</v>
      </c>
      <c r="D237" s="3" t="s">
        <v>21</v>
      </c>
      <c r="E237" s="3">
        <v>48274</v>
      </c>
      <c r="F237" s="3">
        <v>1500000</v>
      </c>
      <c r="G237" s="3">
        <v>60</v>
      </c>
      <c r="H237" s="3">
        <v>18.13</v>
      </c>
      <c r="I237" s="3" t="s">
        <v>22</v>
      </c>
      <c r="J237" s="3">
        <v>330</v>
      </c>
      <c r="K237" s="29">
        <v>44327</v>
      </c>
      <c r="L237" s="29" t="s">
        <v>89</v>
      </c>
      <c r="M237" s="3" t="s">
        <v>24</v>
      </c>
      <c r="N237" s="3">
        <v>38196.300000000003</v>
      </c>
      <c r="O237" s="3" t="s">
        <v>48</v>
      </c>
      <c r="P237" s="3" t="s">
        <v>80</v>
      </c>
      <c r="Q237" s="3" t="s">
        <v>27</v>
      </c>
      <c r="R237" s="3">
        <v>1</v>
      </c>
      <c r="S237" s="3">
        <v>365569.89</v>
      </c>
      <c r="T237" s="38" t="s">
        <v>2879</v>
      </c>
      <c r="U237" s="13"/>
    </row>
    <row r="238" spans="1:21" x14ac:dyDescent="0.3">
      <c r="A238" s="3" t="s">
        <v>271</v>
      </c>
      <c r="B238" s="3" t="s">
        <v>272</v>
      </c>
      <c r="C238" s="3">
        <v>54</v>
      </c>
      <c r="D238" s="3" t="s">
        <v>45</v>
      </c>
      <c r="E238" s="3">
        <v>144445</v>
      </c>
      <c r="F238" s="3">
        <v>400000</v>
      </c>
      <c r="G238" s="3">
        <v>24</v>
      </c>
      <c r="H238" s="3">
        <v>16.170000000000002</v>
      </c>
      <c r="I238" s="3" t="s">
        <v>73</v>
      </c>
      <c r="J238" s="3">
        <v>630</v>
      </c>
      <c r="K238" s="29">
        <v>44665</v>
      </c>
      <c r="L238" s="29" t="s">
        <v>238</v>
      </c>
      <c r="M238" s="3" t="s">
        <v>24</v>
      </c>
      <c r="N238" s="3">
        <v>19617.75</v>
      </c>
      <c r="O238" s="3" t="s">
        <v>54</v>
      </c>
      <c r="P238" s="3" t="s">
        <v>183</v>
      </c>
      <c r="Q238" s="3" t="s">
        <v>27</v>
      </c>
      <c r="R238" s="3">
        <v>0</v>
      </c>
      <c r="S238" s="3">
        <v>364688.05</v>
      </c>
      <c r="T238" s="38" t="s">
        <v>2875</v>
      </c>
      <c r="U238" s="13"/>
    </row>
    <row r="239" spans="1:21" x14ac:dyDescent="0.3">
      <c r="A239" s="2" t="s">
        <v>1101</v>
      </c>
      <c r="B239" s="2" t="s">
        <v>1102</v>
      </c>
      <c r="C239" s="2">
        <v>51</v>
      </c>
      <c r="D239" s="2" t="s">
        <v>72</v>
      </c>
      <c r="E239" s="2"/>
      <c r="F239" s="2">
        <v>500000</v>
      </c>
      <c r="G239" s="2">
        <v>180</v>
      </c>
      <c r="H239" s="2">
        <v>12.08</v>
      </c>
      <c r="I239" s="2" t="s">
        <v>46</v>
      </c>
      <c r="J239" s="2">
        <v>312</v>
      </c>
      <c r="K239" s="30">
        <v>44863</v>
      </c>
      <c r="L239" s="30" t="s">
        <v>154</v>
      </c>
      <c r="M239" s="2" t="s">
        <v>24</v>
      </c>
      <c r="N239" s="2">
        <v>6026.6</v>
      </c>
      <c r="O239" s="2" t="s">
        <v>105</v>
      </c>
      <c r="P239" s="2" t="s">
        <v>118</v>
      </c>
      <c r="Q239" s="2" t="s">
        <v>42</v>
      </c>
      <c r="R239" s="2">
        <v>2</v>
      </c>
      <c r="S239" s="2">
        <v>364401.5</v>
      </c>
      <c r="T239" s="38" t="s">
        <v>2879</v>
      </c>
      <c r="U239" s="13"/>
    </row>
    <row r="240" spans="1:21" x14ac:dyDescent="0.3">
      <c r="A240" s="2" t="s">
        <v>1783</v>
      </c>
      <c r="B240" s="2" t="s">
        <v>1784</v>
      </c>
      <c r="C240" s="2">
        <v>65</v>
      </c>
      <c r="D240" s="2" t="s">
        <v>21</v>
      </c>
      <c r="E240" s="2">
        <v>55238</v>
      </c>
      <c r="F240" s="2">
        <v>400000</v>
      </c>
      <c r="G240" s="2">
        <v>84</v>
      </c>
      <c r="H240" s="2">
        <v>10.08</v>
      </c>
      <c r="I240" s="2" t="s">
        <v>46</v>
      </c>
      <c r="J240" s="2">
        <v>845</v>
      </c>
      <c r="K240" s="30">
        <v>45267</v>
      </c>
      <c r="L240" s="30" t="s">
        <v>1785</v>
      </c>
      <c r="M240" s="2" t="s">
        <v>24</v>
      </c>
      <c r="N240" s="2">
        <v>6657.02</v>
      </c>
      <c r="O240" s="2" t="s">
        <v>105</v>
      </c>
      <c r="P240" s="2" t="s">
        <v>118</v>
      </c>
      <c r="Q240" s="2" t="s">
        <v>42</v>
      </c>
      <c r="R240" s="2">
        <v>2</v>
      </c>
      <c r="S240" s="2">
        <v>364052.09</v>
      </c>
      <c r="T240" s="38" t="s">
        <v>2867</v>
      </c>
      <c r="U240" s="13"/>
    </row>
    <row r="241" spans="1:21" x14ac:dyDescent="0.3">
      <c r="A241" s="3" t="s">
        <v>2735</v>
      </c>
      <c r="B241" s="3" t="s">
        <v>1859</v>
      </c>
      <c r="C241" s="3">
        <v>49</v>
      </c>
      <c r="D241" s="3" t="s">
        <v>72</v>
      </c>
      <c r="E241" s="3">
        <v>34950</v>
      </c>
      <c r="F241" s="3">
        <v>2000000</v>
      </c>
      <c r="G241" s="3">
        <v>60</v>
      </c>
      <c r="H241" s="3">
        <v>15.26</v>
      </c>
      <c r="I241" s="3" t="s">
        <v>73</v>
      </c>
      <c r="J241" s="3">
        <v>316</v>
      </c>
      <c r="K241" s="29">
        <v>44301</v>
      </c>
      <c r="L241" s="29" t="s">
        <v>1159</v>
      </c>
      <c r="M241" s="3" t="s">
        <v>24</v>
      </c>
      <c r="N241" s="3">
        <v>47853.25</v>
      </c>
      <c r="O241" s="3" t="s">
        <v>54</v>
      </c>
      <c r="P241" s="3" t="s">
        <v>183</v>
      </c>
      <c r="Q241" s="3" t="s">
        <v>100</v>
      </c>
      <c r="R241" s="3">
        <v>12</v>
      </c>
      <c r="S241" s="3">
        <v>363418.85</v>
      </c>
      <c r="T241" s="38" t="s">
        <v>2879</v>
      </c>
      <c r="U241" s="13"/>
    </row>
    <row r="242" spans="1:21" x14ac:dyDescent="0.3">
      <c r="A242" s="3" t="s">
        <v>1060</v>
      </c>
      <c r="B242" s="3" t="s">
        <v>1061</v>
      </c>
      <c r="C242" s="3">
        <v>46</v>
      </c>
      <c r="D242" s="3" t="s">
        <v>21</v>
      </c>
      <c r="E242" s="3">
        <v>169415</v>
      </c>
      <c r="F242" s="3">
        <v>2000000</v>
      </c>
      <c r="G242" s="3">
        <v>24</v>
      </c>
      <c r="H242" s="3">
        <v>13.67</v>
      </c>
      <c r="I242" s="3" t="s">
        <v>66</v>
      </c>
      <c r="J242" s="3">
        <v>788</v>
      </c>
      <c r="K242" s="29">
        <v>45033</v>
      </c>
      <c r="L242" s="29" t="s">
        <v>1062</v>
      </c>
      <c r="M242" s="3" t="s">
        <v>24</v>
      </c>
      <c r="N242" s="3">
        <v>95714.27</v>
      </c>
      <c r="O242" s="3" t="s">
        <v>105</v>
      </c>
      <c r="P242" s="3" t="s">
        <v>114</v>
      </c>
      <c r="Q242" s="3" t="s">
        <v>42</v>
      </c>
      <c r="R242" s="3">
        <v>1</v>
      </c>
      <c r="S242" s="3">
        <v>363285.98</v>
      </c>
      <c r="T242" s="38" t="s">
        <v>2867</v>
      </c>
      <c r="U242" s="13"/>
    </row>
    <row r="243" spans="1:21" x14ac:dyDescent="0.3">
      <c r="A243" s="2" t="s">
        <v>2059</v>
      </c>
      <c r="B243" s="2" t="s">
        <v>2060</v>
      </c>
      <c r="C243" s="2">
        <v>49</v>
      </c>
      <c r="D243" s="2" t="s">
        <v>65</v>
      </c>
      <c r="E243" s="2">
        <v>126080</v>
      </c>
      <c r="F243" s="2">
        <v>750000</v>
      </c>
      <c r="G243" s="2">
        <v>60</v>
      </c>
      <c r="H243" s="2">
        <v>19.329999999999998</v>
      </c>
      <c r="I243" s="2" t="s">
        <v>22</v>
      </c>
      <c r="J243" s="2">
        <v>692</v>
      </c>
      <c r="K243" s="30">
        <v>44962</v>
      </c>
      <c r="L243" s="30" t="s">
        <v>53</v>
      </c>
      <c r="M243" s="2" t="s">
        <v>24</v>
      </c>
      <c r="N243" s="2">
        <v>19591.849999999999</v>
      </c>
      <c r="O243" s="2" t="s">
        <v>60</v>
      </c>
      <c r="P243" s="2" t="s">
        <v>192</v>
      </c>
      <c r="Q243" s="2" t="s">
        <v>42</v>
      </c>
      <c r="R243" s="2">
        <v>2</v>
      </c>
      <c r="S243" s="2">
        <v>362081.37</v>
      </c>
      <c r="T243" s="38" t="s">
        <v>2871</v>
      </c>
      <c r="U243" s="13"/>
    </row>
    <row r="244" spans="1:21" x14ac:dyDescent="0.3">
      <c r="A244" s="3" t="s">
        <v>941</v>
      </c>
      <c r="B244" s="3" t="s">
        <v>942</v>
      </c>
      <c r="C244" s="3">
        <v>65</v>
      </c>
      <c r="D244" s="3" t="s">
        <v>45</v>
      </c>
      <c r="E244" s="3">
        <v>216203</v>
      </c>
      <c r="F244" s="3">
        <v>1500000</v>
      </c>
      <c r="G244" s="3">
        <v>48</v>
      </c>
      <c r="H244" s="3">
        <v>21.68</v>
      </c>
      <c r="I244" s="3" t="s">
        <v>38</v>
      </c>
      <c r="J244" s="3">
        <v>831</v>
      </c>
      <c r="K244" s="29">
        <v>44706</v>
      </c>
      <c r="L244" s="29" t="s">
        <v>943</v>
      </c>
      <c r="M244" s="3" t="s">
        <v>24</v>
      </c>
      <c r="N244" s="3">
        <v>46998.91</v>
      </c>
      <c r="O244" s="3" t="s">
        <v>54</v>
      </c>
      <c r="P244" s="3" t="s">
        <v>99</v>
      </c>
      <c r="Q244" s="3" t="s">
        <v>27</v>
      </c>
      <c r="R244" s="3">
        <v>0</v>
      </c>
      <c r="S244" s="3">
        <v>357926.49</v>
      </c>
      <c r="T244" s="38" t="s">
        <v>2867</v>
      </c>
      <c r="U244" s="13"/>
    </row>
    <row r="245" spans="1:21" x14ac:dyDescent="0.3">
      <c r="A245" s="2" t="s">
        <v>1176</v>
      </c>
      <c r="B245" s="2" t="s">
        <v>64</v>
      </c>
      <c r="C245" s="2">
        <v>27</v>
      </c>
      <c r="D245" s="2" t="s">
        <v>65</v>
      </c>
      <c r="E245" s="2">
        <v>224982</v>
      </c>
      <c r="F245" s="2">
        <v>1000000</v>
      </c>
      <c r="G245" s="2">
        <v>12</v>
      </c>
      <c r="H245" s="2">
        <v>12.73</v>
      </c>
      <c r="I245" s="2" t="s">
        <v>73</v>
      </c>
      <c r="J245" s="2">
        <v>677</v>
      </c>
      <c r="K245" s="30">
        <v>44280</v>
      </c>
      <c r="L245" s="30" t="s">
        <v>256</v>
      </c>
      <c r="M245" s="2" t="s">
        <v>122</v>
      </c>
      <c r="N245" s="2">
        <v>89190.65</v>
      </c>
      <c r="O245" s="2" t="s">
        <v>25</v>
      </c>
      <c r="P245" s="2" t="s">
        <v>123</v>
      </c>
      <c r="Q245" s="2" t="s">
        <v>42</v>
      </c>
      <c r="R245" s="2">
        <v>1</v>
      </c>
      <c r="S245" s="2">
        <v>357827.32</v>
      </c>
      <c r="T245" s="38" t="s">
        <v>2871</v>
      </c>
      <c r="U245" s="13"/>
    </row>
    <row r="246" spans="1:21" x14ac:dyDescent="0.3">
      <c r="A246" s="2" t="s">
        <v>758</v>
      </c>
      <c r="B246" s="2" t="s">
        <v>759</v>
      </c>
      <c r="C246" s="2">
        <v>40</v>
      </c>
      <c r="D246" s="2" t="s">
        <v>72</v>
      </c>
      <c r="E246" s="2">
        <v>220468</v>
      </c>
      <c r="F246" s="2">
        <v>2000000</v>
      </c>
      <c r="G246" s="2">
        <v>48</v>
      </c>
      <c r="H246" s="2">
        <v>14.68</v>
      </c>
      <c r="I246" s="2" t="s">
        <v>22</v>
      </c>
      <c r="J246" s="2">
        <v>546</v>
      </c>
      <c r="K246" s="30">
        <v>44221</v>
      </c>
      <c r="L246" s="30" t="s">
        <v>187</v>
      </c>
      <c r="M246" s="2" t="s">
        <v>24</v>
      </c>
      <c r="N246" s="2">
        <v>55337.61</v>
      </c>
      <c r="O246" s="2" t="s">
        <v>60</v>
      </c>
      <c r="P246" s="2" t="s">
        <v>69</v>
      </c>
      <c r="Q246" s="2" t="s">
        <v>42</v>
      </c>
      <c r="R246" s="2">
        <v>0</v>
      </c>
      <c r="S246" s="2">
        <v>356472.98</v>
      </c>
      <c r="T246" s="38" t="s">
        <v>2879</v>
      </c>
      <c r="U246" s="13"/>
    </row>
    <row r="247" spans="1:21" x14ac:dyDescent="0.3">
      <c r="A247" s="3" t="s">
        <v>1969</v>
      </c>
      <c r="B247" s="3" t="s">
        <v>610</v>
      </c>
      <c r="C247" s="3">
        <v>60</v>
      </c>
      <c r="D247" s="3" t="s">
        <v>21</v>
      </c>
      <c r="E247" s="3">
        <v>51233</v>
      </c>
      <c r="F247" s="3">
        <v>2000000</v>
      </c>
      <c r="G247" s="3">
        <v>48</v>
      </c>
      <c r="H247" s="3">
        <v>13.06</v>
      </c>
      <c r="I247" s="3" t="s">
        <v>31</v>
      </c>
      <c r="J247" s="3">
        <v>851</v>
      </c>
      <c r="K247" s="29">
        <v>44668</v>
      </c>
      <c r="L247" s="29" t="s">
        <v>1970</v>
      </c>
      <c r="M247" s="3" t="s">
        <v>24</v>
      </c>
      <c r="N247" s="3">
        <v>53714.57</v>
      </c>
      <c r="O247" s="3" t="s">
        <v>54</v>
      </c>
      <c r="P247" s="3" t="s">
        <v>164</v>
      </c>
      <c r="Q247" s="3" t="s">
        <v>42</v>
      </c>
      <c r="R247" s="3">
        <v>2</v>
      </c>
      <c r="S247" s="3">
        <v>356334.16</v>
      </c>
      <c r="T247" s="38" t="s">
        <v>2867</v>
      </c>
      <c r="U247" s="13"/>
    </row>
    <row r="248" spans="1:21" x14ac:dyDescent="0.3">
      <c r="A248" s="3" t="s">
        <v>1762</v>
      </c>
      <c r="B248" s="3" t="s">
        <v>1763</v>
      </c>
      <c r="C248" s="3">
        <v>65</v>
      </c>
      <c r="D248" s="3" t="s">
        <v>65</v>
      </c>
      <c r="E248" s="3">
        <v>214974</v>
      </c>
      <c r="F248" s="3">
        <v>2000000</v>
      </c>
      <c r="G248" s="3">
        <v>240</v>
      </c>
      <c r="H248" s="3">
        <v>11.84</v>
      </c>
      <c r="I248" s="3" t="s">
        <v>46</v>
      </c>
      <c r="J248" s="3">
        <v>881</v>
      </c>
      <c r="K248" s="29">
        <v>44997</v>
      </c>
      <c r="L248" s="29" t="s">
        <v>652</v>
      </c>
      <c r="M248" s="3" t="s">
        <v>24</v>
      </c>
      <c r="N248" s="3">
        <v>21799.040000000001</v>
      </c>
      <c r="O248" s="3" t="s">
        <v>25</v>
      </c>
      <c r="P248" s="3" t="s">
        <v>34</v>
      </c>
      <c r="Q248" s="3" t="s">
        <v>42</v>
      </c>
      <c r="R248" s="3">
        <v>0</v>
      </c>
      <c r="S248" s="3">
        <v>351992.58</v>
      </c>
      <c r="T248" s="38" t="s">
        <v>2867</v>
      </c>
      <c r="U248" s="13"/>
    </row>
    <row r="249" spans="1:21" x14ac:dyDescent="0.3">
      <c r="A249" s="3" t="s">
        <v>607</v>
      </c>
      <c r="B249" s="3" t="s">
        <v>408</v>
      </c>
      <c r="C249" s="3">
        <v>25</v>
      </c>
      <c r="D249" s="3" t="s">
        <v>45</v>
      </c>
      <c r="E249" s="3">
        <v>170101</v>
      </c>
      <c r="F249" s="3">
        <v>1500000</v>
      </c>
      <c r="G249" s="3">
        <v>36</v>
      </c>
      <c r="H249" s="3">
        <v>16.579999999999998</v>
      </c>
      <c r="I249" s="3" t="s">
        <v>73</v>
      </c>
      <c r="J249" s="3">
        <v>869</v>
      </c>
      <c r="K249" s="29">
        <v>45271</v>
      </c>
      <c r="L249" s="29" t="s">
        <v>190</v>
      </c>
      <c r="M249" s="3" t="s">
        <v>24</v>
      </c>
      <c r="N249" s="3">
        <v>53166.080000000002</v>
      </c>
      <c r="O249" s="3" t="s">
        <v>60</v>
      </c>
      <c r="P249" s="3" t="s">
        <v>172</v>
      </c>
      <c r="Q249" s="3" t="s">
        <v>42</v>
      </c>
      <c r="R249" s="3">
        <v>1</v>
      </c>
      <c r="S249" s="3">
        <v>351612.67</v>
      </c>
      <c r="T249" s="38" t="s">
        <v>2867</v>
      </c>
      <c r="U249" s="13"/>
    </row>
    <row r="250" spans="1:21" x14ac:dyDescent="0.3">
      <c r="A250" s="3" t="s">
        <v>2807</v>
      </c>
      <c r="B250" s="3" t="s">
        <v>1720</v>
      </c>
      <c r="C250" s="3">
        <v>56</v>
      </c>
      <c r="D250" s="3" t="s">
        <v>21</v>
      </c>
      <c r="E250" s="3">
        <v>30007</v>
      </c>
      <c r="F250" s="3">
        <v>2000000</v>
      </c>
      <c r="G250" s="3">
        <v>12</v>
      </c>
      <c r="H250" s="3">
        <v>17.93</v>
      </c>
      <c r="I250" s="3" t="s">
        <v>38</v>
      </c>
      <c r="J250" s="3">
        <v>620</v>
      </c>
      <c r="K250" s="29">
        <v>44790</v>
      </c>
      <c r="L250" s="29" t="s">
        <v>361</v>
      </c>
      <c r="M250" s="3" t="s">
        <v>24</v>
      </c>
      <c r="N250" s="3">
        <v>183293.36</v>
      </c>
      <c r="O250" s="3" t="s">
        <v>60</v>
      </c>
      <c r="P250" s="3" t="s">
        <v>172</v>
      </c>
      <c r="Q250" s="3" t="s">
        <v>42</v>
      </c>
      <c r="R250" s="3">
        <v>2</v>
      </c>
      <c r="S250" s="3">
        <v>350359.76</v>
      </c>
      <c r="T250" s="38" t="s">
        <v>2875</v>
      </c>
      <c r="U250" s="13"/>
    </row>
    <row r="251" spans="1:21" x14ac:dyDescent="0.3">
      <c r="A251" s="2" t="s">
        <v>2371</v>
      </c>
      <c r="B251" s="2" t="s">
        <v>2372</v>
      </c>
      <c r="C251" s="2">
        <v>55</v>
      </c>
      <c r="D251" s="2" t="s">
        <v>21</v>
      </c>
      <c r="E251" s="2">
        <v>114084</v>
      </c>
      <c r="F251" s="2">
        <v>400000</v>
      </c>
      <c r="G251" s="2">
        <v>36</v>
      </c>
      <c r="H251" s="2">
        <v>20.13</v>
      </c>
      <c r="I251" s="2" t="s">
        <v>31</v>
      </c>
      <c r="J251" s="2" t="s">
        <v>2882</v>
      </c>
      <c r="K251" s="30">
        <v>44898</v>
      </c>
      <c r="L251" s="30" t="s">
        <v>1806</v>
      </c>
      <c r="M251" s="2" t="s">
        <v>24</v>
      </c>
      <c r="N251" s="2">
        <v>14891.94</v>
      </c>
      <c r="O251" s="2" t="s">
        <v>60</v>
      </c>
      <c r="P251" s="2" t="s">
        <v>2997</v>
      </c>
      <c r="Q251" s="2" t="s">
        <v>42</v>
      </c>
      <c r="R251" s="2">
        <v>0</v>
      </c>
      <c r="S251" s="2">
        <v>346389.02</v>
      </c>
      <c r="T251" s="38" t="s">
        <v>2883</v>
      </c>
      <c r="U251" s="13"/>
    </row>
    <row r="252" spans="1:21" x14ac:dyDescent="0.3">
      <c r="A252" s="2" t="s">
        <v>905</v>
      </c>
      <c r="B252" s="2" t="s">
        <v>715</v>
      </c>
      <c r="C252" s="2">
        <v>62</v>
      </c>
      <c r="D252" s="2" t="s">
        <v>72</v>
      </c>
      <c r="E252" s="2">
        <v>16235</v>
      </c>
      <c r="F252" s="2">
        <v>400000</v>
      </c>
      <c r="G252" s="2">
        <v>60</v>
      </c>
      <c r="H252" s="2">
        <v>10.54</v>
      </c>
      <c r="I252" s="2" t="s">
        <v>251</v>
      </c>
      <c r="J252" s="2">
        <v>890</v>
      </c>
      <c r="K252" s="30">
        <v>45085</v>
      </c>
      <c r="L252" s="30" t="s">
        <v>907</v>
      </c>
      <c r="M252" s="2" t="s">
        <v>33</v>
      </c>
      <c r="N252" s="2">
        <v>8605.49</v>
      </c>
      <c r="O252" s="2" t="s">
        <v>105</v>
      </c>
      <c r="P252" s="2" t="s">
        <v>118</v>
      </c>
      <c r="Q252" s="2" t="s">
        <v>42</v>
      </c>
      <c r="R252" s="2">
        <v>0</v>
      </c>
      <c r="S252" s="2">
        <v>338040.47</v>
      </c>
      <c r="T252" s="38" t="s">
        <v>2867</v>
      </c>
      <c r="U252" s="13"/>
    </row>
    <row r="253" spans="1:21" x14ac:dyDescent="0.3">
      <c r="A253" s="2" t="s">
        <v>2160</v>
      </c>
      <c r="B253" s="2" t="s">
        <v>2161</v>
      </c>
      <c r="C253" s="2">
        <v>65</v>
      </c>
      <c r="D253" s="2" t="s">
        <v>72</v>
      </c>
      <c r="E253" s="2">
        <v>159833</v>
      </c>
      <c r="F253" s="2">
        <v>400000</v>
      </c>
      <c r="G253" s="2">
        <v>12</v>
      </c>
      <c r="H253" s="2">
        <v>13.11</v>
      </c>
      <c r="I253" s="2" t="s">
        <v>73</v>
      </c>
      <c r="J253" s="2">
        <v>428</v>
      </c>
      <c r="K253" s="30">
        <v>44433</v>
      </c>
      <c r="L253" s="30" t="s">
        <v>1250</v>
      </c>
      <c r="M253" s="2" t="s">
        <v>24</v>
      </c>
      <c r="N253" s="2">
        <v>35747.56</v>
      </c>
      <c r="O253" s="2" t="s">
        <v>60</v>
      </c>
      <c r="P253" s="2" t="s">
        <v>2997</v>
      </c>
      <c r="Q253" s="2" t="s">
        <v>42</v>
      </c>
      <c r="R253" s="2">
        <v>2</v>
      </c>
      <c r="S253" s="2">
        <v>335654.39</v>
      </c>
      <c r="T253" s="38" t="s">
        <v>2879</v>
      </c>
      <c r="U253" s="13"/>
    </row>
    <row r="254" spans="1:21" x14ac:dyDescent="0.3">
      <c r="A254" s="3" t="s">
        <v>2082</v>
      </c>
      <c r="B254" s="3" t="s">
        <v>2083</v>
      </c>
      <c r="C254" s="3">
        <v>40</v>
      </c>
      <c r="D254" s="3" t="s">
        <v>72</v>
      </c>
      <c r="E254" s="3">
        <v>107539</v>
      </c>
      <c r="F254" s="3">
        <v>500000</v>
      </c>
      <c r="G254" s="3">
        <v>48</v>
      </c>
      <c r="H254" s="3">
        <v>17.059999999999999</v>
      </c>
      <c r="I254" s="3" t="s">
        <v>83</v>
      </c>
      <c r="J254" s="3">
        <v>379</v>
      </c>
      <c r="K254" s="29">
        <v>44223</v>
      </c>
      <c r="L254" s="29" t="s">
        <v>1946</v>
      </c>
      <c r="M254" s="3" t="s">
        <v>24</v>
      </c>
      <c r="N254" s="3">
        <v>14443.05</v>
      </c>
      <c r="O254" s="3" t="s">
        <v>25</v>
      </c>
      <c r="P254" s="3" t="s">
        <v>2998</v>
      </c>
      <c r="Q254" s="3" t="s">
        <v>42</v>
      </c>
      <c r="R254" s="3">
        <v>0</v>
      </c>
      <c r="S254" s="3">
        <v>331016.32000000001</v>
      </c>
      <c r="T254" s="38" t="s">
        <v>2879</v>
      </c>
      <c r="U254" s="13"/>
    </row>
    <row r="255" spans="1:21" x14ac:dyDescent="0.3">
      <c r="A255" s="3" t="s">
        <v>184</v>
      </c>
      <c r="B255" s="3" t="s">
        <v>185</v>
      </c>
      <c r="C255" s="3">
        <v>23</v>
      </c>
      <c r="D255" s="3" t="s">
        <v>72</v>
      </c>
      <c r="E255" s="3">
        <v>79184</v>
      </c>
      <c r="F255" s="3">
        <v>400000</v>
      </c>
      <c r="G255" s="3">
        <v>24</v>
      </c>
      <c r="H255" s="3">
        <v>14.1</v>
      </c>
      <c r="I255" s="3" t="s">
        <v>83</v>
      </c>
      <c r="J255" s="3">
        <v>693</v>
      </c>
      <c r="K255" s="29">
        <v>44208</v>
      </c>
      <c r="L255" s="29" t="s">
        <v>187</v>
      </c>
      <c r="M255" s="3" t="s">
        <v>24</v>
      </c>
      <c r="N255" s="3">
        <v>19224.060000000001</v>
      </c>
      <c r="O255" s="3" t="s">
        <v>60</v>
      </c>
      <c r="P255" s="3" t="s">
        <v>2997</v>
      </c>
      <c r="Q255" s="3" t="s">
        <v>100</v>
      </c>
      <c r="R255" s="3">
        <v>3</v>
      </c>
      <c r="S255" s="3">
        <v>330793.38</v>
      </c>
      <c r="T255" s="38" t="s">
        <v>2871</v>
      </c>
      <c r="U255" s="13"/>
    </row>
    <row r="256" spans="1:21" x14ac:dyDescent="0.3">
      <c r="A256" s="3" t="s">
        <v>1863</v>
      </c>
      <c r="B256" s="3" t="s">
        <v>1706</v>
      </c>
      <c r="C256" s="3">
        <v>36</v>
      </c>
      <c r="D256" s="3" t="s">
        <v>72</v>
      </c>
      <c r="E256" s="3">
        <v>241867</v>
      </c>
      <c r="F256" s="3">
        <v>2000000</v>
      </c>
      <c r="G256" s="3">
        <v>36</v>
      </c>
      <c r="H256" s="3">
        <v>19.920000000000002</v>
      </c>
      <c r="I256" s="3" t="s">
        <v>73</v>
      </c>
      <c r="J256" s="3">
        <v>606</v>
      </c>
      <c r="K256" s="29">
        <v>44888</v>
      </c>
      <c r="L256" s="29" t="s">
        <v>32</v>
      </c>
      <c r="M256" s="3" t="s">
        <v>24</v>
      </c>
      <c r="N256" s="3">
        <v>74245.67</v>
      </c>
      <c r="O256" s="3" t="s">
        <v>105</v>
      </c>
      <c r="P256" s="3" t="s">
        <v>114</v>
      </c>
      <c r="Q256" s="3" t="s">
        <v>35</v>
      </c>
      <c r="R256" s="3">
        <v>8</v>
      </c>
      <c r="S256" s="3">
        <v>329472.43</v>
      </c>
      <c r="T256" s="38" t="s">
        <v>2875</v>
      </c>
      <c r="U256" s="13"/>
    </row>
    <row r="257" spans="1:21" x14ac:dyDescent="0.3">
      <c r="A257" s="2" t="s">
        <v>1644</v>
      </c>
      <c r="B257" s="2" t="s">
        <v>1645</v>
      </c>
      <c r="C257" s="2">
        <v>55</v>
      </c>
      <c r="D257" s="2" t="s">
        <v>45</v>
      </c>
      <c r="E257" s="2">
        <v>53498</v>
      </c>
      <c r="F257" s="2">
        <v>1500000</v>
      </c>
      <c r="G257" s="2">
        <v>120</v>
      </c>
      <c r="H257" s="2">
        <v>13.97</v>
      </c>
      <c r="I257" s="2" t="s">
        <v>83</v>
      </c>
      <c r="J257" s="2">
        <v>857</v>
      </c>
      <c r="K257" s="30">
        <v>44904</v>
      </c>
      <c r="L257" s="30" t="s">
        <v>754</v>
      </c>
      <c r="M257" s="2" t="s">
        <v>122</v>
      </c>
      <c r="N257" s="2">
        <v>23262.92</v>
      </c>
      <c r="O257" s="2" t="s">
        <v>54</v>
      </c>
      <c r="P257" s="2" t="s">
        <v>99</v>
      </c>
      <c r="Q257" s="2" t="s">
        <v>42</v>
      </c>
      <c r="R257" s="2">
        <v>2</v>
      </c>
      <c r="S257" s="2">
        <v>327548.83</v>
      </c>
      <c r="T257" s="38" t="s">
        <v>2867</v>
      </c>
      <c r="U257" s="13"/>
    </row>
    <row r="258" spans="1:21" x14ac:dyDescent="0.3">
      <c r="A258" s="2" t="s">
        <v>107</v>
      </c>
      <c r="B258" s="2" t="s">
        <v>108</v>
      </c>
      <c r="C258" s="2">
        <v>34</v>
      </c>
      <c r="D258" s="2" t="s">
        <v>72</v>
      </c>
      <c r="E258" s="2">
        <v>40409</v>
      </c>
      <c r="F258" s="2">
        <v>1000000</v>
      </c>
      <c r="G258" s="2">
        <v>120</v>
      </c>
      <c r="H258" s="2">
        <v>12.64</v>
      </c>
      <c r="I258" s="2" t="s">
        <v>73</v>
      </c>
      <c r="J258" s="2">
        <v>778</v>
      </c>
      <c r="K258" s="30">
        <v>44891</v>
      </c>
      <c r="L258" s="30" t="s">
        <v>109</v>
      </c>
      <c r="M258" s="2" t="s">
        <v>24</v>
      </c>
      <c r="N258" s="2">
        <v>14719.49</v>
      </c>
      <c r="O258" s="2" t="s">
        <v>25</v>
      </c>
      <c r="P258" s="2" t="s">
        <v>26</v>
      </c>
      <c r="Q258" s="2" t="s">
        <v>42</v>
      </c>
      <c r="R258" s="2">
        <v>0</v>
      </c>
      <c r="S258" s="2">
        <v>324375.40999999997</v>
      </c>
      <c r="T258" s="38" t="s">
        <v>2867</v>
      </c>
      <c r="U258" s="13"/>
    </row>
    <row r="259" spans="1:21" x14ac:dyDescent="0.3">
      <c r="A259" s="3" t="s">
        <v>1157</v>
      </c>
      <c r="B259" s="3" t="s">
        <v>1158</v>
      </c>
      <c r="C259" s="3">
        <v>60</v>
      </c>
      <c r="D259" s="3" t="s">
        <v>30</v>
      </c>
      <c r="E259" s="3">
        <v>112359</v>
      </c>
      <c r="F259" s="3">
        <v>2000000</v>
      </c>
      <c r="G259" s="3">
        <v>24</v>
      </c>
      <c r="H259" s="3">
        <v>11.11</v>
      </c>
      <c r="I259" s="3" t="s">
        <v>31</v>
      </c>
      <c r="J259" s="3">
        <v>393</v>
      </c>
      <c r="K259" s="29">
        <v>44319</v>
      </c>
      <c r="L259" s="29" t="s">
        <v>539</v>
      </c>
      <c r="M259" s="3" t="s">
        <v>24</v>
      </c>
      <c r="N259" s="3">
        <v>93317.85</v>
      </c>
      <c r="O259" s="3" t="s">
        <v>54</v>
      </c>
      <c r="P259" s="3" t="s">
        <v>183</v>
      </c>
      <c r="Q259" s="3" t="s">
        <v>100</v>
      </c>
      <c r="R259" s="3">
        <v>12</v>
      </c>
      <c r="S259" s="3">
        <v>320278.7</v>
      </c>
      <c r="T259" s="38" t="s">
        <v>2879</v>
      </c>
      <c r="U259" s="13"/>
    </row>
    <row r="260" spans="1:21" x14ac:dyDescent="0.3">
      <c r="A260" s="3" t="s">
        <v>2123</v>
      </c>
      <c r="B260" s="3" t="s">
        <v>2124</v>
      </c>
      <c r="C260" s="3">
        <v>51</v>
      </c>
      <c r="D260" s="3" t="s">
        <v>21</v>
      </c>
      <c r="E260" s="3">
        <v>127110</v>
      </c>
      <c r="F260" s="3">
        <v>400000</v>
      </c>
      <c r="G260" s="3">
        <v>120</v>
      </c>
      <c r="H260" s="3">
        <v>21.44</v>
      </c>
      <c r="I260" s="3" t="s">
        <v>31</v>
      </c>
      <c r="J260" s="3">
        <v>328</v>
      </c>
      <c r="K260" s="29">
        <v>44484</v>
      </c>
      <c r="L260" s="29" t="s">
        <v>1582</v>
      </c>
      <c r="M260" s="3" t="s">
        <v>24</v>
      </c>
      <c r="N260" s="3">
        <v>8115.9</v>
      </c>
      <c r="O260" s="3" t="s">
        <v>54</v>
      </c>
      <c r="P260" s="3" t="s">
        <v>304</v>
      </c>
      <c r="Q260" s="3" t="s">
        <v>42</v>
      </c>
      <c r="R260" s="3">
        <v>1</v>
      </c>
      <c r="S260" s="3">
        <v>319652.59000000003</v>
      </c>
      <c r="T260" s="38" t="s">
        <v>2879</v>
      </c>
      <c r="U260" s="13"/>
    </row>
    <row r="261" spans="1:21" x14ac:dyDescent="0.3">
      <c r="A261" s="2" t="s">
        <v>2088</v>
      </c>
      <c r="B261" s="2" t="s">
        <v>2089</v>
      </c>
      <c r="C261" s="2">
        <v>29</v>
      </c>
      <c r="D261" s="2" t="s">
        <v>30</v>
      </c>
      <c r="E261" s="2">
        <v>19348</v>
      </c>
      <c r="F261" s="2">
        <v>400000</v>
      </c>
      <c r="G261" s="2">
        <v>36</v>
      </c>
      <c r="H261" s="2">
        <v>11.37</v>
      </c>
      <c r="I261" s="2" t="s">
        <v>31</v>
      </c>
      <c r="J261" s="2">
        <v>843</v>
      </c>
      <c r="K261" s="30">
        <v>44369</v>
      </c>
      <c r="L261" s="30" t="s">
        <v>275</v>
      </c>
      <c r="M261" s="2" t="s">
        <v>24</v>
      </c>
      <c r="N261" s="2">
        <v>13165.69</v>
      </c>
      <c r="O261" s="2" t="s">
        <v>60</v>
      </c>
      <c r="P261" s="2" t="s">
        <v>61</v>
      </c>
      <c r="Q261" s="2" t="s">
        <v>27</v>
      </c>
      <c r="R261" s="2">
        <v>1</v>
      </c>
      <c r="S261" s="2">
        <v>317056.15000000002</v>
      </c>
      <c r="T261" s="38" t="s">
        <v>2867</v>
      </c>
      <c r="U261" s="13"/>
    </row>
    <row r="262" spans="1:21" x14ac:dyDescent="0.3">
      <c r="A262" s="2" t="s">
        <v>1226</v>
      </c>
      <c r="B262" s="2" t="s">
        <v>1227</v>
      </c>
      <c r="C262" s="2">
        <v>27</v>
      </c>
      <c r="D262" s="2" t="s">
        <v>65</v>
      </c>
      <c r="E262" s="2">
        <v>151503</v>
      </c>
      <c r="F262" s="2">
        <v>1000000</v>
      </c>
      <c r="G262" s="2">
        <v>48</v>
      </c>
      <c r="H262" s="2">
        <v>13.55</v>
      </c>
      <c r="I262" s="2" t="s">
        <v>251</v>
      </c>
      <c r="J262" s="2">
        <v>736</v>
      </c>
      <c r="K262" s="30">
        <v>44466</v>
      </c>
      <c r="L262" s="30" t="s">
        <v>676</v>
      </c>
      <c r="M262" s="2" t="s">
        <v>24</v>
      </c>
      <c r="N262" s="2">
        <v>27101.279999999999</v>
      </c>
      <c r="O262" s="2" t="s">
        <v>48</v>
      </c>
      <c r="P262" s="2" t="s">
        <v>375</v>
      </c>
      <c r="Q262" s="2" t="s">
        <v>42</v>
      </c>
      <c r="R262" s="2">
        <v>1</v>
      </c>
      <c r="S262" s="2">
        <v>317047.74</v>
      </c>
      <c r="T262" s="38" t="s">
        <v>2871</v>
      </c>
      <c r="U262" s="13"/>
    </row>
    <row r="263" spans="1:21" x14ac:dyDescent="0.3">
      <c r="A263" s="2" t="s">
        <v>2051</v>
      </c>
      <c r="B263" s="2" t="s">
        <v>2052</v>
      </c>
      <c r="C263" s="2">
        <v>23</v>
      </c>
      <c r="D263" s="2" t="s">
        <v>65</v>
      </c>
      <c r="E263" s="2">
        <v>34287</v>
      </c>
      <c r="F263" s="2">
        <v>400000</v>
      </c>
      <c r="G263" s="2">
        <v>24</v>
      </c>
      <c r="H263" s="2">
        <v>10.55</v>
      </c>
      <c r="I263" s="2" t="s">
        <v>73</v>
      </c>
      <c r="J263" s="2">
        <v>684</v>
      </c>
      <c r="K263" s="30">
        <v>44808</v>
      </c>
      <c r="L263" s="30" t="s">
        <v>308</v>
      </c>
      <c r="M263" s="2" t="s">
        <v>24</v>
      </c>
      <c r="N263" s="2">
        <v>18559.68</v>
      </c>
      <c r="O263" s="2" t="s">
        <v>48</v>
      </c>
      <c r="P263" s="2" t="s">
        <v>80</v>
      </c>
      <c r="Q263" s="2" t="s">
        <v>42</v>
      </c>
      <c r="R263" s="2">
        <v>0</v>
      </c>
      <c r="S263" s="2">
        <v>316481.44</v>
      </c>
      <c r="T263" s="38" t="s">
        <v>2871</v>
      </c>
      <c r="U263" s="13"/>
    </row>
    <row r="264" spans="1:21" x14ac:dyDescent="0.3">
      <c r="A264" s="3" t="s">
        <v>2013</v>
      </c>
      <c r="B264" s="3" t="s">
        <v>2014</v>
      </c>
      <c r="C264" s="3">
        <v>26</v>
      </c>
      <c r="D264" s="3" t="s">
        <v>30</v>
      </c>
      <c r="E264" s="3">
        <v>116770</v>
      </c>
      <c r="F264" s="3">
        <v>400000</v>
      </c>
      <c r="G264" s="3">
        <v>24</v>
      </c>
      <c r="H264" s="3">
        <v>12.56</v>
      </c>
      <c r="I264" s="3" t="s">
        <v>31</v>
      </c>
      <c r="J264" s="3">
        <v>847</v>
      </c>
      <c r="K264" s="29">
        <v>44418</v>
      </c>
      <c r="L264" s="29" t="s">
        <v>137</v>
      </c>
      <c r="M264" s="3" t="s">
        <v>24</v>
      </c>
      <c r="N264" s="3">
        <v>18934.169999999998</v>
      </c>
      <c r="O264" s="3" t="s">
        <v>60</v>
      </c>
      <c r="P264" s="3" t="s">
        <v>172</v>
      </c>
      <c r="Q264" s="3" t="s">
        <v>100</v>
      </c>
      <c r="R264" s="3">
        <v>1</v>
      </c>
      <c r="S264" s="3">
        <v>314796.23</v>
      </c>
      <c r="T264" s="38" t="s">
        <v>2867</v>
      </c>
      <c r="U264" s="13"/>
    </row>
    <row r="265" spans="1:21" x14ac:dyDescent="0.3">
      <c r="A265" s="3" t="s">
        <v>1535</v>
      </c>
      <c r="B265" s="3" t="s">
        <v>1536</v>
      </c>
      <c r="C265" s="3">
        <v>26</v>
      </c>
      <c r="D265" s="3" t="s">
        <v>65</v>
      </c>
      <c r="E265" s="3">
        <v>110272</v>
      </c>
      <c r="F265" s="3">
        <v>1000000</v>
      </c>
      <c r="G265" s="3">
        <v>24</v>
      </c>
      <c r="H265" s="3">
        <v>13.25</v>
      </c>
      <c r="I265" s="3" t="s">
        <v>251</v>
      </c>
      <c r="J265" s="3">
        <v>541</v>
      </c>
      <c r="K265" s="29">
        <v>44444</v>
      </c>
      <c r="L265" s="29" t="s">
        <v>1048</v>
      </c>
      <c r="M265" s="3" t="s">
        <v>24</v>
      </c>
      <c r="N265" s="3">
        <v>47659.33</v>
      </c>
      <c r="O265" s="3" t="s">
        <v>25</v>
      </c>
      <c r="P265" s="3" t="s">
        <v>123</v>
      </c>
      <c r="Q265" s="3" t="s">
        <v>27</v>
      </c>
      <c r="R265" s="3">
        <v>2</v>
      </c>
      <c r="S265" s="3">
        <v>313705.65000000002</v>
      </c>
      <c r="T265" s="38" t="s">
        <v>2879</v>
      </c>
      <c r="U265" s="13"/>
    </row>
    <row r="266" spans="1:21" x14ac:dyDescent="0.3">
      <c r="A266" s="3" t="s">
        <v>1633</v>
      </c>
      <c r="B266" s="3" t="s">
        <v>1634</v>
      </c>
      <c r="C266" s="3">
        <v>54</v>
      </c>
      <c r="D266" s="3" t="s">
        <v>72</v>
      </c>
      <c r="E266" s="3">
        <v>58790</v>
      </c>
      <c r="F266" s="3">
        <v>1000000</v>
      </c>
      <c r="G266" s="3">
        <v>24</v>
      </c>
      <c r="H266" s="3">
        <v>20.13</v>
      </c>
      <c r="I266" s="3" t="s">
        <v>38</v>
      </c>
      <c r="J266" s="3">
        <v>460</v>
      </c>
      <c r="K266" s="29">
        <v>44400</v>
      </c>
      <c r="L266" s="29" t="s">
        <v>1635</v>
      </c>
      <c r="M266" s="3" t="s">
        <v>24</v>
      </c>
      <c r="N266" s="3">
        <v>50959.33</v>
      </c>
      <c r="O266" s="3" t="s">
        <v>48</v>
      </c>
      <c r="P266" s="3" t="s">
        <v>80</v>
      </c>
      <c r="Q266" s="3" t="s">
        <v>42</v>
      </c>
      <c r="R266" s="3">
        <v>2</v>
      </c>
      <c r="S266" s="3">
        <v>312049.03999999998</v>
      </c>
      <c r="T266" s="38" t="s">
        <v>2879</v>
      </c>
      <c r="U266" s="13"/>
    </row>
    <row r="267" spans="1:21" x14ac:dyDescent="0.3">
      <c r="A267" s="3" t="s">
        <v>767</v>
      </c>
      <c r="B267" s="3" t="s">
        <v>768</v>
      </c>
      <c r="C267" s="3">
        <v>27</v>
      </c>
      <c r="D267" s="3" t="s">
        <v>45</v>
      </c>
      <c r="E267" s="3">
        <v>68267</v>
      </c>
      <c r="F267" s="3">
        <v>2000000</v>
      </c>
      <c r="G267" s="3">
        <v>36</v>
      </c>
      <c r="H267" s="3">
        <v>15.28</v>
      </c>
      <c r="I267" s="3" t="s">
        <v>73</v>
      </c>
      <c r="J267" s="3">
        <v>900</v>
      </c>
      <c r="K267" s="29">
        <v>44685</v>
      </c>
      <c r="L267" s="29" t="s">
        <v>238</v>
      </c>
      <c r="M267" s="3" t="s">
        <v>24</v>
      </c>
      <c r="N267" s="3">
        <v>69605.210000000006</v>
      </c>
      <c r="O267" s="3" t="s">
        <v>25</v>
      </c>
      <c r="P267" s="3" t="s">
        <v>151</v>
      </c>
      <c r="Q267" s="3" t="s">
        <v>42</v>
      </c>
      <c r="R267" s="3">
        <v>2</v>
      </c>
      <c r="S267" s="3">
        <v>308593.40000000002</v>
      </c>
      <c r="T267" s="38" t="s">
        <v>2867</v>
      </c>
      <c r="U267" s="13"/>
    </row>
    <row r="268" spans="1:21" x14ac:dyDescent="0.3">
      <c r="A268" s="2" t="s">
        <v>1573</v>
      </c>
      <c r="B268" s="2" t="s">
        <v>1574</v>
      </c>
      <c r="C268" s="2">
        <v>30</v>
      </c>
      <c r="D268" s="2" t="s">
        <v>45</v>
      </c>
      <c r="E268" s="2">
        <v>25780</v>
      </c>
      <c r="F268" s="2">
        <v>750000</v>
      </c>
      <c r="G268" s="2">
        <v>36</v>
      </c>
      <c r="H268" s="2">
        <v>11.27</v>
      </c>
      <c r="I268" s="2" t="s">
        <v>31</v>
      </c>
      <c r="J268" s="2">
        <v>647</v>
      </c>
      <c r="K268" s="30">
        <v>45283</v>
      </c>
      <c r="L268" s="30" t="s">
        <v>1575</v>
      </c>
      <c r="M268" s="2" t="s">
        <v>33</v>
      </c>
      <c r="N268" s="2">
        <v>24650.05</v>
      </c>
      <c r="O268" s="2" t="s">
        <v>60</v>
      </c>
      <c r="P268" s="2" t="s">
        <v>192</v>
      </c>
      <c r="Q268" s="2" t="s">
        <v>35</v>
      </c>
      <c r="R268" s="2">
        <v>1</v>
      </c>
      <c r="S268" s="2">
        <v>306299.09999999998</v>
      </c>
      <c r="T268" s="38" t="s">
        <v>2875</v>
      </c>
      <c r="U268" s="13"/>
    </row>
    <row r="269" spans="1:21" x14ac:dyDescent="0.3">
      <c r="A269" s="2" t="s">
        <v>1143</v>
      </c>
      <c r="B269" s="2" t="s">
        <v>1144</v>
      </c>
      <c r="C269" s="2">
        <v>40</v>
      </c>
      <c r="D269" s="2" t="s">
        <v>21</v>
      </c>
      <c r="E269" s="2">
        <v>47778</v>
      </c>
      <c r="F269" s="2">
        <v>1500000</v>
      </c>
      <c r="G269" s="2">
        <v>180</v>
      </c>
      <c r="H269" s="2">
        <v>18.04</v>
      </c>
      <c r="I269" s="2" t="s">
        <v>83</v>
      </c>
      <c r="J269" s="2">
        <v>392</v>
      </c>
      <c r="K269" s="30">
        <v>44897</v>
      </c>
      <c r="L269" s="30" t="s">
        <v>1146</v>
      </c>
      <c r="M269" s="2" t="s">
        <v>24</v>
      </c>
      <c r="N269" s="2">
        <v>24199.5</v>
      </c>
      <c r="O269" s="2" t="s">
        <v>105</v>
      </c>
      <c r="P269" s="2" t="s">
        <v>114</v>
      </c>
      <c r="Q269" s="2" t="s">
        <v>35</v>
      </c>
      <c r="R269" s="2">
        <v>7</v>
      </c>
      <c r="S269" s="2">
        <v>302124.75</v>
      </c>
      <c r="T269" s="38" t="s">
        <v>2879</v>
      </c>
      <c r="U269" s="13"/>
    </row>
    <row r="270" spans="1:21" x14ac:dyDescent="0.3">
      <c r="A270" s="2" t="s">
        <v>1607</v>
      </c>
      <c r="B270" s="2" t="s">
        <v>1608</v>
      </c>
      <c r="C270" s="2">
        <v>33</v>
      </c>
      <c r="D270" s="2" t="s">
        <v>72</v>
      </c>
      <c r="E270" s="2">
        <v>210829</v>
      </c>
      <c r="F270" s="2">
        <v>750000</v>
      </c>
      <c r="G270" s="2">
        <v>60</v>
      </c>
      <c r="H270" s="2">
        <v>20.14</v>
      </c>
      <c r="I270" s="2" t="s">
        <v>22</v>
      </c>
      <c r="J270" s="2">
        <v>744</v>
      </c>
      <c r="K270" s="30">
        <v>44435</v>
      </c>
      <c r="L270" s="30" t="s">
        <v>1609</v>
      </c>
      <c r="M270" s="2" t="s">
        <v>24</v>
      </c>
      <c r="N270" s="2">
        <v>19928.88</v>
      </c>
      <c r="O270" s="2" t="s">
        <v>54</v>
      </c>
      <c r="P270" s="2" t="s">
        <v>304</v>
      </c>
      <c r="Q270" s="2" t="s">
        <v>42</v>
      </c>
      <c r="R270" s="2">
        <v>0</v>
      </c>
      <c r="S270" s="2">
        <v>301600.2</v>
      </c>
      <c r="T270" s="38" t="s">
        <v>2871</v>
      </c>
      <c r="U270" s="13"/>
    </row>
    <row r="271" spans="1:21" x14ac:dyDescent="0.3">
      <c r="A271" s="2" t="s">
        <v>1760</v>
      </c>
      <c r="B271" s="2" t="s">
        <v>610</v>
      </c>
      <c r="C271" s="2">
        <v>35</v>
      </c>
      <c r="D271" s="2" t="s">
        <v>65</v>
      </c>
      <c r="E271" s="2">
        <v>132957</v>
      </c>
      <c r="F271" s="2">
        <v>500000</v>
      </c>
      <c r="G271" s="2">
        <v>12</v>
      </c>
      <c r="H271" s="2">
        <v>12.93</v>
      </c>
      <c r="I271" s="2" t="s">
        <v>251</v>
      </c>
      <c r="J271" s="2">
        <v>612</v>
      </c>
      <c r="K271" s="30">
        <v>44892</v>
      </c>
      <c r="L271" s="30" t="s">
        <v>1761</v>
      </c>
      <c r="M271" s="2" t="s">
        <v>24</v>
      </c>
      <c r="N271" s="2">
        <v>44642.22</v>
      </c>
      <c r="O271" s="2" t="s">
        <v>25</v>
      </c>
      <c r="P271" s="2" t="s">
        <v>2998</v>
      </c>
      <c r="Q271" s="2" t="s">
        <v>62</v>
      </c>
      <c r="R271" s="2">
        <v>2</v>
      </c>
      <c r="S271" s="2">
        <v>299110.01</v>
      </c>
      <c r="T271" s="38" t="s">
        <v>2875</v>
      </c>
      <c r="U271" s="13"/>
    </row>
    <row r="272" spans="1:21" x14ac:dyDescent="0.3">
      <c r="A272" s="2" t="s">
        <v>2135</v>
      </c>
      <c r="B272" s="2" t="s">
        <v>2136</v>
      </c>
      <c r="C272" s="2">
        <v>46</v>
      </c>
      <c r="D272" s="2" t="s">
        <v>72</v>
      </c>
      <c r="E272" s="2">
        <v>136625</v>
      </c>
      <c r="F272" s="2">
        <v>300000</v>
      </c>
      <c r="G272" s="2">
        <v>120</v>
      </c>
      <c r="H272" s="2">
        <v>9.65</v>
      </c>
      <c r="I272" s="2" t="s">
        <v>66</v>
      </c>
      <c r="J272" s="2">
        <v>768</v>
      </c>
      <c r="K272" s="30">
        <v>44817</v>
      </c>
      <c r="L272" s="30" t="s">
        <v>1618</v>
      </c>
      <c r="M272" s="2" t="s">
        <v>24</v>
      </c>
      <c r="N272" s="2">
        <v>3906.61</v>
      </c>
      <c r="O272" s="2" t="s">
        <v>25</v>
      </c>
      <c r="P272" s="2" t="s">
        <v>123</v>
      </c>
      <c r="Q272" s="2" t="s">
        <v>42</v>
      </c>
      <c r="R272" s="2">
        <v>1</v>
      </c>
      <c r="S272" s="2">
        <v>296484.05</v>
      </c>
      <c r="T272" s="38" t="s">
        <v>2867</v>
      </c>
      <c r="U272" s="13"/>
    </row>
    <row r="273" spans="1:21" x14ac:dyDescent="0.3">
      <c r="A273" s="3" t="s">
        <v>2380</v>
      </c>
      <c r="B273" s="3" t="s">
        <v>2381</v>
      </c>
      <c r="C273" s="3">
        <v>62</v>
      </c>
      <c r="D273" s="3" t="s">
        <v>72</v>
      </c>
      <c r="E273" s="3">
        <v>66491</v>
      </c>
      <c r="F273" s="3">
        <v>400000</v>
      </c>
      <c r="G273" s="3">
        <v>24</v>
      </c>
      <c r="H273" s="3">
        <v>13.91</v>
      </c>
      <c r="I273" s="3" t="s">
        <v>31</v>
      </c>
      <c r="J273" s="3">
        <v>502</v>
      </c>
      <c r="K273" s="29">
        <v>45194</v>
      </c>
      <c r="L273" s="29" t="s">
        <v>207</v>
      </c>
      <c r="M273" s="3" t="s">
        <v>24</v>
      </c>
      <c r="N273" s="3">
        <v>19188.150000000001</v>
      </c>
      <c r="O273" s="3" t="s">
        <v>25</v>
      </c>
      <c r="P273" s="3" t="s">
        <v>123</v>
      </c>
      <c r="Q273" s="3" t="s">
        <v>100</v>
      </c>
      <c r="R273" s="3">
        <v>9</v>
      </c>
      <c r="S273" s="3">
        <v>296383.99</v>
      </c>
      <c r="T273" s="38" t="s">
        <v>2879</v>
      </c>
      <c r="U273" s="13"/>
    </row>
    <row r="274" spans="1:21" x14ac:dyDescent="0.3">
      <c r="A274" s="3" t="s">
        <v>250</v>
      </c>
      <c r="B274" s="3" t="s">
        <v>92</v>
      </c>
      <c r="C274" s="3">
        <v>39</v>
      </c>
      <c r="D274" s="3" t="s">
        <v>72</v>
      </c>
      <c r="E274" s="3">
        <v>29293</v>
      </c>
      <c r="F274" s="3">
        <v>500000</v>
      </c>
      <c r="G274" s="3">
        <v>60</v>
      </c>
      <c r="H274" s="3">
        <v>17.61</v>
      </c>
      <c r="I274" s="3" t="s">
        <v>251</v>
      </c>
      <c r="J274" s="3">
        <v>802</v>
      </c>
      <c r="K274" s="29">
        <v>45158</v>
      </c>
      <c r="L274" s="29" t="s">
        <v>253</v>
      </c>
      <c r="M274" s="3" t="s">
        <v>24</v>
      </c>
      <c r="N274" s="3">
        <v>12590.87</v>
      </c>
      <c r="O274" s="3" t="s">
        <v>25</v>
      </c>
      <c r="P274" s="3" t="s">
        <v>26</v>
      </c>
      <c r="Q274" s="3" t="s">
        <v>42</v>
      </c>
      <c r="R274" s="3">
        <v>2</v>
      </c>
      <c r="S274" s="3">
        <v>296027.90999999997</v>
      </c>
      <c r="T274" s="38" t="s">
        <v>2867</v>
      </c>
      <c r="U274" s="13"/>
    </row>
    <row r="275" spans="1:21" x14ac:dyDescent="0.3">
      <c r="A275" s="2" t="s">
        <v>280</v>
      </c>
      <c r="B275" s="2" t="s">
        <v>281</v>
      </c>
      <c r="C275" s="2">
        <v>29</v>
      </c>
      <c r="D275" s="2" t="s">
        <v>21</v>
      </c>
      <c r="E275" s="2">
        <v>241731</v>
      </c>
      <c r="F275" s="2">
        <v>500000</v>
      </c>
      <c r="G275" s="2">
        <v>12</v>
      </c>
      <c r="H275" s="2">
        <v>17.04</v>
      </c>
      <c r="I275" s="2" t="s">
        <v>31</v>
      </c>
      <c r="J275" s="2">
        <v>723</v>
      </c>
      <c r="K275" s="30">
        <v>45217</v>
      </c>
      <c r="L275" s="30" t="s">
        <v>282</v>
      </c>
      <c r="M275" s="2" t="s">
        <v>33</v>
      </c>
      <c r="N275" s="2">
        <v>45611.87</v>
      </c>
      <c r="O275" s="2" t="s">
        <v>25</v>
      </c>
      <c r="P275" s="2" t="s">
        <v>34</v>
      </c>
      <c r="Q275" s="2" t="s">
        <v>27</v>
      </c>
      <c r="R275" s="2">
        <v>2</v>
      </c>
      <c r="S275" s="2">
        <v>294746.58</v>
      </c>
      <c r="T275" s="38" t="s">
        <v>2871</v>
      </c>
      <c r="U275" s="13"/>
    </row>
    <row r="276" spans="1:21" x14ac:dyDescent="0.3">
      <c r="A276" s="3" t="s">
        <v>1875</v>
      </c>
      <c r="B276" s="3" t="s">
        <v>1876</v>
      </c>
      <c r="C276" s="3">
        <v>39</v>
      </c>
      <c r="D276" s="3" t="s">
        <v>72</v>
      </c>
      <c r="E276" s="3">
        <v>223232</v>
      </c>
      <c r="F276" s="3">
        <v>750000</v>
      </c>
      <c r="G276" s="3">
        <v>36</v>
      </c>
      <c r="H276" s="3">
        <v>13.07</v>
      </c>
      <c r="I276" s="3" t="s">
        <v>73</v>
      </c>
      <c r="J276" s="3">
        <v>605</v>
      </c>
      <c r="K276" s="29">
        <v>44327</v>
      </c>
      <c r="L276" s="29" t="s">
        <v>1877</v>
      </c>
      <c r="M276" s="3" t="s">
        <v>24</v>
      </c>
      <c r="N276" s="3">
        <v>25295.759999999998</v>
      </c>
      <c r="O276" s="3" t="s">
        <v>54</v>
      </c>
      <c r="P276" s="3" t="s">
        <v>2996</v>
      </c>
      <c r="Q276" s="3" t="s">
        <v>35</v>
      </c>
      <c r="R276" s="3">
        <v>1</v>
      </c>
      <c r="S276" s="3">
        <v>294676.32</v>
      </c>
      <c r="T276" s="38" t="s">
        <v>2875</v>
      </c>
      <c r="U276" s="13"/>
    </row>
    <row r="277" spans="1:21" x14ac:dyDescent="0.3">
      <c r="A277" s="3" t="s">
        <v>1988</v>
      </c>
      <c r="B277" s="3" t="s">
        <v>1989</v>
      </c>
      <c r="C277" s="3">
        <v>25</v>
      </c>
      <c r="D277" s="3" t="s">
        <v>21</v>
      </c>
      <c r="E277" s="3">
        <v>184514</v>
      </c>
      <c r="F277" s="3">
        <v>300000</v>
      </c>
      <c r="G277" s="3">
        <v>48</v>
      </c>
      <c r="H277" s="3">
        <v>11.41</v>
      </c>
      <c r="I277" s="3" t="s">
        <v>22</v>
      </c>
      <c r="J277" s="3">
        <v>379</v>
      </c>
      <c r="K277" s="29">
        <v>44687</v>
      </c>
      <c r="L277" s="29" t="s">
        <v>1990</v>
      </c>
      <c r="M277" s="3" t="s">
        <v>24</v>
      </c>
      <c r="N277" s="3">
        <v>7813.52</v>
      </c>
      <c r="O277" s="3" t="s">
        <v>48</v>
      </c>
      <c r="P277" s="3" t="s">
        <v>375</v>
      </c>
      <c r="Q277" s="3" t="s">
        <v>27</v>
      </c>
      <c r="R277" s="3">
        <v>1</v>
      </c>
      <c r="S277" s="3">
        <v>292967.83</v>
      </c>
      <c r="T277" s="38" t="s">
        <v>2879</v>
      </c>
      <c r="U277" s="13"/>
    </row>
    <row r="278" spans="1:21" x14ac:dyDescent="0.3">
      <c r="A278" s="2" t="s">
        <v>2244</v>
      </c>
      <c r="B278" s="2" t="s">
        <v>2245</v>
      </c>
      <c r="C278" s="2">
        <v>28</v>
      </c>
      <c r="D278" s="2" t="s">
        <v>45</v>
      </c>
      <c r="E278" s="2">
        <v>222780</v>
      </c>
      <c r="F278" s="2">
        <v>300000</v>
      </c>
      <c r="G278" s="2">
        <v>48</v>
      </c>
      <c r="H278" s="2">
        <v>19.559999999999999</v>
      </c>
      <c r="I278" s="2" t="s">
        <v>66</v>
      </c>
      <c r="J278" s="2">
        <v>631</v>
      </c>
      <c r="K278" s="30">
        <v>44815</v>
      </c>
      <c r="L278" s="30" t="s">
        <v>2246</v>
      </c>
      <c r="M278" s="2" t="s">
        <v>24</v>
      </c>
      <c r="N278" s="2">
        <v>9058.93</v>
      </c>
      <c r="O278" s="2" t="s">
        <v>60</v>
      </c>
      <c r="P278" s="2" t="s">
        <v>69</v>
      </c>
      <c r="Q278" s="2" t="s">
        <v>62</v>
      </c>
      <c r="R278" s="2">
        <v>2</v>
      </c>
      <c r="S278" s="2">
        <v>291846.96000000002</v>
      </c>
      <c r="T278" s="38" t="s">
        <v>2875</v>
      </c>
      <c r="U278" s="13"/>
    </row>
    <row r="279" spans="1:21" x14ac:dyDescent="0.3">
      <c r="A279" s="3" t="s">
        <v>2385</v>
      </c>
      <c r="B279" s="3" t="s">
        <v>2386</v>
      </c>
      <c r="C279" s="3">
        <v>43</v>
      </c>
      <c r="D279" s="3" t="s">
        <v>45</v>
      </c>
      <c r="E279" s="3">
        <v>141688</v>
      </c>
      <c r="F279" s="3">
        <v>500000</v>
      </c>
      <c r="G279" s="3">
        <v>60</v>
      </c>
      <c r="H279" s="3">
        <v>21.3</v>
      </c>
      <c r="I279" s="3" t="s">
        <v>66</v>
      </c>
      <c r="J279" s="3">
        <v>570</v>
      </c>
      <c r="K279" s="29">
        <v>45227</v>
      </c>
      <c r="L279" s="29" t="s">
        <v>1745</v>
      </c>
      <c r="M279" s="3" t="s">
        <v>24</v>
      </c>
      <c r="N279" s="3">
        <v>13611.2</v>
      </c>
      <c r="O279" s="3" t="s">
        <v>54</v>
      </c>
      <c r="P279" s="3" t="s">
        <v>2996</v>
      </c>
      <c r="Q279" s="3" t="s">
        <v>62</v>
      </c>
      <c r="R279" s="3">
        <v>1</v>
      </c>
      <c r="S279" s="3">
        <v>291748.64</v>
      </c>
      <c r="T279" s="38" t="s">
        <v>2875</v>
      </c>
      <c r="U279" s="13"/>
    </row>
    <row r="280" spans="1:21" x14ac:dyDescent="0.3">
      <c r="A280" s="3" t="s">
        <v>821</v>
      </c>
      <c r="B280" s="3" t="s">
        <v>822</v>
      </c>
      <c r="C280" s="3">
        <v>59</v>
      </c>
      <c r="D280" s="3" t="s">
        <v>72</v>
      </c>
      <c r="E280" s="3">
        <v>199405</v>
      </c>
      <c r="F280" s="3">
        <v>1500000</v>
      </c>
      <c r="G280" s="3">
        <v>84</v>
      </c>
      <c r="H280" s="3">
        <v>21.24</v>
      </c>
      <c r="I280" s="3" t="s">
        <v>251</v>
      </c>
      <c r="J280" s="3">
        <v>876</v>
      </c>
      <c r="K280" s="29">
        <v>44556</v>
      </c>
      <c r="L280" s="29" t="s">
        <v>403</v>
      </c>
      <c r="M280" s="3" t="s">
        <v>33</v>
      </c>
      <c r="N280" s="3">
        <v>34438.230000000003</v>
      </c>
      <c r="O280" s="3" t="s">
        <v>105</v>
      </c>
      <c r="P280" s="3" t="s">
        <v>118</v>
      </c>
      <c r="Q280" s="3" t="s">
        <v>35</v>
      </c>
      <c r="R280" s="3">
        <v>8</v>
      </c>
      <c r="S280" s="3">
        <v>291218.13</v>
      </c>
      <c r="T280" s="38" t="s">
        <v>2867</v>
      </c>
      <c r="U280" s="13"/>
    </row>
    <row r="281" spans="1:21" x14ac:dyDescent="0.3">
      <c r="A281" s="3" t="s">
        <v>2148</v>
      </c>
      <c r="B281" s="3" t="s">
        <v>1674</v>
      </c>
      <c r="C281" s="3">
        <v>27</v>
      </c>
      <c r="D281" s="3" t="s">
        <v>45</v>
      </c>
      <c r="E281" s="3">
        <v>21355</v>
      </c>
      <c r="F281" s="3">
        <v>1000000</v>
      </c>
      <c r="G281" s="3">
        <v>24</v>
      </c>
      <c r="H281" s="3">
        <v>10.45</v>
      </c>
      <c r="I281" s="3" t="s">
        <v>251</v>
      </c>
      <c r="J281" s="3">
        <v>305</v>
      </c>
      <c r="K281" s="29">
        <v>44344</v>
      </c>
      <c r="L281" s="29" t="s">
        <v>1478</v>
      </c>
      <c r="M281" s="3" t="s">
        <v>24</v>
      </c>
      <c r="N281" s="3">
        <v>46352.9</v>
      </c>
      <c r="O281" s="3" t="s">
        <v>48</v>
      </c>
      <c r="P281" s="3" t="s">
        <v>80</v>
      </c>
      <c r="Q281" s="3" t="s">
        <v>42</v>
      </c>
      <c r="R281" s="3">
        <v>2</v>
      </c>
      <c r="S281" s="3">
        <v>290800.63</v>
      </c>
      <c r="T281" s="38" t="s">
        <v>2879</v>
      </c>
      <c r="U281" s="13"/>
    </row>
    <row r="282" spans="1:21" x14ac:dyDescent="0.3">
      <c r="A282" s="2" t="s">
        <v>540</v>
      </c>
      <c r="B282" s="2" t="s">
        <v>541</v>
      </c>
      <c r="C282" s="2">
        <v>55</v>
      </c>
      <c r="D282" s="2" t="s">
        <v>45</v>
      </c>
      <c r="E282" s="2">
        <v>218058</v>
      </c>
      <c r="F282" s="2">
        <v>300000</v>
      </c>
      <c r="G282" s="2">
        <v>36</v>
      </c>
      <c r="H282" s="2">
        <v>19.41</v>
      </c>
      <c r="I282" s="2" t="s">
        <v>83</v>
      </c>
      <c r="J282" s="2">
        <v>332</v>
      </c>
      <c r="K282" s="30">
        <v>45100</v>
      </c>
      <c r="L282" s="30" t="s">
        <v>542</v>
      </c>
      <c r="M282" s="2" t="s">
        <v>33</v>
      </c>
      <c r="N282" s="2">
        <v>11059.09</v>
      </c>
      <c r="O282" s="2" t="s">
        <v>54</v>
      </c>
      <c r="P282" s="2" t="s">
        <v>304</v>
      </c>
      <c r="Q282" s="2" t="s">
        <v>35</v>
      </c>
      <c r="R282" s="2">
        <v>3</v>
      </c>
      <c r="S282" s="2">
        <v>290046.82</v>
      </c>
      <c r="T282" s="38" t="s">
        <v>2879</v>
      </c>
      <c r="U282" s="13"/>
    </row>
    <row r="283" spans="1:21" x14ac:dyDescent="0.3">
      <c r="A283" s="2" t="s">
        <v>1235</v>
      </c>
      <c r="B283" s="2" t="s">
        <v>1236</v>
      </c>
      <c r="C283" s="2">
        <v>63</v>
      </c>
      <c r="D283" s="2" t="s">
        <v>21</v>
      </c>
      <c r="E283" s="2">
        <v>63228</v>
      </c>
      <c r="F283" s="2">
        <v>300000</v>
      </c>
      <c r="G283" s="2">
        <v>180</v>
      </c>
      <c r="H283" s="2">
        <v>14.37</v>
      </c>
      <c r="I283" s="2" t="s">
        <v>251</v>
      </c>
      <c r="J283" s="2">
        <v>497</v>
      </c>
      <c r="K283" s="30">
        <v>44749</v>
      </c>
      <c r="L283" s="30" t="s">
        <v>1237</v>
      </c>
      <c r="M283" s="2" t="s">
        <v>24</v>
      </c>
      <c r="N283" s="2">
        <v>4070.07</v>
      </c>
      <c r="O283" s="2" t="s">
        <v>105</v>
      </c>
      <c r="P283" s="2" t="s">
        <v>114</v>
      </c>
      <c r="Q283" s="2" t="s">
        <v>100</v>
      </c>
      <c r="R283" s="2">
        <v>6</v>
      </c>
      <c r="S283" s="2">
        <v>289010.81</v>
      </c>
      <c r="T283" s="38" t="s">
        <v>2879</v>
      </c>
      <c r="U283" s="13"/>
    </row>
    <row r="284" spans="1:21" x14ac:dyDescent="0.3">
      <c r="A284" s="2" t="s">
        <v>2570</v>
      </c>
      <c r="B284" s="2" t="s">
        <v>2116</v>
      </c>
      <c r="C284" s="2">
        <v>64</v>
      </c>
      <c r="D284" s="2" t="s">
        <v>30</v>
      </c>
      <c r="E284" s="2">
        <v>54593</v>
      </c>
      <c r="F284" s="2">
        <v>750000</v>
      </c>
      <c r="G284" s="2">
        <v>36</v>
      </c>
      <c r="H284" s="2">
        <v>10.65</v>
      </c>
      <c r="I284" s="2" t="s">
        <v>46</v>
      </c>
      <c r="J284" s="2">
        <v>700</v>
      </c>
      <c r="K284" s="30">
        <v>44602</v>
      </c>
      <c r="L284" s="30" t="s">
        <v>217</v>
      </c>
      <c r="M284" s="2" t="s">
        <v>33</v>
      </c>
      <c r="N284" s="2">
        <v>24429.91</v>
      </c>
      <c r="O284" s="2" t="s">
        <v>60</v>
      </c>
      <c r="P284" s="2" t="s">
        <v>192</v>
      </c>
      <c r="Q284" s="2" t="s">
        <v>35</v>
      </c>
      <c r="R284" s="2">
        <v>4</v>
      </c>
      <c r="S284" s="2">
        <v>288274.7</v>
      </c>
      <c r="T284" s="38" t="s">
        <v>2871</v>
      </c>
      <c r="U284" s="13"/>
    </row>
    <row r="285" spans="1:21" x14ac:dyDescent="0.3">
      <c r="A285" s="2" t="s">
        <v>2225</v>
      </c>
      <c r="B285" s="2" t="s">
        <v>2226</v>
      </c>
      <c r="C285" s="2">
        <v>60</v>
      </c>
      <c r="D285" s="2" t="s">
        <v>21</v>
      </c>
      <c r="E285" s="2">
        <v>157452</v>
      </c>
      <c r="F285" s="2">
        <v>400000</v>
      </c>
      <c r="G285" s="2">
        <v>60</v>
      </c>
      <c r="H285" s="2">
        <v>8.9</v>
      </c>
      <c r="I285" s="2" t="s">
        <v>22</v>
      </c>
      <c r="J285" s="2">
        <v>594</v>
      </c>
      <c r="K285" s="30">
        <v>45067</v>
      </c>
      <c r="L285" s="30" t="s">
        <v>721</v>
      </c>
      <c r="M285" s="2" t="s">
        <v>122</v>
      </c>
      <c r="N285" s="2">
        <v>8283.94</v>
      </c>
      <c r="O285" s="2" t="s">
        <v>60</v>
      </c>
      <c r="P285" s="2" t="s">
        <v>2997</v>
      </c>
      <c r="Q285" s="2" t="s">
        <v>27</v>
      </c>
      <c r="R285" s="2">
        <v>1</v>
      </c>
      <c r="S285" s="2">
        <v>288166.81</v>
      </c>
      <c r="T285" s="38" t="s">
        <v>2875</v>
      </c>
      <c r="U285" s="13"/>
    </row>
    <row r="286" spans="1:21" x14ac:dyDescent="0.3">
      <c r="A286" s="2" t="s">
        <v>1681</v>
      </c>
      <c r="B286" s="2" t="s">
        <v>1682</v>
      </c>
      <c r="C286" s="2">
        <v>23</v>
      </c>
      <c r="D286" s="2" t="s">
        <v>72</v>
      </c>
      <c r="E286" s="2">
        <v>93125</v>
      </c>
      <c r="F286" s="2">
        <v>300000</v>
      </c>
      <c r="G286" s="2">
        <v>24</v>
      </c>
      <c r="H286" s="2">
        <v>12.14</v>
      </c>
      <c r="I286" s="2" t="s">
        <v>73</v>
      </c>
      <c r="J286" s="2">
        <v>631</v>
      </c>
      <c r="K286" s="30">
        <v>44611</v>
      </c>
      <c r="L286" s="30" t="s">
        <v>1683</v>
      </c>
      <c r="M286" s="2" t="s">
        <v>33</v>
      </c>
      <c r="N286" s="2">
        <v>14141.66</v>
      </c>
      <c r="O286" s="2" t="s">
        <v>48</v>
      </c>
      <c r="P286" s="2" t="s">
        <v>80</v>
      </c>
      <c r="Q286" s="2" t="s">
        <v>42</v>
      </c>
      <c r="R286" s="2">
        <v>0</v>
      </c>
      <c r="S286" s="2">
        <v>287272.51</v>
      </c>
      <c r="T286" s="38" t="s">
        <v>2875</v>
      </c>
      <c r="U286" s="13"/>
    </row>
    <row r="287" spans="1:21" x14ac:dyDescent="0.3">
      <c r="A287" s="2" t="s">
        <v>1379</v>
      </c>
      <c r="B287" s="2" t="s">
        <v>1380</v>
      </c>
      <c r="C287" s="2">
        <v>59</v>
      </c>
      <c r="D287" s="2" t="s">
        <v>30</v>
      </c>
      <c r="E287" s="2">
        <v>143249</v>
      </c>
      <c r="F287" s="2">
        <v>300000</v>
      </c>
      <c r="G287" s="2">
        <v>24</v>
      </c>
      <c r="H287" s="2">
        <v>18.989999999999998</v>
      </c>
      <c r="I287" s="2" t="s">
        <v>66</v>
      </c>
      <c r="J287" s="2">
        <v>811</v>
      </c>
      <c r="K287" s="30">
        <v>44891</v>
      </c>
      <c r="L287" s="30" t="s">
        <v>171</v>
      </c>
      <c r="M287" s="2" t="s">
        <v>24</v>
      </c>
      <c r="N287" s="2">
        <v>15121.13</v>
      </c>
      <c r="O287" s="2" t="s">
        <v>54</v>
      </c>
      <c r="P287" s="2" t="s">
        <v>164</v>
      </c>
      <c r="Q287" s="2" t="s">
        <v>35</v>
      </c>
      <c r="R287" s="2">
        <v>0</v>
      </c>
      <c r="S287" s="2">
        <v>286390.98</v>
      </c>
      <c r="T287" s="38" t="s">
        <v>2867</v>
      </c>
      <c r="U287" s="13"/>
    </row>
    <row r="288" spans="1:21" x14ac:dyDescent="0.3">
      <c r="A288" s="3" t="s">
        <v>891</v>
      </c>
      <c r="B288" s="3" t="s">
        <v>892</v>
      </c>
      <c r="C288" s="3">
        <v>34</v>
      </c>
      <c r="D288" s="3" t="s">
        <v>30</v>
      </c>
      <c r="E288" s="3">
        <v>150605</v>
      </c>
      <c r="F288" s="3">
        <v>2000000</v>
      </c>
      <c r="G288" s="3">
        <v>48</v>
      </c>
      <c r="H288" s="3">
        <v>20.55</v>
      </c>
      <c r="I288" s="3" t="s">
        <v>73</v>
      </c>
      <c r="J288" s="3">
        <v>627</v>
      </c>
      <c r="K288" s="29">
        <v>44802</v>
      </c>
      <c r="L288" s="29" t="s">
        <v>894</v>
      </c>
      <c r="M288" s="3" t="s">
        <v>24</v>
      </c>
      <c r="N288" s="3">
        <v>61448.34</v>
      </c>
      <c r="O288" s="3" t="s">
        <v>105</v>
      </c>
      <c r="P288" s="3" t="s">
        <v>114</v>
      </c>
      <c r="Q288" s="3" t="s">
        <v>42</v>
      </c>
      <c r="R288" s="3">
        <v>2</v>
      </c>
      <c r="S288" s="3">
        <v>285591.31</v>
      </c>
      <c r="T288" s="38" t="s">
        <v>2875</v>
      </c>
      <c r="U288" s="13"/>
    </row>
    <row r="289" spans="1:21" x14ac:dyDescent="0.3">
      <c r="A289" s="3" t="s">
        <v>1099</v>
      </c>
      <c r="B289" s="3" t="s">
        <v>1100</v>
      </c>
      <c r="C289" s="3">
        <v>47</v>
      </c>
      <c r="D289" s="3" t="s">
        <v>30</v>
      </c>
      <c r="E289" s="3">
        <v>211652</v>
      </c>
      <c r="F289" s="3">
        <v>750000</v>
      </c>
      <c r="G289" s="3">
        <v>36</v>
      </c>
      <c r="H289" s="3">
        <v>8.2899999999999991</v>
      </c>
      <c r="I289" s="3" t="s">
        <v>73</v>
      </c>
      <c r="J289" s="3">
        <v>789</v>
      </c>
      <c r="K289" s="29">
        <v>45003</v>
      </c>
      <c r="L289" s="29" t="s">
        <v>937</v>
      </c>
      <c r="M289" s="3" t="s">
        <v>24</v>
      </c>
      <c r="N289" s="3">
        <v>23602.74</v>
      </c>
      <c r="O289" s="3" t="s">
        <v>54</v>
      </c>
      <c r="P289" s="3" t="s">
        <v>304</v>
      </c>
      <c r="Q289" s="3" t="s">
        <v>42</v>
      </c>
      <c r="R289" s="3">
        <v>2</v>
      </c>
      <c r="S289" s="3">
        <v>282665.75</v>
      </c>
      <c r="T289" s="38" t="s">
        <v>2867</v>
      </c>
      <c r="U289" s="13"/>
    </row>
    <row r="290" spans="1:21" x14ac:dyDescent="0.3">
      <c r="A290" s="3" t="s">
        <v>938</v>
      </c>
      <c r="B290" s="3" t="s">
        <v>617</v>
      </c>
      <c r="C290" s="3">
        <v>52</v>
      </c>
      <c r="D290" s="3" t="s">
        <v>65</v>
      </c>
      <c r="E290" s="3">
        <v>185091</v>
      </c>
      <c r="F290" s="3">
        <v>2000000</v>
      </c>
      <c r="G290" s="3">
        <v>36</v>
      </c>
      <c r="H290" s="3">
        <v>9.14</v>
      </c>
      <c r="I290" s="3" t="s">
        <v>46</v>
      </c>
      <c r="J290" s="3">
        <v>463</v>
      </c>
      <c r="K290" s="29">
        <v>45094</v>
      </c>
      <c r="L290" s="29" t="s">
        <v>406</v>
      </c>
      <c r="M290" s="3" t="s">
        <v>24</v>
      </c>
      <c r="N290" s="3">
        <v>63729.86</v>
      </c>
      <c r="O290" s="3" t="s">
        <v>25</v>
      </c>
      <c r="P290" s="3" t="s">
        <v>2998</v>
      </c>
      <c r="Q290" s="3" t="s">
        <v>35</v>
      </c>
      <c r="R290" s="3">
        <v>9</v>
      </c>
      <c r="S290" s="3">
        <v>279293.78000000003</v>
      </c>
      <c r="T290" s="38" t="s">
        <v>2879</v>
      </c>
      <c r="U290" s="13"/>
    </row>
    <row r="291" spans="1:21" x14ac:dyDescent="0.3">
      <c r="A291" s="3" t="s">
        <v>914</v>
      </c>
      <c r="B291" s="3" t="s">
        <v>915</v>
      </c>
      <c r="C291" s="3">
        <v>49</v>
      </c>
      <c r="D291" s="3" t="s">
        <v>30</v>
      </c>
      <c r="E291" s="3">
        <v>104845</v>
      </c>
      <c r="F291" s="3">
        <v>400000</v>
      </c>
      <c r="G291" s="3">
        <v>84</v>
      </c>
      <c r="H291" s="3">
        <v>18.38</v>
      </c>
      <c r="I291" s="3" t="s">
        <v>251</v>
      </c>
      <c r="J291" s="3">
        <v>713</v>
      </c>
      <c r="K291" s="29">
        <v>44629</v>
      </c>
      <c r="L291" s="29" t="s">
        <v>917</v>
      </c>
      <c r="M291" s="3" t="s">
        <v>33</v>
      </c>
      <c r="N291" s="3">
        <v>8496.4599999999991</v>
      </c>
      <c r="O291" s="3" t="s">
        <v>25</v>
      </c>
      <c r="P291" s="3" t="s">
        <v>34</v>
      </c>
      <c r="Q291" s="3" t="s">
        <v>62</v>
      </c>
      <c r="R291" s="3">
        <v>0</v>
      </c>
      <c r="S291" s="3">
        <v>277650.98</v>
      </c>
      <c r="T291" s="38" t="s">
        <v>2871</v>
      </c>
      <c r="U291" s="13"/>
    </row>
    <row r="292" spans="1:21" x14ac:dyDescent="0.3">
      <c r="A292" s="3" t="s">
        <v>1024</v>
      </c>
      <c r="B292" s="3" t="s">
        <v>255</v>
      </c>
      <c r="C292" s="3">
        <v>61</v>
      </c>
      <c r="D292" s="3" t="s">
        <v>21</v>
      </c>
      <c r="E292" s="3">
        <v>196785</v>
      </c>
      <c r="F292" s="3">
        <v>750000</v>
      </c>
      <c r="G292" s="3">
        <v>36</v>
      </c>
      <c r="H292" s="3">
        <v>15.7</v>
      </c>
      <c r="I292" s="3" t="s">
        <v>38</v>
      </c>
      <c r="J292" s="3">
        <v>623</v>
      </c>
      <c r="K292" s="29">
        <v>44701</v>
      </c>
      <c r="L292" s="29" t="s">
        <v>797</v>
      </c>
      <c r="M292" s="3" t="s">
        <v>24</v>
      </c>
      <c r="N292" s="3">
        <v>26256.83</v>
      </c>
      <c r="O292" s="3" t="s">
        <v>60</v>
      </c>
      <c r="P292" s="3" t="s">
        <v>192</v>
      </c>
      <c r="Q292" s="3" t="s">
        <v>42</v>
      </c>
      <c r="R292" s="3">
        <v>0</v>
      </c>
      <c r="S292" s="3">
        <v>277377.06</v>
      </c>
      <c r="T292" s="38" t="s">
        <v>2875</v>
      </c>
      <c r="U292" s="13"/>
    </row>
    <row r="293" spans="1:21" x14ac:dyDescent="0.3">
      <c r="A293" s="3" t="s">
        <v>2210</v>
      </c>
      <c r="B293" s="3" t="s">
        <v>2211</v>
      </c>
      <c r="C293" s="3">
        <v>28</v>
      </c>
      <c r="D293" s="3" t="s">
        <v>30</v>
      </c>
      <c r="E293" s="3">
        <v>92948</v>
      </c>
      <c r="F293" s="3">
        <v>400000</v>
      </c>
      <c r="G293" s="3">
        <v>84</v>
      </c>
      <c r="H293" s="3">
        <v>8.1999999999999993</v>
      </c>
      <c r="I293" s="3" t="s">
        <v>73</v>
      </c>
      <c r="J293" s="3">
        <v>592</v>
      </c>
      <c r="K293" s="29">
        <v>44490</v>
      </c>
      <c r="L293" s="29" t="s">
        <v>2212</v>
      </c>
      <c r="M293" s="3" t="s">
        <v>24</v>
      </c>
      <c r="N293" s="3">
        <v>6274.42</v>
      </c>
      <c r="O293" s="3" t="s">
        <v>48</v>
      </c>
      <c r="P293" s="3" t="s">
        <v>80</v>
      </c>
      <c r="Q293" s="3" t="s">
        <v>100</v>
      </c>
      <c r="R293" s="3">
        <v>5</v>
      </c>
      <c r="S293" s="3">
        <v>275766.48</v>
      </c>
      <c r="T293" s="38" t="s">
        <v>2875</v>
      </c>
      <c r="U293" s="13"/>
    </row>
    <row r="294" spans="1:21" x14ac:dyDescent="0.3">
      <c r="A294" s="3" t="s">
        <v>2263</v>
      </c>
      <c r="B294" s="3" t="s">
        <v>2264</v>
      </c>
      <c r="C294" s="3">
        <v>32</v>
      </c>
      <c r="D294" s="3" t="s">
        <v>45</v>
      </c>
      <c r="E294" s="3">
        <v>202454</v>
      </c>
      <c r="F294" s="3">
        <v>400000</v>
      </c>
      <c r="G294" s="3">
        <v>12</v>
      </c>
      <c r="H294" s="3">
        <v>12.11</v>
      </c>
      <c r="I294" s="3" t="s">
        <v>251</v>
      </c>
      <c r="J294" s="3">
        <v>453</v>
      </c>
      <c r="K294" s="29">
        <v>44581</v>
      </c>
      <c r="L294" s="29" t="s">
        <v>1394</v>
      </c>
      <c r="M294" s="3" t="s">
        <v>122</v>
      </c>
      <c r="N294" s="3">
        <v>35560.1</v>
      </c>
      <c r="O294" s="3" t="s">
        <v>60</v>
      </c>
      <c r="P294" s="3" t="s">
        <v>172</v>
      </c>
      <c r="Q294" s="3" t="s">
        <v>35</v>
      </c>
      <c r="R294" s="3">
        <v>0</v>
      </c>
      <c r="S294" s="3">
        <v>271983.64</v>
      </c>
      <c r="T294" s="38" t="s">
        <v>2879</v>
      </c>
      <c r="U294" s="13"/>
    </row>
    <row r="295" spans="1:21" x14ac:dyDescent="0.3">
      <c r="A295" s="2" t="s">
        <v>1795</v>
      </c>
      <c r="B295" s="2" t="s">
        <v>1796</v>
      </c>
      <c r="C295" s="2">
        <v>63</v>
      </c>
      <c r="D295" s="2" t="s">
        <v>21</v>
      </c>
      <c r="E295" s="2">
        <v>18140</v>
      </c>
      <c r="F295" s="2">
        <v>300000</v>
      </c>
      <c r="G295" s="2">
        <v>48</v>
      </c>
      <c r="H295" s="2">
        <v>14.15</v>
      </c>
      <c r="I295" s="2" t="s">
        <v>22</v>
      </c>
      <c r="J295" s="2">
        <v>585</v>
      </c>
      <c r="K295" s="30">
        <v>44644</v>
      </c>
      <c r="L295" s="30" t="s">
        <v>1797</v>
      </c>
      <c r="M295" s="2" t="s">
        <v>33</v>
      </c>
      <c r="N295" s="2">
        <v>8220.5300000000007</v>
      </c>
      <c r="O295" s="2" t="s">
        <v>54</v>
      </c>
      <c r="P295" s="2" t="s">
        <v>183</v>
      </c>
      <c r="Q295" s="2" t="s">
        <v>100</v>
      </c>
      <c r="R295" s="2">
        <v>0</v>
      </c>
      <c r="S295" s="2">
        <v>270406.09000000003</v>
      </c>
      <c r="T295" s="38" t="s">
        <v>2875</v>
      </c>
      <c r="U295" s="13"/>
    </row>
    <row r="296" spans="1:21" x14ac:dyDescent="0.3">
      <c r="A296" s="3" t="s">
        <v>1316</v>
      </c>
      <c r="B296" s="3" t="s">
        <v>1317</v>
      </c>
      <c r="C296" s="3">
        <v>41</v>
      </c>
      <c r="D296" s="3" t="s">
        <v>65</v>
      </c>
      <c r="E296" s="3">
        <v>135841</v>
      </c>
      <c r="F296" s="3">
        <v>300000</v>
      </c>
      <c r="G296" s="3">
        <v>120</v>
      </c>
      <c r="H296" s="3">
        <v>10.96</v>
      </c>
      <c r="I296" s="3" t="s">
        <v>83</v>
      </c>
      <c r="J296" s="3">
        <v>861</v>
      </c>
      <c r="K296" s="29">
        <v>44894</v>
      </c>
      <c r="L296" s="29" t="s">
        <v>1318</v>
      </c>
      <c r="M296" s="3" t="s">
        <v>24</v>
      </c>
      <c r="N296" s="3">
        <v>4125.71</v>
      </c>
      <c r="O296" s="3" t="s">
        <v>105</v>
      </c>
      <c r="P296" s="3" t="s">
        <v>118</v>
      </c>
      <c r="Q296" s="3" t="s">
        <v>42</v>
      </c>
      <c r="R296" s="3">
        <v>1</v>
      </c>
      <c r="S296" s="3">
        <v>270294.89</v>
      </c>
      <c r="T296" s="38" t="s">
        <v>2867</v>
      </c>
      <c r="U296" s="13"/>
    </row>
    <row r="297" spans="1:21" x14ac:dyDescent="0.3">
      <c r="A297" s="3" t="s">
        <v>1927</v>
      </c>
      <c r="B297" s="3" t="s">
        <v>57</v>
      </c>
      <c r="C297" s="3">
        <v>36</v>
      </c>
      <c r="D297" s="3" t="s">
        <v>21</v>
      </c>
      <c r="E297" s="3">
        <v>126693</v>
      </c>
      <c r="F297" s="3">
        <v>400000</v>
      </c>
      <c r="G297" s="3">
        <v>12</v>
      </c>
      <c r="H297" s="3">
        <v>14.89</v>
      </c>
      <c r="I297" s="3" t="s">
        <v>46</v>
      </c>
      <c r="J297" s="3">
        <v>611</v>
      </c>
      <c r="K297" s="29">
        <v>44915</v>
      </c>
      <c r="L297" s="29" t="s">
        <v>1928</v>
      </c>
      <c r="M297" s="3" t="s">
        <v>24</v>
      </c>
      <c r="N297" s="3">
        <v>36082.57</v>
      </c>
      <c r="O297" s="3" t="s">
        <v>25</v>
      </c>
      <c r="P297" s="3" t="s">
        <v>151</v>
      </c>
      <c r="Q297" s="3" t="s">
        <v>27</v>
      </c>
      <c r="R297" s="3">
        <v>1</v>
      </c>
      <c r="S297" s="3">
        <v>270102.75</v>
      </c>
      <c r="T297" s="38" t="s">
        <v>2875</v>
      </c>
      <c r="U297" s="13"/>
    </row>
    <row r="298" spans="1:21" x14ac:dyDescent="0.3">
      <c r="A298" s="3" t="s">
        <v>1837</v>
      </c>
      <c r="B298" s="3" t="s">
        <v>1838</v>
      </c>
      <c r="C298" s="3">
        <v>54</v>
      </c>
      <c r="D298" s="3" t="s">
        <v>72</v>
      </c>
      <c r="E298" s="3">
        <v>133138</v>
      </c>
      <c r="F298" s="3">
        <v>750000</v>
      </c>
      <c r="G298" s="3">
        <v>48</v>
      </c>
      <c r="H298" s="3">
        <v>10.19</v>
      </c>
      <c r="I298" s="3" t="s">
        <v>46</v>
      </c>
      <c r="J298" s="3">
        <v>487</v>
      </c>
      <c r="K298" s="29">
        <v>44420</v>
      </c>
      <c r="L298" s="29" t="s">
        <v>1250</v>
      </c>
      <c r="M298" s="3" t="s">
        <v>24</v>
      </c>
      <c r="N298" s="3">
        <v>19090.45</v>
      </c>
      <c r="O298" s="3" t="s">
        <v>105</v>
      </c>
      <c r="P298" s="3" t="s">
        <v>130</v>
      </c>
      <c r="Q298" s="3" t="s">
        <v>42</v>
      </c>
      <c r="R298" s="3">
        <v>1</v>
      </c>
      <c r="S298" s="3">
        <v>268920.65999999997</v>
      </c>
      <c r="T298" s="38" t="s">
        <v>2879</v>
      </c>
      <c r="U298" s="13"/>
    </row>
    <row r="299" spans="1:21" x14ac:dyDescent="0.3">
      <c r="A299" s="3" t="s">
        <v>1342</v>
      </c>
      <c r="B299" s="3" t="s">
        <v>1343</v>
      </c>
      <c r="C299" s="3">
        <v>61</v>
      </c>
      <c r="D299" s="3" t="s">
        <v>72</v>
      </c>
      <c r="E299" s="3">
        <v>90187</v>
      </c>
      <c r="F299" s="3">
        <v>400000</v>
      </c>
      <c r="G299" s="3">
        <v>24</v>
      </c>
      <c r="H299" s="3">
        <v>9.34</v>
      </c>
      <c r="I299" s="3" t="s">
        <v>22</v>
      </c>
      <c r="J299" s="3">
        <v>584</v>
      </c>
      <c r="K299" s="29">
        <v>44760</v>
      </c>
      <c r="L299" s="29" t="s">
        <v>1344</v>
      </c>
      <c r="M299" s="3" t="s">
        <v>24</v>
      </c>
      <c r="N299" s="3">
        <v>18336.36</v>
      </c>
      <c r="O299" s="3" t="s">
        <v>48</v>
      </c>
      <c r="P299" s="3" t="s">
        <v>86</v>
      </c>
      <c r="Q299" s="3" t="s">
        <v>100</v>
      </c>
      <c r="R299" s="3">
        <v>9</v>
      </c>
      <c r="S299" s="3">
        <v>267978.21000000002</v>
      </c>
      <c r="T299" s="38" t="s">
        <v>2875</v>
      </c>
      <c r="U299" s="13"/>
    </row>
    <row r="300" spans="1:21" x14ac:dyDescent="0.3">
      <c r="A300" s="2" t="s">
        <v>1700</v>
      </c>
      <c r="B300" s="2" t="s">
        <v>1701</v>
      </c>
      <c r="C300" s="2">
        <v>46</v>
      </c>
      <c r="D300" s="2" t="s">
        <v>30</v>
      </c>
      <c r="E300" s="2">
        <v>234977</v>
      </c>
      <c r="F300" s="2">
        <v>2000000</v>
      </c>
      <c r="G300" s="2">
        <v>12</v>
      </c>
      <c r="H300" s="2">
        <v>9.31</v>
      </c>
      <c r="I300" s="2" t="s">
        <v>38</v>
      </c>
      <c r="J300" s="2" t="s">
        <v>2882</v>
      </c>
      <c r="K300" s="30">
        <v>44237</v>
      </c>
      <c r="L300" s="30" t="s">
        <v>1702</v>
      </c>
      <c r="M300" s="2" t="s">
        <v>24</v>
      </c>
      <c r="N300" s="2">
        <v>175190.6</v>
      </c>
      <c r="O300" s="2" t="s">
        <v>60</v>
      </c>
      <c r="P300" s="2" t="s">
        <v>172</v>
      </c>
      <c r="Q300" s="2" t="s">
        <v>35</v>
      </c>
      <c r="R300" s="2">
        <v>3</v>
      </c>
      <c r="S300" s="2">
        <v>265613.06</v>
      </c>
      <c r="T300" s="38" t="s">
        <v>2883</v>
      </c>
      <c r="U300" s="13"/>
    </row>
    <row r="301" spans="1:21" x14ac:dyDescent="0.3">
      <c r="A301" s="2" t="s">
        <v>247</v>
      </c>
      <c r="B301" s="2" t="s">
        <v>248</v>
      </c>
      <c r="C301" s="2">
        <v>39</v>
      </c>
      <c r="D301" s="2" t="s">
        <v>45</v>
      </c>
      <c r="E301" s="2">
        <v>214283</v>
      </c>
      <c r="F301" s="2">
        <v>500000</v>
      </c>
      <c r="G301" s="2">
        <v>60</v>
      </c>
      <c r="H301" s="2">
        <v>21.72</v>
      </c>
      <c r="I301" s="2" t="s">
        <v>83</v>
      </c>
      <c r="J301" s="2">
        <v>603</v>
      </c>
      <c r="K301" s="30">
        <v>44225</v>
      </c>
      <c r="L301" s="30" t="s">
        <v>249</v>
      </c>
      <c r="M301" s="2" t="s">
        <v>24</v>
      </c>
      <c r="N301" s="2">
        <v>13729.97</v>
      </c>
      <c r="O301" s="2" t="s">
        <v>105</v>
      </c>
      <c r="P301" s="2" t="s">
        <v>130</v>
      </c>
      <c r="Q301" s="2" t="s">
        <v>35</v>
      </c>
      <c r="R301" s="2">
        <v>2</v>
      </c>
      <c r="S301" s="2">
        <v>265217.51</v>
      </c>
      <c r="T301" s="38" t="s">
        <v>2875</v>
      </c>
      <c r="U301" s="13"/>
    </row>
    <row r="302" spans="1:21" x14ac:dyDescent="0.3">
      <c r="A302" s="3" t="s">
        <v>1600</v>
      </c>
      <c r="B302" s="3" t="s">
        <v>1601</v>
      </c>
      <c r="C302" s="3">
        <v>49</v>
      </c>
      <c r="D302" s="3" t="s">
        <v>72</v>
      </c>
      <c r="E302" s="3">
        <v>225120</v>
      </c>
      <c r="F302" s="3">
        <v>400000</v>
      </c>
      <c r="G302" s="3">
        <v>60</v>
      </c>
      <c r="H302" s="3">
        <v>9.65</v>
      </c>
      <c r="I302" s="3" t="s">
        <v>251</v>
      </c>
      <c r="J302" s="3">
        <v>607</v>
      </c>
      <c r="K302" s="29">
        <v>44294</v>
      </c>
      <c r="L302" s="29" t="s">
        <v>1602</v>
      </c>
      <c r="M302" s="3" t="s">
        <v>24</v>
      </c>
      <c r="N302" s="3">
        <v>8430.1</v>
      </c>
      <c r="O302" s="3" t="s">
        <v>105</v>
      </c>
      <c r="P302" s="3" t="s">
        <v>2999</v>
      </c>
      <c r="Q302" s="3" t="s">
        <v>42</v>
      </c>
      <c r="R302" s="3">
        <v>1</v>
      </c>
      <c r="S302" s="3">
        <v>263432.38</v>
      </c>
      <c r="T302" s="38" t="s">
        <v>2875</v>
      </c>
      <c r="U302" s="13"/>
    </row>
    <row r="303" spans="1:21" x14ac:dyDescent="0.3">
      <c r="A303" s="2" t="s">
        <v>1670</v>
      </c>
      <c r="B303" s="2" t="s">
        <v>1671</v>
      </c>
      <c r="C303" s="2">
        <v>32</v>
      </c>
      <c r="D303" s="2" t="s">
        <v>72</v>
      </c>
      <c r="E303" s="2">
        <v>164945</v>
      </c>
      <c r="F303" s="2">
        <v>1000000</v>
      </c>
      <c r="G303" s="2">
        <v>60</v>
      </c>
      <c r="H303" s="2">
        <v>15.64</v>
      </c>
      <c r="I303" s="2" t="s">
        <v>22</v>
      </c>
      <c r="J303" s="2">
        <v>872</v>
      </c>
      <c r="K303" s="30">
        <v>44305</v>
      </c>
      <c r="L303" s="30" t="s">
        <v>811</v>
      </c>
      <c r="M303" s="2"/>
      <c r="N303" s="2">
        <v>24127.19</v>
      </c>
      <c r="O303" s="2" t="s">
        <v>25</v>
      </c>
      <c r="P303" s="2" t="s">
        <v>34</v>
      </c>
      <c r="Q303" s="2" t="s">
        <v>42</v>
      </c>
      <c r="R303" s="2">
        <v>2</v>
      </c>
      <c r="S303" s="2">
        <v>261707.99</v>
      </c>
      <c r="T303" s="38" t="s">
        <v>2867</v>
      </c>
      <c r="U303" s="13"/>
    </row>
    <row r="304" spans="1:21" x14ac:dyDescent="0.3">
      <c r="A304" s="2" t="s">
        <v>36</v>
      </c>
      <c r="B304" s="2" t="s">
        <v>37</v>
      </c>
      <c r="C304" s="2">
        <v>43</v>
      </c>
      <c r="D304" s="2" t="s">
        <v>45</v>
      </c>
      <c r="E304" s="2">
        <v>39312</v>
      </c>
      <c r="F304" s="2">
        <v>300000</v>
      </c>
      <c r="G304" s="2">
        <v>24</v>
      </c>
      <c r="H304" s="2">
        <v>12.71</v>
      </c>
      <c r="I304" s="2" t="s">
        <v>38</v>
      </c>
      <c r="J304" s="2">
        <v>570</v>
      </c>
      <c r="K304" s="30">
        <v>44972</v>
      </c>
      <c r="L304" s="30" t="s">
        <v>40</v>
      </c>
      <c r="M304" s="2" t="s">
        <v>24</v>
      </c>
      <c r="N304" s="2">
        <v>14221.72</v>
      </c>
      <c r="O304" s="2" t="s">
        <v>25</v>
      </c>
      <c r="P304" s="2" t="s">
        <v>2998</v>
      </c>
      <c r="Q304" s="2" t="s">
        <v>42</v>
      </c>
      <c r="R304" s="2">
        <v>2</v>
      </c>
      <c r="S304" s="2">
        <v>261601.36</v>
      </c>
      <c r="T304" s="38" t="s">
        <v>2875</v>
      </c>
      <c r="U304" s="13"/>
    </row>
    <row r="305" spans="1:21" x14ac:dyDescent="0.3">
      <c r="A305" s="3" t="s">
        <v>1916</v>
      </c>
      <c r="B305" s="3" t="s">
        <v>1100</v>
      </c>
      <c r="C305" s="3">
        <v>28</v>
      </c>
      <c r="D305" s="3" t="s">
        <v>65</v>
      </c>
      <c r="E305" s="3">
        <v>187039</v>
      </c>
      <c r="F305" s="3">
        <v>400000</v>
      </c>
      <c r="G305" s="3">
        <v>36</v>
      </c>
      <c r="H305" s="3">
        <v>9.5299999999999994</v>
      </c>
      <c r="I305" s="3" t="s">
        <v>73</v>
      </c>
      <c r="J305" s="3">
        <v>305</v>
      </c>
      <c r="K305" s="29">
        <v>44780</v>
      </c>
      <c r="L305" s="29" t="s">
        <v>1917</v>
      </c>
      <c r="M305" s="3" t="s">
        <v>24</v>
      </c>
      <c r="N305" s="3">
        <v>12818.79</v>
      </c>
      <c r="O305" s="3" t="s">
        <v>48</v>
      </c>
      <c r="P305" s="3" t="s">
        <v>86</v>
      </c>
      <c r="Q305" s="3" t="s">
        <v>27</v>
      </c>
      <c r="R305" s="3">
        <v>0</v>
      </c>
      <c r="S305" s="3">
        <v>261557.07</v>
      </c>
      <c r="T305" s="38" t="s">
        <v>2879</v>
      </c>
      <c r="U305" s="13"/>
    </row>
    <row r="306" spans="1:21" x14ac:dyDescent="0.3">
      <c r="A306" s="3" t="s">
        <v>964</v>
      </c>
      <c r="B306" s="3" t="s">
        <v>965</v>
      </c>
      <c r="C306" s="3">
        <v>54</v>
      </c>
      <c r="D306" s="3" t="s">
        <v>30</v>
      </c>
      <c r="E306" s="3">
        <v>196355</v>
      </c>
      <c r="F306" s="3">
        <v>750000</v>
      </c>
      <c r="G306" s="3">
        <v>36</v>
      </c>
      <c r="H306" s="3">
        <v>18.09</v>
      </c>
      <c r="I306" s="3" t="s">
        <v>251</v>
      </c>
      <c r="J306" s="3">
        <v>406</v>
      </c>
      <c r="K306" s="29">
        <v>45229</v>
      </c>
      <c r="L306" s="29" t="s">
        <v>966</v>
      </c>
      <c r="M306" s="3" t="s">
        <v>24</v>
      </c>
      <c r="N306" s="3">
        <v>27148.17</v>
      </c>
      <c r="O306" s="3" t="s">
        <v>60</v>
      </c>
      <c r="P306" s="3" t="s">
        <v>69</v>
      </c>
      <c r="Q306" s="3" t="s">
        <v>42</v>
      </c>
      <c r="R306" s="3">
        <v>2</v>
      </c>
      <c r="S306" s="3">
        <v>261332.94</v>
      </c>
      <c r="T306" s="38" t="s">
        <v>2879</v>
      </c>
      <c r="U306" s="13"/>
    </row>
    <row r="307" spans="1:21" x14ac:dyDescent="0.3">
      <c r="A307" s="2" t="s">
        <v>794</v>
      </c>
      <c r="B307" s="2" t="s">
        <v>795</v>
      </c>
      <c r="C307" s="2">
        <v>50</v>
      </c>
      <c r="D307" s="2" t="s">
        <v>65</v>
      </c>
      <c r="E307" s="2">
        <v>97321</v>
      </c>
      <c r="F307" s="2">
        <v>300000</v>
      </c>
      <c r="G307" s="2">
        <v>24</v>
      </c>
      <c r="H307" s="2">
        <v>15.27</v>
      </c>
      <c r="I307" s="2" t="s">
        <v>83</v>
      </c>
      <c r="J307" s="2">
        <v>762</v>
      </c>
      <c r="K307" s="30">
        <v>44382</v>
      </c>
      <c r="L307" s="30" t="s">
        <v>279</v>
      </c>
      <c r="M307" s="2" t="s">
        <v>33</v>
      </c>
      <c r="N307" s="2">
        <v>14584.51</v>
      </c>
      <c r="O307" s="2" t="s">
        <v>48</v>
      </c>
      <c r="P307" s="2" t="s">
        <v>80</v>
      </c>
      <c r="Q307" s="2" t="s">
        <v>27</v>
      </c>
      <c r="R307" s="2">
        <v>1</v>
      </c>
      <c r="S307" s="2">
        <v>260621.82</v>
      </c>
      <c r="T307" s="38" t="s">
        <v>2867</v>
      </c>
      <c r="U307" s="13"/>
    </row>
    <row r="308" spans="1:21" x14ac:dyDescent="0.3">
      <c r="A308" s="3" t="s">
        <v>394</v>
      </c>
      <c r="B308" s="3" t="s">
        <v>395</v>
      </c>
      <c r="C308" s="3">
        <v>58</v>
      </c>
      <c r="D308" s="3" t="s">
        <v>65</v>
      </c>
      <c r="E308" s="3">
        <v>200990</v>
      </c>
      <c r="F308" s="3">
        <v>1000000</v>
      </c>
      <c r="G308" s="3">
        <v>120</v>
      </c>
      <c r="H308" s="3">
        <v>11.7</v>
      </c>
      <c r="I308" s="3" t="s">
        <v>73</v>
      </c>
      <c r="J308" s="3">
        <v>321</v>
      </c>
      <c r="K308" s="29">
        <v>44938</v>
      </c>
      <c r="L308" s="29" t="s">
        <v>397</v>
      </c>
      <c r="M308" s="3" t="s">
        <v>24</v>
      </c>
      <c r="N308" s="3">
        <v>14174.21</v>
      </c>
      <c r="O308" s="3" t="s">
        <v>48</v>
      </c>
      <c r="P308" s="3" t="s">
        <v>86</v>
      </c>
      <c r="Q308" s="3" t="s">
        <v>27</v>
      </c>
      <c r="R308" s="3">
        <v>2</v>
      </c>
      <c r="S308" s="3">
        <v>260106.23999999999</v>
      </c>
      <c r="T308" s="38" t="s">
        <v>2879</v>
      </c>
      <c r="U308" s="13"/>
    </row>
    <row r="309" spans="1:21" x14ac:dyDescent="0.3">
      <c r="A309" s="3" t="s">
        <v>1999</v>
      </c>
      <c r="B309" s="3" t="s">
        <v>2000</v>
      </c>
      <c r="C309" s="3">
        <v>65</v>
      </c>
      <c r="D309" s="3" t="s">
        <v>65</v>
      </c>
      <c r="E309" s="3">
        <v>35644</v>
      </c>
      <c r="F309" s="3">
        <v>1000000</v>
      </c>
      <c r="G309" s="3">
        <v>24</v>
      </c>
      <c r="H309" s="3">
        <v>21.32</v>
      </c>
      <c r="I309" s="3" t="s">
        <v>83</v>
      </c>
      <c r="J309" s="3">
        <v>520</v>
      </c>
      <c r="K309" s="29">
        <v>45268</v>
      </c>
      <c r="L309" s="29" t="s">
        <v>1142</v>
      </c>
      <c r="M309" s="3" t="s">
        <v>24</v>
      </c>
      <c r="N309" s="3">
        <v>51542.96</v>
      </c>
      <c r="O309" s="3" t="s">
        <v>105</v>
      </c>
      <c r="P309" s="3" t="s">
        <v>159</v>
      </c>
      <c r="Q309" s="3" t="s">
        <v>42</v>
      </c>
      <c r="R309" s="3">
        <v>2</v>
      </c>
      <c r="S309" s="3">
        <v>257781.38</v>
      </c>
      <c r="T309" s="38" t="s">
        <v>2879</v>
      </c>
      <c r="U309" s="13"/>
    </row>
    <row r="310" spans="1:21" x14ac:dyDescent="0.3">
      <c r="A310" s="3" t="s">
        <v>2695</v>
      </c>
      <c r="B310" s="3" t="s">
        <v>2696</v>
      </c>
      <c r="C310" s="3">
        <v>47</v>
      </c>
      <c r="D310" s="3" t="s">
        <v>65</v>
      </c>
      <c r="E310" s="3">
        <v>201879</v>
      </c>
      <c r="F310" s="3">
        <v>400000</v>
      </c>
      <c r="G310" s="3">
        <v>84</v>
      </c>
      <c r="H310" s="3">
        <v>20.29</v>
      </c>
      <c r="I310" s="3" t="s">
        <v>31</v>
      </c>
      <c r="J310" s="3">
        <v>433</v>
      </c>
      <c r="K310" s="29">
        <v>44404</v>
      </c>
      <c r="L310" s="29" t="s">
        <v>672</v>
      </c>
      <c r="M310" s="3" t="s">
        <v>24</v>
      </c>
      <c r="N310" s="3">
        <v>8952.4599999999991</v>
      </c>
      <c r="O310" s="3" t="s">
        <v>60</v>
      </c>
      <c r="P310" s="3" t="s">
        <v>172</v>
      </c>
      <c r="Q310" s="3" t="s">
        <v>42</v>
      </c>
      <c r="R310" s="3">
        <v>0</v>
      </c>
      <c r="S310" s="3">
        <v>254970.15</v>
      </c>
      <c r="T310" s="38" t="s">
        <v>2879</v>
      </c>
      <c r="U310" s="13"/>
    </row>
    <row r="311" spans="1:21" x14ac:dyDescent="0.3">
      <c r="A311" s="3" t="s">
        <v>444</v>
      </c>
      <c r="B311" s="3" t="s">
        <v>445</v>
      </c>
      <c r="C311" s="3">
        <v>31</v>
      </c>
      <c r="D311" s="3" t="s">
        <v>45</v>
      </c>
      <c r="E311" s="3">
        <v>205640</v>
      </c>
      <c r="F311" s="3">
        <v>750000</v>
      </c>
      <c r="G311" s="3">
        <v>240</v>
      </c>
      <c r="H311" s="3">
        <v>13.64</v>
      </c>
      <c r="I311" s="3" t="s">
        <v>66</v>
      </c>
      <c r="J311" s="3" t="s">
        <v>2882</v>
      </c>
      <c r="K311" s="29">
        <v>45056</v>
      </c>
      <c r="L311" s="29" t="s">
        <v>447</v>
      </c>
      <c r="M311" s="3" t="s">
        <v>24</v>
      </c>
      <c r="N311" s="3">
        <v>9130.9599999999991</v>
      </c>
      <c r="O311" s="3" t="s">
        <v>48</v>
      </c>
      <c r="P311" s="3" t="s">
        <v>49</v>
      </c>
      <c r="Q311" s="3" t="s">
        <v>42</v>
      </c>
      <c r="R311" s="3">
        <v>0</v>
      </c>
      <c r="S311" s="3">
        <v>248710.3</v>
      </c>
      <c r="T311" s="38" t="s">
        <v>2883</v>
      </c>
      <c r="U311" s="13"/>
    </row>
    <row r="312" spans="1:21" x14ac:dyDescent="0.3">
      <c r="A312" s="2" t="s">
        <v>1488</v>
      </c>
      <c r="B312" s="2" t="s">
        <v>1489</v>
      </c>
      <c r="C312" s="2">
        <v>33</v>
      </c>
      <c r="D312" s="2" t="s">
        <v>21</v>
      </c>
      <c r="E312" s="2">
        <v>114513</v>
      </c>
      <c r="F312" s="2">
        <v>300000</v>
      </c>
      <c r="G312" s="2">
        <v>48</v>
      </c>
      <c r="H312" s="2">
        <v>14.96</v>
      </c>
      <c r="I312" s="2" t="s">
        <v>73</v>
      </c>
      <c r="J312" s="2">
        <v>415</v>
      </c>
      <c r="K312" s="30">
        <v>45261</v>
      </c>
      <c r="L312" s="30" t="s">
        <v>1476</v>
      </c>
      <c r="M312" s="2" t="s">
        <v>33</v>
      </c>
      <c r="N312" s="2">
        <v>8343.14</v>
      </c>
      <c r="O312" s="2" t="s">
        <v>48</v>
      </c>
      <c r="P312" s="2" t="s">
        <v>49</v>
      </c>
      <c r="Q312" s="2" t="s">
        <v>42</v>
      </c>
      <c r="R312" s="2">
        <v>1</v>
      </c>
      <c r="S312" s="2">
        <v>247438.22</v>
      </c>
      <c r="T312" s="38" t="s">
        <v>2879</v>
      </c>
      <c r="U312" s="13"/>
    </row>
    <row r="313" spans="1:21" x14ac:dyDescent="0.3">
      <c r="A313" s="3" t="s">
        <v>1848</v>
      </c>
      <c r="B313" s="3" t="s">
        <v>1542</v>
      </c>
      <c r="C313" s="3">
        <v>64</v>
      </c>
      <c r="D313" s="3" t="s">
        <v>72</v>
      </c>
      <c r="E313" s="3">
        <v>207486</v>
      </c>
      <c r="F313" s="3">
        <v>300000</v>
      </c>
      <c r="G313" s="3">
        <v>60</v>
      </c>
      <c r="H313" s="3">
        <v>16.3</v>
      </c>
      <c r="I313" s="3" t="s">
        <v>251</v>
      </c>
      <c r="J313" s="3">
        <v>832</v>
      </c>
      <c r="K313" s="29">
        <v>45216</v>
      </c>
      <c r="L313" s="29" t="s">
        <v>966</v>
      </c>
      <c r="M313" s="3" t="s">
        <v>24</v>
      </c>
      <c r="N313" s="3">
        <v>7343.32</v>
      </c>
      <c r="O313" s="3" t="s">
        <v>54</v>
      </c>
      <c r="P313" s="3" t="s">
        <v>99</v>
      </c>
      <c r="Q313" s="3" t="s">
        <v>42</v>
      </c>
      <c r="R313" s="3">
        <v>0</v>
      </c>
      <c r="S313" s="3">
        <v>247128.1</v>
      </c>
      <c r="T313" s="38" t="s">
        <v>2867</v>
      </c>
      <c r="U313" s="13"/>
    </row>
    <row r="314" spans="1:21" x14ac:dyDescent="0.3">
      <c r="A314" s="3" t="s">
        <v>1327</v>
      </c>
      <c r="B314" s="3" t="s">
        <v>1328</v>
      </c>
      <c r="C314" s="3">
        <v>30</v>
      </c>
      <c r="D314" s="3" t="s">
        <v>30</v>
      </c>
      <c r="E314" s="3">
        <v>160600</v>
      </c>
      <c r="F314" s="3">
        <v>300000</v>
      </c>
      <c r="G314" s="3">
        <v>84</v>
      </c>
      <c r="H314" s="3">
        <v>19.68</v>
      </c>
      <c r="I314" s="3" t="s">
        <v>251</v>
      </c>
      <c r="J314" s="3">
        <v>595</v>
      </c>
      <c r="K314" s="29">
        <v>44229</v>
      </c>
      <c r="L314" s="29" t="s">
        <v>1329</v>
      </c>
      <c r="M314" s="3" t="s">
        <v>24</v>
      </c>
      <c r="N314" s="3">
        <v>6604.18</v>
      </c>
      <c r="O314" s="3" t="s">
        <v>105</v>
      </c>
      <c r="P314" s="3" t="s">
        <v>159</v>
      </c>
      <c r="Q314" s="3" t="s">
        <v>35</v>
      </c>
      <c r="R314" s="3">
        <v>0</v>
      </c>
      <c r="S314" s="3">
        <v>246506.14</v>
      </c>
      <c r="T314" s="38" t="s">
        <v>2875</v>
      </c>
      <c r="U314" s="13"/>
    </row>
    <row r="315" spans="1:21" x14ac:dyDescent="0.3">
      <c r="A315" s="3" t="s">
        <v>2176</v>
      </c>
      <c r="B315" s="3" t="s">
        <v>2177</v>
      </c>
      <c r="C315" s="3">
        <v>49</v>
      </c>
      <c r="D315" s="3" t="s">
        <v>45</v>
      </c>
      <c r="E315" s="3">
        <v>203539</v>
      </c>
      <c r="F315" s="3">
        <v>750000</v>
      </c>
      <c r="G315" s="3">
        <v>240</v>
      </c>
      <c r="H315" s="3">
        <v>11.27</v>
      </c>
      <c r="I315" s="3" t="s">
        <v>73</v>
      </c>
      <c r="J315" s="3">
        <v>778</v>
      </c>
      <c r="K315" s="29">
        <v>44758</v>
      </c>
      <c r="L315" s="29" t="s">
        <v>2178</v>
      </c>
      <c r="M315" s="3" t="s">
        <v>24</v>
      </c>
      <c r="N315" s="3">
        <v>7879.7</v>
      </c>
      <c r="O315" s="3" t="s">
        <v>105</v>
      </c>
      <c r="P315" s="3" t="s">
        <v>159</v>
      </c>
      <c r="Q315" s="3" t="s">
        <v>35</v>
      </c>
      <c r="R315" s="3">
        <v>0</v>
      </c>
      <c r="S315" s="3">
        <v>246487.17</v>
      </c>
      <c r="T315" s="38" t="s">
        <v>2867</v>
      </c>
      <c r="U315" s="13"/>
    </row>
    <row r="316" spans="1:21" x14ac:dyDescent="0.3">
      <c r="A316" s="2" t="s">
        <v>1950</v>
      </c>
      <c r="B316" s="2" t="s">
        <v>1951</v>
      </c>
      <c r="C316" s="2">
        <v>33</v>
      </c>
      <c r="D316" s="2" t="s">
        <v>30</v>
      </c>
      <c r="E316" s="2">
        <v>164332</v>
      </c>
      <c r="F316" s="2">
        <v>400000</v>
      </c>
      <c r="G316" s="2">
        <v>36</v>
      </c>
      <c r="H316" s="2">
        <v>16.89</v>
      </c>
      <c r="I316" s="2" t="s">
        <v>46</v>
      </c>
      <c r="J316" s="2">
        <v>617</v>
      </c>
      <c r="K316" s="30">
        <v>44339</v>
      </c>
      <c r="L316" s="30" t="s">
        <v>589</v>
      </c>
      <c r="M316" s="2" t="s">
        <v>24</v>
      </c>
      <c r="N316" s="2">
        <v>14239.2</v>
      </c>
      <c r="O316" s="2" t="s">
        <v>105</v>
      </c>
      <c r="P316" s="2" t="s">
        <v>159</v>
      </c>
      <c r="Q316" s="2" t="s">
        <v>42</v>
      </c>
      <c r="R316" s="2">
        <v>1</v>
      </c>
      <c r="S316" s="2">
        <v>246216.64</v>
      </c>
      <c r="T316" s="38" t="s">
        <v>2875</v>
      </c>
      <c r="U316" s="13"/>
    </row>
    <row r="317" spans="1:21" x14ac:dyDescent="0.3">
      <c r="A317" s="2" t="s">
        <v>558</v>
      </c>
      <c r="B317" s="2" t="s">
        <v>559</v>
      </c>
      <c r="C317" s="2">
        <v>22</v>
      </c>
      <c r="D317" s="2" t="s">
        <v>45</v>
      </c>
      <c r="E317" s="2">
        <v>56403</v>
      </c>
      <c r="F317" s="2">
        <v>300000</v>
      </c>
      <c r="G317" s="2">
        <v>180</v>
      </c>
      <c r="H317" s="2">
        <v>14.42</v>
      </c>
      <c r="I317" s="2" t="s">
        <v>83</v>
      </c>
      <c r="J317" s="2">
        <v>594</v>
      </c>
      <c r="K317" s="30">
        <v>44380</v>
      </c>
      <c r="L317" s="30" t="s">
        <v>410</v>
      </c>
      <c r="M317" s="2" t="s">
        <v>24</v>
      </c>
      <c r="N317" s="2">
        <v>4080.23</v>
      </c>
      <c r="O317" s="2" t="s">
        <v>48</v>
      </c>
      <c r="P317" s="2" t="s">
        <v>199</v>
      </c>
      <c r="Q317" s="2" t="s">
        <v>35</v>
      </c>
      <c r="R317" s="2">
        <v>10</v>
      </c>
      <c r="S317" s="2">
        <v>244916.9</v>
      </c>
      <c r="T317" s="38" t="s">
        <v>2875</v>
      </c>
      <c r="U317" s="13"/>
    </row>
    <row r="318" spans="1:21" x14ac:dyDescent="0.3">
      <c r="A318" s="3" t="s">
        <v>2393</v>
      </c>
      <c r="B318" s="3" t="s">
        <v>108</v>
      </c>
      <c r="C318" s="3">
        <v>39</v>
      </c>
      <c r="D318" s="3" t="s">
        <v>30</v>
      </c>
      <c r="E318" s="3">
        <v>83905</v>
      </c>
      <c r="F318" s="3">
        <v>400000</v>
      </c>
      <c r="G318" s="3">
        <v>60</v>
      </c>
      <c r="H318" s="3">
        <v>12.88</v>
      </c>
      <c r="I318" s="3" t="s">
        <v>66</v>
      </c>
      <c r="J318" s="3">
        <v>641</v>
      </c>
      <c r="K318" s="29">
        <v>45068</v>
      </c>
      <c r="L318" s="29" t="s">
        <v>1726</v>
      </c>
      <c r="M318" s="3" t="s">
        <v>33</v>
      </c>
      <c r="N318" s="3">
        <v>9076.68</v>
      </c>
      <c r="O318" s="3" t="s">
        <v>48</v>
      </c>
      <c r="P318" s="3" t="s">
        <v>199</v>
      </c>
      <c r="Q318" s="3" t="s">
        <v>35</v>
      </c>
      <c r="R318" s="3">
        <v>7</v>
      </c>
      <c r="S318" s="3">
        <v>244788.77</v>
      </c>
      <c r="T318" s="38" t="s">
        <v>2875</v>
      </c>
      <c r="U318" s="13"/>
    </row>
    <row r="319" spans="1:21" x14ac:dyDescent="0.3">
      <c r="A319" s="3" t="s">
        <v>1404</v>
      </c>
      <c r="B319" s="3" t="s">
        <v>1405</v>
      </c>
      <c r="C319" s="3">
        <v>46</v>
      </c>
      <c r="D319" s="3" t="s">
        <v>30</v>
      </c>
      <c r="E319" s="3">
        <v>34275</v>
      </c>
      <c r="F319" s="3">
        <v>400000</v>
      </c>
      <c r="G319" s="3">
        <v>180</v>
      </c>
      <c r="H319" s="3">
        <v>8.2899999999999991</v>
      </c>
      <c r="I319" s="3" t="s">
        <v>73</v>
      </c>
      <c r="J319" s="3" t="s">
        <v>2882</v>
      </c>
      <c r="K319" s="29">
        <v>44990</v>
      </c>
      <c r="L319" s="29" t="s">
        <v>864</v>
      </c>
      <c r="M319" s="3" t="s">
        <v>24</v>
      </c>
      <c r="N319" s="3">
        <v>3889.88</v>
      </c>
      <c r="O319" s="3" t="s">
        <v>105</v>
      </c>
      <c r="P319" s="3" t="s">
        <v>2999</v>
      </c>
      <c r="Q319" s="3" t="s">
        <v>35</v>
      </c>
      <c r="R319" s="3">
        <v>7</v>
      </c>
      <c r="S319" s="3">
        <v>242459.86</v>
      </c>
      <c r="T319" s="38" t="s">
        <v>2883</v>
      </c>
      <c r="U319" s="13"/>
    </row>
    <row r="320" spans="1:21" x14ac:dyDescent="0.3">
      <c r="A320" s="2" t="s">
        <v>1500</v>
      </c>
      <c r="B320" s="2" t="s">
        <v>546</v>
      </c>
      <c r="C320" s="2">
        <v>31</v>
      </c>
      <c r="D320" s="2" t="s">
        <v>72</v>
      </c>
      <c r="E320" s="2">
        <v>178044</v>
      </c>
      <c r="F320" s="2">
        <v>750000</v>
      </c>
      <c r="G320" s="2">
        <v>24</v>
      </c>
      <c r="H320" s="2">
        <v>18.52</v>
      </c>
      <c r="I320" s="2" t="s">
        <v>31</v>
      </c>
      <c r="J320" s="2">
        <v>777</v>
      </c>
      <c r="K320" s="30">
        <v>45201</v>
      </c>
      <c r="L320" s="30" t="s">
        <v>1501</v>
      </c>
      <c r="M320" s="2" t="s">
        <v>33</v>
      </c>
      <c r="N320" s="2">
        <v>37631.79</v>
      </c>
      <c r="O320" s="2" t="s">
        <v>105</v>
      </c>
      <c r="P320" s="2" t="s">
        <v>130</v>
      </c>
      <c r="Q320" s="2" t="s">
        <v>42</v>
      </c>
      <c r="R320" s="2">
        <v>2</v>
      </c>
      <c r="S320" s="2">
        <v>241970.84</v>
      </c>
      <c r="T320" s="38" t="s">
        <v>2867</v>
      </c>
      <c r="U320" s="13"/>
    </row>
    <row r="321" spans="1:21" x14ac:dyDescent="0.3">
      <c r="A321" s="3" t="s">
        <v>1818</v>
      </c>
      <c r="B321" s="3" t="s">
        <v>1819</v>
      </c>
      <c r="C321" s="3">
        <v>57</v>
      </c>
      <c r="D321" s="3" t="s">
        <v>30</v>
      </c>
      <c r="E321" s="3">
        <v>82447</v>
      </c>
      <c r="F321" s="3">
        <v>300000</v>
      </c>
      <c r="G321" s="3">
        <v>180</v>
      </c>
      <c r="H321" s="3">
        <v>11.93</v>
      </c>
      <c r="I321" s="3" t="s">
        <v>66</v>
      </c>
      <c r="J321" s="3">
        <v>684</v>
      </c>
      <c r="K321" s="29">
        <v>44879</v>
      </c>
      <c r="L321" s="29" t="s">
        <v>828</v>
      </c>
      <c r="M321" s="3" t="s">
        <v>24</v>
      </c>
      <c r="N321" s="3">
        <v>3587</v>
      </c>
      <c r="O321" s="3" t="s">
        <v>54</v>
      </c>
      <c r="P321" s="3" t="s">
        <v>99</v>
      </c>
      <c r="Q321" s="3" t="s">
        <v>35</v>
      </c>
      <c r="R321" s="3">
        <v>7</v>
      </c>
      <c r="S321" s="3">
        <v>241890.6</v>
      </c>
      <c r="T321" s="38" t="s">
        <v>2871</v>
      </c>
      <c r="U321" s="13"/>
    </row>
    <row r="322" spans="1:21" x14ac:dyDescent="0.3">
      <c r="A322" s="2" t="s">
        <v>1598</v>
      </c>
      <c r="B322" s="2" t="s">
        <v>229</v>
      </c>
      <c r="C322" s="2">
        <v>61</v>
      </c>
      <c r="D322" s="2" t="s">
        <v>30</v>
      </c>
      <c r="E322" s="2">
        <v>128798</v>
      </c>
      <c r="F322" s="2">
        <v>1000000</v>
      </c>
      <c r="G322" s="2">
        <v>120</v>
      </c>
      <c r="H322" s="2">
        <v>8.85</v>
      </c>
      <c r="I322" s="2" t="s">
        <v>38</v>
      </c>
      <c r="J322" s="2">
        <v>774</v>
      </c>
      <c r="K322" s="30">
        <v>45271</v>
      </c>
      <c r="L322" s="30" t="s">
        <v>1599</v>
      </c>
      <c r="M322" s="2" t="s">
        <v>24</v>
      </c>
      <c r="N322" s="2">
        <v>12586.54</v>
      </c>
      <c r="O322" s="2" t="s">
        <v>105</v>
      </c>
      <c r="P322" s="2" t="s">
        <v>159</v>
      </c>
      <c r="Q322" s="2" t="s">
        <v>35</v>
      </c>
      <c r="R322" s="2">
        <v>7</v>
      </c>
      <c r="S322" s="2">
        <v>241031.64</v>
      </c>
      <c r="T322" s="38" t="s">
        <v>2867</v>
      </c>
      <c r="U322" s="13"/>
    </row>
    <row r="323" spans="1:21" x14ac:dyDescent="0.3">
      <c r="A323" s="3" t="s">
        <v>803</v>
      </c>
      <c r="B323" s="3" t="s">
        <v>804</v>
      </c>
      <c r="C323" s="3">
        <v>45</v>
      </c>
      <c r="D323" s="3" t="s">
        <v>72</v>
      </c>
      <c r="E323" s="3">
        <v>167652</v>
      </c>
      <c r="F323" s="3">
        <v>750000</v>
      </c>
      <c r="G323" s="3">
        <v>60</v>
      </c>
      <c r="H323" s="3">
        <v>20.8</v>
      </c>
      <c r="I323" s="3" t="s">
        <v>22</v>
      </c>
      <c r="J323" s="3">
        <v>322</v>
      </c>
      <c r="K323" s="29">
        <v>44460</v>
      </c>
      <c r="L323" s="29" t="s">
        <v>805</v>
      </c>
      <c r="M323" s="3" t="s">
        <v>33</v>
      </c>
      <c r="N323" s="3">
        <v>20205.73</v>
      </c>
      <c r="O323" s="3" t="s">
        <v>25</v>
      </c>
      <c r="P323" s="3" t="s">
        <v>34</v>
      </c>
      <c r="Q323" s="3" t="s">
        <v>35</v>
      </c>
      <c r="R323" s="3">
        <v>10</v>
      </c>
      <c r="S323" s="3">
        <v>240815.6</v>
      </c>
      <c r="T323" s="38" t="s">
        <v>2879</v>
      </c>
      <c r="U323" s="13"/>
    </row>
    <row r="324" spans="1:21" x14ac:dyDescent="0.3">
      <c r="A324" s="3" t="s">
        <v>761</v>
      </c>
      <c r="B324" s="3" t="s">
        <v>756</v>
      </c>
      <c r="C324" s="3">
        <v>46</v>
      </c>
      <c r="D324" s="3" t="s">
        <v>45</v>
      </c>
      <c r="E324" s="3">
        <v>125326</v>
      </c>
      <c r="F324" s="3">
        <v>250000</v>
      </c>
      <c r="G324" s="3">
        <v>240</v>
      </c>
      <c r="H324" s="3">
        <v>17.399999999999999</v>
      </c>
      <c r="I324" s="3" t="s">
        <v>31</v>
      </c>
      <c r="J324" s="3">
        <v>374</v>
      </c>
      <c r="K324" s="29">
        <v>44733</v>
      </c>
      <c r="L324" s="29" t="s">
        <v>763</v>
      </c>
      <c r="M324" s="3" t="s">
        <v>24</v>
      </c>
      <c r="N324" s="3">
        <v>3743.24</v>
      </c>
      <c r="O324" s="3" t="s">
        <v>25</v>
      </c>
      <c r="P324" s="3" t="s">
        <v>123</v>
      </c>
      <c r="Q324" s="3" t="s">
        <v>100</v>
      </c>
      <c r="R324" s="3">
        <v>1</v>
      </c>
      <c r="S324" s="3">
        <v>239893.25</v>
      </c>
      <c r="T324" s="38" t="s">
        <v>2879</v>
      </c>
      <c r="U324" s="13"/>
    </row>
    <row r="325" spans="1:21" x14ac:dyDescent="0.3">
      <c r="A325" s="3" t="s">
        <v>2189</v>
      </c>
      <c r="B325" s="3" t="s">
        <v>2190</v>
      </c>
      <c r="C325" s="3">
        <v>40</v>
      </c>
      <c r="D325" s="3" t="s">
        <v>30</v>
      </c>
      <c r="E325" s="3">
        <v>21473</v>
      </c>
      <c r="F325" s="3">
        <v>250000</v>
      </c>
      <c r="G325" s="3">
        <v>84</v>
      </c>
      <c r="H325" s="3">
        <v>12.36</v>
      </c>
      <c r="I325" s="3" t="s">
        <v>73</v>
      </c>
      <c r="J325" s="3">
        <v>683</v>
      </c>
      <c r="K325" s="29">
        <v>44525</v>
      </c>
      <c r="L325" s="29" t="s">
        <v>576</v>
      </c>
      <c r="M325" s="3" t="s">
        <v>24</v>
      </c>
      <c r="N325" s="3">
        <v>4461.46</v>
      </c>
      <c r="O325" s="3" t="s">
        <v>60</v>
      </c>
      <c r="P325" s="3" t="s">
        <v>61</v>
      </c>
      <c r="Q325" s="3" t="s">
        <v>35</v>
      </c>
      <c r="R325" s="3">
        <v>9</v>
      </c>
      <c r="S325" s="3">
        <v>237954.06</v>
      </c>
      <c r="T325" s="38" t="s">
        <v>2871</v>
      </c>
      <c r="U325" s="13"/>
    </row>
    <row r="326" spans="1:21" x14ac:dyDescent="0.3">
      <c r="A326" s="2" t="s">
        <v>2843</v>
      </c>
      <c r="B326" s="2" t="s">
        <v>2032</v>
      </c>
      <c r="C326" s="2">
        <v>43</v>
      </c>
      <c r="D326" s="2" t="s">
        <v>30</v>
      </c>
      <c r="E326" s="2">
        <v>144073</v>
      </c>
      <c r="F326" s="2">
        <v>300000</v>
      </c>
      <c r="G326" s="2">
        <v>120</v>
      </c>
      <c r="H326" s="2">
        <v>13.81</v>
      </c>
      <c r="I326" s="2" t="s">
        <v>46</v>
      </c>
      <c r="J326" s="2">
        <v>831</v>
      </c>
      <c r="K326" s="30">
        <v>45070</v>
      </c>
      <c r="L326" s="30" t="s">
        <v>703</v>
      </c>
      <c r="M326" s="2" t="s">
        <v>24</v>
      </c>
      <c r="N326" s="2">
        <v>4623.78</v>
      </c>
      <c r="O326" s="2" t="s">
        <v>25</v>
      </c>
      <c r="P326" s="2" t="s">
        <v>26</v>
      </c>
      <c r="Q326" s="2" t="s">
        <v>100</v>
      </c>
      <c r="R326" s="2">
        <v>11</v>
      </c>
      <c r="S326" s="2">
        <v>233417.57</v>
      </c>
      <c r="T326" s="38" t="s">
        <v>2867</v>
      </c>
      <c r="U326" s="13"/>
    </row>
    <row r="327" spans="1:21" x14ac:dyDescent="0.3">
      <c r="A327" s="2" t="s">
        <v>2379</v>
      </c>
      <c r="B327" s="2" t="s">
        <v>1671</v>
      </c>
      <c r="C327" s="2">
        <v>34</v>
      </c>
      <c r="D327" s="2" t="s">
        <v>72</v>
      </c>
      <c r="E327" s="2">
        <v>49746</v>
      </c>
      <c r="F327" s="2">
        <v>500000</v>
      </c>
      <c r="G327" s="2">
        <v>60</v>
      </c>
      <c r="H327" s="2">
        <v>8.3800000000000008</v>
      </c>
      <c r="I327" s="2" t="s">
        <v>83</v>
      </c>
      <c r="J327" s="2">
        <v>549</v>
      </c>
      <c r="K327" s="30">
        <v>44398</v>
      </c>
      <c r="L327" s="30" t="s">
        <v>356</v>
      </c>
      <c r="M327" s="2" t="s">
        <v>24</v>
      </c>
      <c r="N327" s="2">
        <v>10229.370000000001</v>
      </c>
      <c r="O327" s="2" t="s">
        <v>54</v>
      </c>
      <c r="P327" s="2" t="s">
        <v>99</v>
      </c>
      <c r="Q327" s="2" t="s">
        <v>42</v>
      </c>
      <c r="R327" s="2">
        <v>1</v>
      </c>
      <c r="S327" s="2">
        <v>233013.44</v>
      </c>
      <c r="T327" s="38" t="s">
        <v>2879</v>
      </c>
      <c r="U327" s="13"/>
    </row>
    <row r="328" spans="1:21" x14ac:dyDescent="0.3">
      <c r="A328" s="2" t="s">
        <v>876</v>
      </c>
      <c r="B328" s="2" t="s">
        <v>877</v>
      </c>
      <c r="C328" s="2">
        <v>45</v>
      </c>
      <c r="D328" s="2" t="s">
        <v>65</v>
      </c>
      <c r="E328" s="2">
        <v>147415</v>
      </c>
      <c r="F328" s="2">
        <v>300000</v>
      </c>
      <c r="G328" s="2">
        <v>24</v>
      </c>
      <c r="H328" s="2">
        <v>17.38</v>
      </c>
      <c r="I328" s="2" t="s">
        <v>83</v>
      </c>
      <c r="J328" s="2">
        <v>681</v>
      </c>
      <c r="K328" s="30">
        <v>45168</v>
      </c>
      <c r="L328" s="30" t="s">
        <v>813</v>
      </c>
      <c r="M328" s="2" t="s">
        <v>24</v>
      </c>
      <c r="N328" s="2">
        <v>14887.51</v>
      </c>
      <c r="O328" s="2" t="s">
        <v>60</v>
      </c>
      <c r="P328" s="2" t="s">
        <v>69</v>
      </c>
      <c r="Q328" s="2" t="s">
        <v>42</v>
      </c>
      <c r="R328" s="2">
        <v>1</v>
      </c>
      <c r="S328" s="2">
        <v>233006.21</v>
      </c>
      <c r="T328" s="38" t="s">
        <v>2871</v>
      </c>
      <c r="U328" s="13"/>
    </row>
    <row r="329" spans="1:21" x14ac:dyDescent="0.3">
      <c r="A329" s="3" t="s">
        <v>2438</v>
      </c>
      <c r="B329" s="3" t="s">
        <v>2439</v>
      </c>
      <c r="C329" s="3">
        <v>62</v>
      </c>
      <c r="D329" s="3" t="s">
        <v>45</v>
      </c>
      <c r="E329" s="3">
        <v>121340</v>
      </c>
      <c r="F329" s="3">
        <v>400000</v>
      </c>
      <c r="G329" s="3">
        <v>48</v>
      </c>
      <c r="H329" s="3">
        <v>14.07</v>
      </c>
      <c r="I329" s="3" t="s">
        <v>66</v>
      </c>
      <c r="J329" s="3">
        <v>858</v>
      </c>
      <c r="K329" s="29">
        <v>45250</v>
      </c>
      <c r="L329" s="29" t="s">
        <v>1121</v>
      </c>
      <c r="M329" s="3" t="s">
        <v>24</v>
      </c>
      <c r="N329" s="3">
        <v>10944.64</v>
      </c>
      <c r="O329" s="3" t="s">
        <v>60</v>
      </c>
      <c r="P329" s="3" t="s">
        <v>172</v>
      </c>
      <c r="Q329" s="3" t="s">
        <v>42</v>
      </c>
      <c r="R329" s="3">
        <v>2</v>
      </c>
      <c r="S329" s="3">
        <v>232547.01</v>
      </c>
      <c r="T329" s="38" t="s">
        <v>2867</v>
      </c>
      <c r="U329" s="13"/>
    </row>
    <row r="330" spans="1:21" x14ac:dyDescent="0.3">
      <c r="A330" s="3" t="s">
        <v>1173</v>
      </c>
      <c r="B330" s="3" t="s">
        <v>1174</v>
      </c>
      <c r="C330" s="3">
        <v>24</v>
      </c>
      <c r="D330" s="3" t="s">
        <v>45</v>
      </c>
      <c r="E330" s="3">
        <v>183231</v>
      </c>
      <c r="F330" s="3">
        <v>300000</v>
      </c>
      <c r="G330" s="3">
        <v>180</v>
      </c>
      <c r="H330" s="3">
        <v>15.12</v>
      </c>
      <c r="I330" s="3" t="s">
        <v>66</v>
      </c>
      <c r="J330" s="3">
        <v>350</v>
      </c>
      <c r="K330" s="29">
        <v>44223</v>
      </c>
      <c r="L330" s="29" t="s">
        <v>639</v>
      </c>
      <c r="M330" s="3" t="s">
        <v>24</v>
      </c>
      <c r="N330" s="3">
        <v>4223.45</v>
      </c>
      <c r="O330" s="3" t="s">
        <v>48</v>
      </c>
      <c r="P330" s="3" t="s">
        <v>86</v>
      </c>
      <c r="Q330" s="3" t="s">
        <v>35</v>
      </c>
      <c r="R330" s="3">
        <v>9</v>
      </c>
      <c r="S330" s="3">
        <v>231580.11</v>
      </c>
      <c r="T330" s="38" t="s">
        <v>2879</v>
      </c>
      <c r="U330" s="13"/>
    </row>
    <row r="331" spans="1:21" x14ac:dyDescent="0.3">
      <c r="A331" s="3" t="s">
        <v>1519</v>
      </c>
      <c r="B331" s="3" t="s">
        <v>1520</v>
      </c>
      <c r="C331" s="3">
        <v>59</v>
      </c>
      <c r="D331" s="3" t="s">
        <v>72</v>
      </c>
      <c r="E331" s="3">
        <v>170153</v>
      </c>
      <c r="F331" s="3">
        <v>250000</v>
      </c>
      <c r="G331" s="3">
        <v>60</v>
      </c>
      <c r="H331" s="3">
        <v>8.48</v>
      </c>
      <c r="I331" s="3" t="s">
        <v>31</v>
      </c>
      <c r="J331" s="3">
        <v>737</v>
      </c>
      <c r="K331" s="29">
        <v>44815</v>
      </c>
      <c r="L331" s="29" t="s">
        <v>1521</v>
      </c>
      <c r="M331" s="3" t="s">
        <v>33</v>
      </c>
      <c r="N331" s="3">
        <v>5126.72</v>
      </c>
      <c r="O331" s="3" t="s">
        <v>105</v>
      </c>
      <c r="P331" s="3" t="s">
        <v>130</v>
      </c>
      <c r="Q331" s="3" t="s">
        <v>35</v>
      </c>
      <c r="R331" s="3">
        <v>12</v>
      </c>
      <c r="S331" s="3">
        <v>231543.81</v>
      </c>
      <c r="T331" s="38" t="s">
        <v>2871</v>
      </c>
      <c r="U331" s="13"/>
    </row>
    <row r="332" spans="1:21" x14ac:dyDescent="0.3">
      <c r="A332" s="3" t="s">
        <v>438</v>
      </c>
      <c r="B332" s="3" t="s">
        <v>439</v>
      </c>
      <c r="C332" s="3">
        <v>36</v>
      </c>
      <c r="D332" s="3" t="s">
        <v>65</v>
      </c>
      <c r="E332" s="3">
        <v>246900</v>
      </c>
      <c r="F332" s="3">
        <v>250000</v>
      </c>
      <c r="G332" s="3">
        <v>12</v>
      </c>
      <c r="H332" s="3">
        <v>13.52</v>
      </c>
      <c r="I332" s="3" t="s">
        <v>73</v>
      </c>
      <c r="J332" s="3">
        <v>814</v>
      </c>
      <c r="K332" s="29">
        <v>44964</v>
      </c>
      <c r="L332" s="29" t="s">
        <v>52</v>
      </c>
      <c r="M332" s="3" t="s">
        <v>24</v>
      </c>
      <c r="N332" s="3">
        <v>22390.36</v>
      </c>
      <c r="O332" s="3" t="s">
        <v>48</v>
      </c>
      <c r="P332" s="3" t="s">
        <v>86</v>
      </c>
      <c r="Q332" s="3" t="s">
        <v>27</v>
      </c>
      <c r="R332" s="3">
        <v>1</v>
      </c>
      <c r="S332" s="3">
        <v>229848.68</v>
      </c>
      <c r="T332" s="38" t="s">
        <v>2867</v>
      </c>
      <c r="U332" s="13"/>
    </row>
    <row r="333" spans="1:21" x14ac:dyDescent="0.3">
      <c r="A333" s="3" t="s">
        <v>989</v>
      </c>
      <c r="B333" s="3" t="s">
        <v>990</v>
      </c>
      <c r="C333" s="3">
        <v>31</v>
      </c>
      <c r="D333" s="3" t="s">
        <v>72</v>
      </c>
      <c r="E333" s="3">
        <v>55292</v>
      </c>
      <c r="F333" s="3">
        <v>250000</v>
      </c>
      <c r="G333" s="3">
        <v>12</v>
      </c>
      <c r="H333" s="3">
        <v>18.72</v>
      </c>
      <c r="I333" s="3" t="s">
        <v>66</v>
      </c>
      <c r="J333" s="3">
        <v>802</v>
      </c>
      <c r="K333" s="29">
        <v>44847</v>
      </c>
      <c r="L333" s="29" t="s">
        <v>991</v>
      </c>
      <c r="M333" s="3" t="s">
        <v>24</v>
      </c>
      <c r="N333" s="3">
        <v>23005.75</v>
      </c>
      <c r="O333" s="3" t="s">
        <v>54</v>
      </c>
      <c r="P333" s="3" t="s">
        <v>99</v>
      </c>
      <c r="Q333" s="3" t="s">
        <v>42</v>
      </c>
      <c r="R333" s="3">
        <v>1</v>
      </c>
      <c r="S333" s="3">
        <v>229294.83</v>
      </c>
      <c r="T333" s="38" t="s">
        <v>2867</v>
      </c>
      <c r="U333" s="13"/>
    </row>
    <row r="334" spans="1:21" x14ac:dyDescent="0.3">
      <c r="A334" s="2" t="s">
        <v>1868</v>
      </c>
      <c r="B334" s="2" t="s">
        <v>1869</v>
      </c>
      <c r="C334" s="2">
        <v>65</v>
      </c>
      <c r="D334" s="2" t="s">
        <v>30</v>
      </c>
      <c r="E334" s="2">
        <v>113711</v>
      </c>
      <c r="F334" s="2">
        <v>300000</v>
      </c>
      <c r="G334" s="2">
        <v>36</v>
      </c>
      <c r="H334" s="2">
        <v>20.93</v>
      </c>
      <c r="I334" s="2" t="s">
        <v>22</v>
      </c>
      <c r="J334" s="2">
        <v>664</v>
      </c>
      <c r="K334" s="30">
        <v>45252</v>
      </c>
      <c r="L334" s="30" t="s">
        <v>1214</v>
      </c>
      <c r="M334" s="2" t="s">
        <v>24</v>
      </c>
      <c r="N334" s="2">
        <v>11291.74</v>
      </c>
      <c r="O334" s="2" t="s">
        <v>60</v>
      </c>
      <c r="P334" s="2" t="s">
        <v>192</v>
      </c>
      <c r="Q334" s="2" t="s">
        <v>100</v>
      </c>
      <c r="R334" s="2">
        <v>0</v>
      </c>
      <c r="S334" s="2">
        <v>228862.04</v>
      </c>
      <c r="T334" s="38" t="s">
        <v>2871</v>
      </c>
      <c r="U334" s="13"/>
    </row>
    <row r="335" spans="1:21" x14ac:dyDescent="0.3">
      <c r="A335" s="3" t="s">
        <v>2760</v>
      </c>
      <c r="B335" s="3" t="s">
        <v>2761</v>
      </c>
      <c r="C335" s="3">
        <v>32</v>
      </c>
      <c r="D335" s="3" t="s">
        <v>45</v>
      </c>
      <c r="E335" s="3">
        <v>77544</v>
      </c>
      <c r="F335" s="3">
        <v>300000</v>
      </c>
      <c r="G335" s="3">
        <v>12</v>
      </c>
      <c r="H335" s="3">
        <v>17.38</v>
      </c>
      <c r="I335" s="3" t="s">
        <v>66</v>
      </c>
      <c r="J335" s="3">
        <v>890</v>
      </c>
      <c r="K335" s="29">
        <v>44318</v>
      </c>
      <c r="L335" s="29" t="s">
        <v>1019</v>
      </c>
      <c r="M335" s="3" t="s">
        <v>24</v>
      </c>
      <c r="N335" s="3">
        <v>27415.56</v>
      </c>
      <c r="O335" s="3" t="s">
        <v>105</v>
      </c>
      <c r="P335" s="3" t="s">
        <v>118</v>
      </c>
      <c r="Q335" s="3" t="s">
        <v>42</v>
      </c>
      <c r="R335" s="3">
        <v>2</v>
      </c>
      <c r="S335" s="3">
        <v>225977.99</v>
      </c>
      <c r="T335" s="38" t="s">
        <v>2867</v>
      </c>
      <c r="U335" s="13"/>
    </row>
    <row r="336" spans="1:21" x14ac:dyDescent="0.3">
      <c r="A336" s="2" t="s">
        <v>693</v>
      </c>
      <c r="B336" s="2" t="s">
        <v>694</v>
      </c>
      <c r="C336" s="2">
        <v>52</v>
      </c>
      <c r="D336" s="2" t="s">
        <v>72</v>
      </c>
      <c r="E336" s="2">
        <v>92445</v>
      </c>
      <c r="F336" s="2">
        <v>300000</v>
      </c>
      <c r="G336" s="2">
        <v>24</v>
      </c>
      <c r="H336" s="2">
        <v>9.18</v>
      </c>
      <c r="I336" s="2" t="s">
        <v>251</v>
      </c>
      <c r="J336" s="2">
        <v>656</v>
      </c>
      <c r="K336" s="30">
        <v>45264</v>
      </c>
      <c r="L336" s="30" t="s">
        <v>696</v>
      </c>
      <c r="M336" s="2" t="s">
        <v>24</v>
      </c>
      <c r="N336" s="2">
        <v>13730.21</v>
      </c>
      <c r="O336" s="2" t="s">
        <v>48</v>
      </c>
      <c r="P336" s="2" t="s">
        <v>199</v>
      </c>
      <c r="Q336" s="2" t="s">
        <v>35</v>
      </c>
      <c r="R336" s="2">
        <v>7</v>
      </c>
      <c r="S336" s="2">
        <v>225856.87</v>
      </c>
      <c r="T336" s="38" t="s">
        <v>2871</v>
      </c>
      <c r="U336" s="13"/>
    </row>
    <row r="337" spans="1:21" x14ac:dyDescent="0.3">
      <c r="A337" s="2" t="s">
        <v>2025</v>
      </c>
      <c r="B337" s="2" t="s">
        <v>1561</v>
      </c>
      <c r="C337" s="2">
        <v>49</v>
      </c>
      <c r="D337" s="2" t="s">
        <v>21</v>
      </c>
      <c r="E337" s="2">
        <v>196639</v>
      </c>
      <c r="F337" s="2">
        <v>750000</v>
      </c>
      <c r="G337" s="2">
        <v>120</v>
      </c>
      <c r="H337" s="2">
        <v>19.43</v>
      </c>
      <c r="I337" s="2" t="s">
        <v>83</v>
      </c>
      <c r="J337" s="2">
        <v>379</v>
      </c>
      <c r="K337" s="30">
        <v>44845</v>
      </c>
      <c r="L337" s="30" t="s">
        <v>1799</v>
      </c>
      <c r="M337" s="2" t="s">
        <v>24</v>
      </c>
      <c r="N337" s="2">
        <v>14211.87</v>
      </c>
      <c r="O337" s="2" t="s">
        <v>54</v>
      </c>
      <c r="P337" s="2" t="s">
        <v>99</v>
      </c>
      <c r="Q337" s="2" t="s">
        <v>35</v>
      </c>
      <c r="R337" s="2">
        <v>2</v>
      </c>
      <c r="S337" s="2">
        <v>225582</v>
      </c>
      <c r="T337" s="38" t="s">
        <v>2879</v>
      </c>
      <c r="U337" s="13"/>
    </row>
    <row r="338" spans="1:21" x14ac:dyDescent="0.3">
      <c r="A338" s="2" t="s">
        <v>2001</v>
      </c>
      <c r="B338" s="2" t="s">
        <v>2002</v>
      </c>
      <c r="C338" s="2">
        <v>30</v>
      </c>
      <c r="D338" s="2" t="s">
        <v>21</v>
      </c>
      <c r="E338" s="2">
        <v>91242</v>
      </c>
      <c r="F338" s="2">
        <v>250000</v>
      </c>
      <c r="G338" s="2">
        <v>120</v>
      </c>
      <c r="H338" s="2">
        <v>8.08</v>
      </c>
      <c r="I338" s="2" t="s">
        <v>73</v>
      </c>
      <c r="J338" s="2">
        <v>544</v>
      </c>
      <c r="K338" s="30">
        <v>44509</v>
      </c>
      <c r="L338" s="30" t="s">
        <v>1552</v>
      </c>
      <c r="M338" s="2" t="s">
        <v>24</v>
      </c>
      <c r="N338" s="2">
        <v>3043.77</v>
      </c>
      <c r="O338" s="2" t="s">
        <v>105</v>
      </c>
      <c r="P338" s="2" t="s">
        <v>2999</v>
      </c>
      <c r="Q338" s="2" t="s">
        <v>35</v>
      </c>
      <c r="R338" s="2">
        <v>9</v>
      </c>
      <c r="S338" s="2">
        <v>225345.46</v>
      </c>
      <c r="T338" s="38" t="s">
        <v>2879</v>
      </c>
      <c r="U338" s="13"/>
    </row>
    <row r="339" spans="1:21" x14ac:dyDescent="0.3">
      <c r="A339" s="2" t="s">
        <v>2080</v>
      </c>
      <c r="B339" s="2" t="s">
        <v>2081</v>
      </c>
      <c r="C339" s="2">
        <v>59</v>
      </c>
      <c r="D339" s="2" t="s">
        <v>65</v>
      </c>
      <c r="E339" s="2">
        <v>181960</v>
      </c>
      <c r="F339" s="2">
        <v>400000</v>
      </c>
      <c r="G339" s="2">
        <v>24</v>
      </c>
      <c r="H339" s="2">
        <v>15.07</v>
      </c>
      <c r="I339" s="2" t="s">
        <v>83</v>
      </c>
      <c r="J339" s="2">
        <v>891</v>
      </c>
      <c r="K339" s="30">
        <v>45185</v>
      </c>
      <c r="L339" s="30" t="s">
        <v>234</v>
      </c>
      <c r="M339" s="2" t="s">
        <v>122</v>
      </c>
      <c r="N339" s="2">
        <v>19407.97</v>
      </c>
      <c r="O339" s="2" t="s">
        <v>60</v>
      </c>
      <c r="P339" s="2" t="s">
        <v>2997</v>
      </c>
      <c r="Q339" s="2" t="s">
        <v>42</v>
      </c>
      <c r="R339" s="2">
        <v>1</v>
      </c>
      <c r="S339" s="2">
        <v>225328.27</v>
      </c>
      <c r="T339" s="38" t="s">
        <v>2867</v>
      </c>
      <c r="U339" s="13"/>
    </row>
    <row r="340" spans="1:21" x14ac:dyDescent="0.3">
      <c r="A340" s="2" t="s">
        <v>2301</v>
      </c>
      <c r="B340" s="2" t="s">
        <v>2302</v>
      </c>
      <c r="C340" s="2">
        <v>61</v>
      </c>
      <c r="D340" s="2" t="s">
        <v>65</v>
      </c>
      <c r="E340" s="2">
        <v>170602</v>
      </c>
      <c r="F340" s="2">
        <v>750000</v>
      </c>
      <c r="G340" s="2">
        <v>120</v>
      </c>
      <c r="H340" s="2">
        <v>18.100000000000001</v>
      </c>
      <c r="I340" s="2" t="s">
        <v>31</v>
      </c>
      <c r="J340" s="2">
        <v>549</v>
      </c>
      <c r="K340" s="30">
        <v>45185</v>
      </c>
      <c r="L340" s="30" t="s">
        <v>848</v>
      </c>
      <c r="M340" s="2" t="s">
        <v>33</v>
      </c>
      <c r="N340" s="2">
        <v>13562.21</v>
      </c>
      <c r="O340" s="2" t="s">
        <v>48</v>
      </c>
      <c r="P340" s="2" t="s">
        <v>199</v>
      </c>
      <c r="Q340" s="2" t="s">
        <v>35</v>
      </c>
      <c r="R340" s="2">
        <v>9</v>
      </c>
      <c r="S340" s="2">
        <v>225142.47</v>
      </c>
      <c r="T340" s="38" t="s">
        <v>2879</v>
      </c>
      <c r="U340" s="13"/>
    </row>
    <row r="341" spans="1:21" x14ac:dyDescent="0.3">
      <c r="A341" s="2" t="s">
        <v>1849</v>
      </c>
      <c r="B341" s="2" t="s">
        <v>768</v>
      </c>
      <c r="C341" s="2">
        <v>65</v>
      </c>
      <c r="D341" s="2" t="s">
        <v>45</v>
      </c>
      <c r="E341" s="2">
        <v>244319</v>
      </c>
      <c r="F341" s="2">
        <v>400000</v>
      </c>
      <c r="G341" s="2">
        <v>36</v>
      </c>
      <c r="H341" s="2">
        <v>20.5</v>
      </c>
      <c r="I341" s="2" t="s">
        <v>22</v>
      </c>
      <c r="J341" s="2">
        <v>793</v>
      </c>
      <c r="K341" s="30">
        <v>44546</v>
      </c>
      <c r="L341" s="30" t="s">
        <v>1850</v>
      </c>
      <c r="M341" s="2" t="s">
        <v>24</v>
      </c>
      <c r="N341" s="2">
        <v>14967.53</v>
      </c>
      <c r="O341" s="2" t="s">
        <v>54</v>
      </c>
      <c r="P341" s="2" t="s">
        <v>2996</v>
      </c>
      <c r="Q341" s="2" t="s">
        <v>42</v>
      </c>
      <c r="R341" s="2">
        <v>0</v>
      </c>
      <c r="S341" s="2">
        <v>224879.9</v>
      </c>
      <c r="T341" s="38" t="s">
        <v>2867</v>
      </c>
      <c r="U341" s="13"/>
    </row>
    <row r="342" spans="1:21" x14ac:dyDescent="0.3">
      <c r="A342" s="2" t="s">
        <v>2740</v>
      </c>
      <c r="B342" s="2" t="s">
        <v>2741</v>
      </c>
      <c r="C342" s="2">
        <v>27</v>
      </c>
      <c r="D342" s="2" t="s">
        <v>21</v>
      </c>
      <c r="E342" s="2">
        <v>61241</v>
      </c>
      <c r="F342" s="2">
        <v>300000</v>
      </c>
      <c r="G342" s="2">
        <v>48</v>
      </c>
      <c r="H342" s="2">
        <v>15.41</v>
      </c>
      <c r="I342" s="2" t="s">
        <v>66</v>
      </c>
      <c r="J342" s="2">
        <v>318</v>
      </c>
      <c r="K342" s="30">
        <v>44495</v>
      </c>
      <c r="L342" s="30" t="s">
        <v>2445</v>
      </c>
      <c r="M342" s="2" t="s">
        <v>24</v>
      </c>
      <c r="N342" s="2">
        <v>8411.7099999999991</v>
      </c>
      <c r="O342" s="2" t="s">
        <v>54</v>
      </c>
      <c r="P342" s="2" t="s">
        <v>304</v>
      </c>
      <c r="Q342" s="2" t="s">
        <v>42</v>
      </c>
      <c r="R342" s="2">
        <v>0</v>
      </c>
      <c r="S342" s="2">
        <v>224294.61</v>
      </c>
      <c r="T342" s="38" t="s">
        <v>2879</v>
      </c>
      <c r="U342" s="13"/>
    </row>
    <row r="343" spans="1:21" x14ac:dyDescent="0.3">
      <c r="A343" s="3" t="s">
        <v>654</v>
      </c>
      <c r="B343" s="3" t="s">
        <v>655</v>
      </c>
      <c r="C343" s="3">
        <v>58</v>
      </c>
      <c r="D343" s="3" t="s">
        <v>30</v>
      </c>
      <c r="E343" s="3">
        <v>163555</v>
      </c>
      <c r="F343" s="3">
        <v>300000</v>
      </c>
      <c r="G343" s="3">
        <v>240</v>
      </c>
      <c r="H343" s="3">
        <v>12.31</v>
      </c>
      <c r="I343" s="3" t="s">
        <v>251</v>
      </c>
      <c r="J343" s="3">
        <v>380</v>
      </c>
      <c r="K343" s="29">
        <v>45092</v>
      </c>
      <c r="L343" s="29" t="s">
        <v>406</v>
      </c>
      <c r="M343" s="3" t="s">
        <v>24</v>
      </c>
      <c r="N343" s="3">
        <v>3368.32</v>
      </c>
      <c r="O343" s="3" t="s">
        <v>54</v>
      </c>
      <c r="P343" s="3" t="s">
        <v>183</v>
      </c>
      <c r="Q343" s="3" t="s">
        <v>42</v>
      </c>
      <c r="R343" s="3">
        <v>0</v>
      </c>
      <c r="S343" s="3">
        <v>224212.8</v>
      </c>
      <c r="T343" s="38" t="s">
        <v>2879</v>
      </c>
      <c r="U343" s="13"/>
    </row>
    <row r="344" spans="1:21" x14ac:dyDescent="0.3">
      <c r="A344" s="3" t="s">
        <v>1088</v>
      </c>
      <c r="B344" s="3" t="s">
        <v>166</v>
      </c>
      <c r="C344" s="3">
        <v>26</v>
      </c>
      <c r="D344" s="3" t="s">
        <v>65</v>
      </c>
      <c r="E344" s="3">
        <v>181110</v>
      </c>
      <c r="F344" s="3">
        <v>2000000</v>
      </c>
      <c r="G344" s="3">
        <v>48</v>
      </c>
      <c r="H344" s="3">
        <v>17.32</v>
      </c>
      <c r="I344" s="3" t="s">
        <v>83</v>
      </c>
      <c r="J344" s="3">
        <v>623</v>
      </c>
      <c r="K344" s="29">
        <v>44216</v>
      </c>
      <c r="L344" s="29" t="s">
        <v>647</v>
      </c>
      <c r="M344" s="3" t="s">
        <v>24</v>
      </c>
      <c r="N344" s="3">
        <v>58041.73</v>
      </c>
      <c r="O344" s="3" t="s">
        <v>60</v>
      </c>
      <c r="P344" s="3" t="s">
        <v>61</v>
      </c>
      <c r="Q344" s="3" t="s">
        <v>42</v>
      </c>
      <c r="R344" s="3">
        <v>2</v>
      </c>
      <c r="S344" s="3">
        <v>223923.06</v>
      </c>
      <c r="T344" s="38" t="s">
        <v>2875</v>
      </c>
      <c r="U344" s="13"/>
    </row>
    <row r="345" spans="1:21" x14ac:dyDescent="0.3">
      <c r="A345" s="2" t="s">
        <v>1579</v>
      </c>
      <c r="B345" s="2" t="s">
        <v>395</v>
      </c>
      <c r="C345" s="2">
        <v>32</v>
      </c>
      <c r="D345" s="2" t="s">
        <v>21</v>
      </c>
      <c r="E345" s="2">
        <v>208165</v>
      </c>
      <c r="F345" s="2">
        <v>400000</v>
      </c>
      <c r="G345" s="2">
        <v>36</v>
      </c>
      <c r="H345" s="2">
        <v>15.56</v>
      </c>
      <c r="I345" s="2" t="s">
        <v>31</v>
      </c>
      <c r="J345" s="2">
        <v>354</v>
      </c>
      <c r="K345" s="30">
        <v>44572</v>
      </c>
      <c r="L345" s="30" t="s">
        <v>1487</v>
      </c>
      <c r="M345" s="2" t="s">
        <v>33</v>
      </c>
      <c r="N345" s="2">
        <v>13976.08</v>
      </c>
      <c r="O345" s="2" t="s">
        <v>105</v>
      </c>
      <c r="P345" s="2" t="s">
        <v>159</v>
      </c>
      <c r="Q345" s="2" t="s">
        <v>42</v>
      </c>
      <c r="R345" s="2">
        <v>0</v>
      </c>
      <c r="S345" s="2">
        <v>223901.39</v>
      </c>
      <c r="T345" s="38" t="s">
        <v>2879</v>
      </c>
      <c r="U345" s="13"/>
    </row>
    <row r="346" spans="1:21" x14ac:dyDescent="0.3">
      <c r="A346" s="3" t="s">
        <v>2335</v>
      </c>
      <c r="B346" s="3" t="s">
        <v>1627</v>
      </c>
      <c r="C346" s="3">
        <v>59</v>
      </c>
      <c r="D346" s="3" t="s">
        <v>65</v>
      </c>
      <c r="E346" s="3">
        <v>181401</v>
      </c>
      <c r="F346" s="3">
        <v>750000</v>
      </c>
      <c r="G346" s="3">
        <v>84</v>
      </c>
      <c r="H346" s="3">
        <v>15.35</v>
      </c>
      <c r="I346" s="3" t="s">
        <v>31</v>
      </c>
      <c r="J346" s="3">
        <v>871</v>
      </c>
      <c r="K346" s="29">
        <v>44906</v>
      </c>
      <c r="L346" s="29" t="s">
        <v>874</v>
      </c>
      <c r="M346" s="3" t="s">
        <v>24</v>
      </c>
      <c r="N346" s="3">
        <v>14620.23</v>
      </c>
      <c r="O346" s="3" t="s">
        <v>25</v>
      </c>
      <c r="P346" s="3" t="s">
        <v>151</v>
      </c>
      <c r="Q346" s="3" t="s">
        <v>27</v>
      </c>
      <c r="R346" s="3">
        <v>1</v>
      </c>
      <c r="S346" s="3">
        <v>223671.72</v>
      </c>
      <c r="T346" s="38" t="s">
        <v>2867</v>
      </c>
      <c r="U346" s="13"/>
    </row>
    <row r="347" spans="1:21" x14ac:dyDescent="0.3">
      <c r="A347" s="3" t="s">
        <v>620</v>
      </c>
      <c r="B347" s="3" t="s">
        <v>621</v>
      </c>
      <c r="C347" s="3">
        <v>52</v>
      </c>
      <c r="D347" s="3" t="s">
        <v>30</v>
      </c>
      <c r="E347" s="3">
        <v>197354</v>
      </c>
      <c r="F347" s="3">
        <v>750000</v>
      </c>
      <c r="G347" s="3">
        <v>48</v>
      </c>
      <c r="H347" s="3">
        <v>13.25</v>
      </c>
      <c r="I347" s="3" t="s">
        <v>83</v>
      </c>
      <c r="J347" s="3">
        <v>865</v>
      </c>
      <c r="K347" s="29">
        <v>45289</v>
      </c>
      <c r="L347" s="29" t="s">
        <v>622</v>
      </c>
      <c r="M347" s="3" t="s">
        <v>24</v>
      </c>
      <c r="N347" s="3">
        <v>20213.810000000001</v>
      </c>
      <c r="O347" s="3" t="s">
        <v>48</v>
      </c>
      <c r="P347" s="3" t="s">
        <v>199</v>
      </c>
      <c r="Q347" s="3" t="s">
        <v>35</v>
      </c>
      <c r="R347" s="3">
        <v>6</v>
      </c>
      <c r="S347" s="3">
        <v>222419.56</v>
      </c>
      <c r="T347" s="38" t="s">
        <v>2867</v>
      </c>
      <c r="U347" s="13"/>
    </row>
    <row r="348" spans="1:21" x14ac:dyDescent="0.3">
      <c r="A348" s="3" t="s">
        <v>309</v>
      </c>
      <c r="B348" s="3" t="s">
        <v>310</v>
      </c>
      <c r="C348" s="3">
        <v>31</v>
      </c>
      <c r="D348" s="3" t="s">
        <v>30</v>
      </c>
      <c r="E348" s="3">
        <v>154242</v>
      </c>
      <c r="F348" s="3">
        <v>300000</v>
      </c>
      <c r="G348" s="3">
        <v>36</v>
      </c>
      <c r="H348" s="3">
        <v>9.9600000000000009</v>
      </c>
      <c r="I348" s="3" t="s">
        <v>22</v>
      </c>
      <c r="J348" s="3">
        <v>691</v>
      </c>
      <c r="K348" s="29">
        <v>44672</v>
      </c>
      <c r="L348" s="29" t="s">
        <v>238</v>
      </c>
      <c r="M348" s="3" t="s">
        <v>24</v>
      </c>
      <c r="N348" s="3">
        <v>9674.52</v>
      </c>
      <c r="O348" s="3" t="s">
        <v>54</v>
      </c>
      <c r="P348" s="3" t="s">
        <v>2996</v>
      </c>
      <c r="Q348" s="3" t="s">
        <v>62</v>
      </c>
      <c r="R348" s="3">
        <v>1</v>
      </c>
      <c r="S348" s="3">
        <v>221636.39</v>
      </c>
      <c r="T348" s="38" t="s">
        <v>2871</v>
      </c>
      <c r="U348" s="13"/>
    </row>
    <row r="349" spans="1:21" x14ac:dyDescent="0.3">
      <c r="A349" s="3" t="s">
        <v>1418</v>
      </c>
      <c r="B349" s="3" t="s">
        <v>1419</v>
      </c>
      <c r="C349" s="3">
        <v>47</v>
      </c>
      <c r="D349" s="3" t="s">
        <v>30</v>
      </c>
      <c r="E349" s="3">
        <v>222056</v>
      </c>
      <c r="F349" s="3">
        <v>250000</v>
      </c>
      <c r="G349" s="3">
        <v>180</v>
      </c>
      <c r="H349" s="3">
        <v>17.71</v>
      </c>
      <c r="I349" s="3" t="s">
        <v>46</v>
      </c>
      <c r="J349" s="3">
        <v>372</v>
      </c>
      <c r="K349" s="29">
        <v>44804</v>
      </c>
      <c r="L349" s="29" t="s">
        <v>952</v>
      </c>
      <c r="M349" s="3" t="s">
        <v>24</v>
      </c>
      <c r="N349" s="3">
        <v>3974</v>
      </c>
      <c r="O349" s="3" t="s">
        <v>60</v>
      </c>
      <c r="P349" s="3" t="s">
        <v>61</v>
      </c>
      <c r="Q349" s="3" t="s">
        <v>42</v>
      </c>
      <c r="R349" s="3">
        <v>2</v>
      </c>
      <c r="S349" s="3">
        <v>221387.2</v>
      </c>
      <c r="T349" s="38" t="s">
        <v>2879</v>
      </c>
      <c r="U349" s="13"/>
    </row>
    <row r="350" spans="1:21" x14ac:dyDescent="0.3">
      <c r="A350" s="3" t="s">
        <v>1516</v>
      </c>
      <c r="B350" s="3" t="s">
        <v>546</v>
      </c>
      <c r="C350" s="3">
        <v>58</v>
      </c>
      <c r="D350" s="3" t="s">
        <v>72</v>
      </c>
      <c r="E350" s="3">
        <v>226897</v>
      </c>
      <c r="F350" s="3">
        <v>400000</v>
      </c>
      <c r="G350" s="3">
        <v>24</v>
      </c>
      <c r="H350" s="3">
        <v>17.52</v>
      </c>
      <c r="I350" s="3" t="s">
        <v>83</v>
      </c>
      <c r="J350" s="3">
        <v>644</v>
      </c>
      <c r="K350" s="29">
        <v>44538</v>
      </c>
      <c r="L350" s="29" t="s">
        <v>825</v>
      </c>
      <c r="M350" s="3" t="s">
        <v>122</v>
      </c>
      <c r="N350" s="3">
        <v>19876.990000000002</v>
      </c>
      <c r="O350" s="3" t="s">
        <v>60</v>
      </c>
      <c r="P350" s="3" t="s">
        <v>69</v>
      </c>
      <c r="Q350" s="3" t="s">
        <v>42</v>
      </c>
      <c r="R350" s="3">
        <v>2</v>
      </c>
      <c r="S350" s="3">
        <v>221107.09</v>
      </c>
      <c r="T350" s="38" t="s">
        <v>2875</v>
      </c>
      <c r="U350" s="13"/>
    </row>
    <row r="351" spans="1:21" x14ac:dyDescent="0.3">
      <c r="A351" s="3" t="s">
        <v>1320</v>
      </c>
      <c r="B351" s="3" t="s">
        <v>1321</v>
      </c>
      <c r="C351" s="3">
        <v>50</v>
      </c>
      <c r="D351" s="3" t="s">
        <v>30</v>
      </c>
      <c r="E351" s="3">
        <v>95749</v>
      </c>
      <c r="F351" s="3">
        <v>300000</v>
      </c>
      <c r="G351" s="3">
        <v>24</v>
      </c>
      <c r="H351" s="3">
        <v>16.170000000000002</v>
      </c>
      <c r="I351" s="3" t="s">
        <v>73</v>
      </c>
      <c r="J351" s="3">
        <v>635</v>
      </c>
      <c r="K351" s="29">
        <v>44481</v>
      </c>
      <c r="L351" s="29" t="s">
        <v>530</v>
      </c>
      <c r="M351" s="3" t="s">
        <v>24</v>
      </c>
      <c r="N351" s="3">
        <v>14713.31</v>
      </c>
      <c r="O351" s="3" t="s">
        <v>60</v>
      </c>
      <c r="P351" s="3" t="s">
        <v>172</v>
      </c>
      <c r="Q351" s="3" t="s">
        <v>42</v>
      </c>
      <c r="R351" s="3">
        <v>0</v>
      </c>
      <c r="S351" s="3">
        <v>220548.13</v>
      </c>
      <c r="T351" s="38" t="s">
        <v>2875</v>
      </c>
      <c r="U351" s="13"/>
    </row>
    <row r="352" spans="1:21" x14ac:dyDescent="0.3">
      <c r="A352" s="2" t="s">
        <v>2567</v>
      </c>
      <c r="B352" s="2" t="s">
        <v>1752</v>
      </c>
      <c r="C352" s="2">
        <v>56</v>
      </c>
      <c r="D352" s="2" t="s">
        <v>30</v>
      </c>
      <c r="E352" s="2">
        <v>74798</v>
      </c>
      <c r="F352" s="2">
        <v>750000</v>
      </c>
      <c r="G352" s="2">
        <v>36</v>
      </c>
      <c r="H352" s="2">
        <v>8.1199999999999992</v>
      </c>
      <c r="I352" s="2" t="s">
        <v>38</v>
      </c>
      <c r="J352" s="2">
        <v>719</v>
      </c>
      <c r="K352" s="30">
        <v>45146</v>
      </c>
      <c r="L352" s="30" t="s">
        <v>253</v>
      </c>
      <c r="M352" s="2" t="s">
        <v>24</v>
      </c>
      <c r="N352" s="2">
        <v>23543.82</v>
      </c>
      <c r="O352" s="2" t="s">
        <v>60</v>
      </c>
      <c r="P352" s="2" t="s">
        <v>2997</v>
      </c>
      <c r="Q352" s="2" t="s">
        <v>42</v>
      </c>
      <c r="R352" s="2">
        <v>1</v>
      </c>
      <c r="S352" s="2">
        <v>220264.05</v>
      </c>
      <c r="T352" s="38" t="s">
        <v>2871</v>
      </c>
      <c r="U352" s="13"/>
    </row>
    <row r="353" spans="1:21" x14ac:dyDescent="0.3">
      <c r="A353" s="3" t="s">
        <v>1338</v>
      </c>
      <c r="B353" s="3" t="s">
        <v>748</v>
      </c>
      <c r="C353" s="3">
        <v>65</v>
      </c>
      <c r="D353" s="3" t="s">
        <v>45</v>
      </c>
      <c r="E353" s="3">
        <v>224216</v>
      </c>
      <c r="F353" s="3">
        <v>750000</v>
      </c>
      <c r="G353" s="3">
        <v>60</v>
      </c>
      <c r="H353" s="3">
        <v>16.39</v>
      </c>
      <c r="I353" s="3" t="s">
        <v>38</v>
      </c>
      <c r="J353" s="3">
        <v>847</v>
      </c>
      <c r="K353" s="29">
        <v>45157</v>
      </c>
      <c r="L353" s="29" t="s">
        <v>1339</v>
      </c>
      <c r="M353" s="3" t="s">
        <v>24</v>
      </c>
      <c r="N353" s="3">
        <v>18394.32</v>
      </c>
      <c r="O353" s="3" t="s">
        <v>25</v>
      </c>
      <c r="P353" s="3" t="s">
        <v>2998</v>
      </c>
      <c r="Q353" s="3" t="s">
        <v>62</v>
      </c>
      <c r="R353" s="3">
        <v>1</v>
      </c>
      <c r="S353" s="3">
        <v>220243.58</v>
      </c>
      <c r="T353" s="38" t="s">
        <v>2867</v>
      </c>
      <c r="U353" s="13"/>
    </row>
    <row r="354" spans="1:21" x14ac:dyDescent="0.3">
      <c r="A354" s="3" t="s">
        <v>1494</v>
      </c>
      <c r="B354" s="3" t="s">
        <v>1261</v>
      </c>
      <c r="C354" s="3">
        <v>29</v>
      </c>
      <c r="D354" s="3" t="s">
        <v>30</v>
      </c>
      <c r="E354" s="3">
        <v>118497</v>
      </c>
      <c r="F354" s="3">
        <v>300000</v>
      </c>
      <c r="G354" s="3">
        <v>24</v>
      </c>
      <c r="H354" s="3">
        <v>18.25</v>
      </c>
      <c r="I354" s="3" t="s">
        <v>251</v>
      </c>
      <c r="J354" s="3">
        <v>366</v>
      </c>
      <c r="K354" s="29">
        <v>45024</v>
      </c>
      <c r="L354" s="29" t="s">
        <v>1495</v>
      </c>
      <c r="M354" s="3" t="s">
        <v>24</v>
      </c>
      <c r="N354" s="3">
        <v>15013.49</v>
      </c>
      <c r="O354" s="3" t="s">
        <v>48</v>
      </c>
      <c r="P354" s="3" t="s">
        <v>86</v>
      </c>
      <c r="Q354" s="3" t="s">
        <v>35</v>
      </c>
      <c r="R354" s="3">
        <v>5</v>
      </c>
      <c r="S354" s="3">
        <v>218927.15</v>
      </c>
      <c r="T354" s="38" t="s">
        <v>2879</v>
      </c>
      <c r="U354" s="13"/>
    </row>
    <row r="355" spans="1:21" x14ac:dyDescent="0.3">
      <c r="A355" s="2" t="s">
        <v>298</v>
      </c>
      <c r="B355" s="2" t="s">
        <v>299</v>
      </c>
      <c r="C355" s="2">
        <v>28</v>
      </c>
      <c r="D355" s="2" t="s">
        <v>65</v>
      </c>
      <c r="E355" s="2">
        <v>41138</v>
      </c>
      <c r="F355" s="2">
        <v>500000</v>
      </c>
      <c r="G355" s="2">
        <v>180</v>
      </c>
      <c r="H355" s="2">
        <v>7.72</v>
      </c>
      <c r="I355" s="2" t="s">
        <v>251</v>
      </c>
      <c r="J355" s="2">
        <v>719</v>
      </c>
      <c r="K355" s="30">
        <v>44890</v>
      </c>
      <c r="L355" s="30" t="s">
        <v>300</v>
      </c>
      <c r="M355" s="2" t="s">
        <v>24</v>
      </c>
      <c r="N355" s="2">
        <v>4697.79</v>
      </c>
      <c r="O355" s="2" t="s">
        <v>105</v>
      </c>
      <c r="P355" s="2" t="s">
        <v>114</v>
      </c>
      <c r="Q355" s="2" t="s">
        <v>42</v>
      </c>
      <c r="R355" s="2">
        <v>1</v>
      </c>
      <c r="S355" s="2">
        <v>216723.26</v>
      </c>
      <c r="T355" s="38" t="s">
        <v>2871</v>
      </c>
      <c r="U355" s="13"/>
    </row>
    <row r="356" spans="1:21" x14ac:dyDescent="0.3">
      <c r="A356" s="3" t="s">
        <v>1616</v>
      </c>
      <c r="B356" s="3" t="s">
        <v>1617</v>
      </c>
      <c r="C356" s="3">
        <v>29</v>
      </c>
      <c r="D356" s="3" t="s">
        <v>30</v>
      </c>
      <c r="E356" s="3">
        <v>54956</v>
      </c>
      <c r="F356" s="3">
        <v>1500000</v>
      </c>
      <c r="G356" s="3">
        <v>180</v>
      </c>
      <c r="H356" s="3">
        <v>21.48</v>
      </c>
      <c r="I356" s="3" t="s">
        <v>31</v>
      </c>
      <c r="J356" s="3">
        <v>320</v>
      </c>
      <c r="K356" s="29">
        <v>44800</v>
      </c>
      <c r="L356" s="29" t="s">
        <v>1618</v>
      </c>
      <c r="M356" s="3" t="s">
        <v>24</v>
      </c>
      <c r="N356" s="3">
        <v>27998.73</v>
      </c>
      <c r="O356" s="3" t="s">
        <v>60</v>
      </c>
      <c r="P356" s="3" t="s">
        <v>69</v>
      </c>
      <c r="Q356" s="3" t="s">
        <v>27</v>
      </c>
      <c r="R356" s="3">
        <v>0</v>
      </c>
      <c r="S356" s="3">
        <v>214858.29</v>
      </c>
      <c r="T356" s="38" t="s">
        <v>2879</v>
      </c>
      <c r="U356" s="13"/>
    </row>
    <row r="357" spans="1:21" x14ac:dyDescent="0.3">
      <c r="A357" s="2" t="s">
        <v>1403</v>
      </c>
      <c r="B357" s="2" t="s">
        <v>136</v>
      </c>
      <c r="C357" s="2">
        <v>50</v>
      </c>
      <c r="D357" s="2" t="s">
        <v>45</v>
      </c>
      <c r="E357" s="2">
        <v>166981</v>
      </c>
      <c r="F357" s="2">
        <v>250000</v>
      </c>
      <c r="G357" s="2">
        <v>120</v>
      </c>
      <c r="H357" s="2">
        <v>10.38</v>
      </c>
      <c r="I357" s="2" t="s">
        <v>38</v>
      </c>
      <c r="J357" s="2">
        <v>535</v>
      </c>
      <c r="K357" s="30">
        <v>44682</v>
      </c>
      <c r="L357" s="30" t="s">
        <v>149</v>
      </c>
      <c r="M357" s="2" t="s">
        <v>24</v>
      </c>
      <c r="N357" s="2">
        <v>3356.6</v>
      </c>
      <c r="O357" s="2" t="s">
        <v>25</v>
      </c>
      <c r="P357" s="2" t="s">
        <v>151</v>
      </c>
      <c r="Q357" s="2" t="s">
        <v>42</v>
      </c>
      <c r="R357" s="2">
        <v>0</v>
      </c>
      <c r="S357" s="2">
        <v>213748.72</v>
      </c>
      <c r="T357" s="38" t="s">
        <v>2879</v>
      </c>
      <c r="U357" s="13"/>
    </row>
    <row r="358" spans="1:21" x14ac:dyDescent="0.3">
      <c r="A358" s="2" t="s">
        <v>609</v>
      </c>
      <c r="B358" s="2" t="s">
        <v>610</v>
      </c>
      <c r="C358" s="2">
        <v>48</v>
      </c>
      <c r="D358" s="2" t="s">
        <v>30</v>
      </c>
      <c r="E358" s="2">
        <v>93613</v>
      </c>
      <c r="F358" s="2">
        <v>300000</v>
      </c>
      <c r="G358" s="2">
        <v>36</v>
      </c>
      <c r="H358" s="2">
        <v>18.440000000000001</v>
      </c>
      <c r="I358" s="2" t="s">
        <v>31</v>
      </c>
      <c r="J358" s="2">
        <v>546</v>
      </c>
      <c r="K358" s="30">
        <v>45145</v>
      </c>
      <c r="L358" s="30" t="s">
        <v>611</v>
      </c>
      <c r="M358" s="2" t="s">
        <v>24</v>
      </c>
      <c r="N358" s="2">
        <v>10912.05</v>
      </c>
      <c r="O358" s="2" t="s">
        <v>105</v>
      </c>
      <c r="P358" s="2" t="s">
        <v>130</v>
      </c>
      <c r="Q358" s="2" t="s">
        <v>35</v>
      </c>
      <c r="R358" s="2">
        <v>11</v>
      </c>
      <c r="S358" s="2">
        <v>211612.4</v>
      </c>
      <c r="T358" s="38" t="s">
        <v>2879</v>
      </c>
      <c r="U358" s="13"/>
    </row>
    <row r="359" spans="1:21" x14ac:dyDescent="0.3">
      <c r="A359" s="2" t="s">
        <v>2375</v>
      </c>
      <c r="B359" s="2" t="s">
        <v>1093</v>
      </c>
      <c r="C359" s="2">
        <v>45</v>
      </c>
      <c r="D359" s="2" t="s">
        <v>72</v>
      </c>
      <c r="E359" s="2">
        <v>119462</v>
      </c>
      <c r="F359" s="2">
        <v>1000000</v>
      </c>
      <c r="G359" s="2">
        <v>24</v>
      </c>
      <c r="H359" s="2">
        <v>21.3</v>
      </c>
      <c r="I359" s="2" t="s">
        <v>22</v>
      </c>
      <c r="J359" s="2">
        <v>577</v>
      </c>
      <c r="K359" s="30">
        <v>44359</v>
      </c>
      <c r="L359" s="30" t="s">
        <v>1788</v>
      </c>
      <c r="M359" s="2" t="s">
        <v>24</v>
      </c>
      <c r="N359" s="2">
        <v>51533.120000000003</v>
      </c>
      <c r="O359" s="2" t="s">
        <v>54</v>
      </c>
      <c r="P359" s="2" t="s">
        <v>99</v>
      </c>
      <c r="Q359" s="2" t="s">
        <v>100</v>
      </c>
      <c r="R359" s="2">
        <v>11</v>
      </c>
      <c r="S359" s="2">
        <v>211543.26</v>
      </c>
      <c r="T359" s="38" t="s">
        <v>2875</v>
      </c>
      <c r="U359" s="13"/>
    </row>
    <row r="360" spans="1:21" x14ac:dyDescent="0.3">
      <c r="A360" s="3" t="s">
        <v>43</v>
      </c>
      <c r="B360" s="3" t="s">
        <v>44</v>
      </c>
      <c r="C360" s="3">
        <v>62</v>
      </c>
      <c r="D360" s="3" t="s">
        <v>45</v>
      </c>
      <c r="E360" s="3">
        <v>247115</v>
      </c>
      <c r="F360" s="3">
        <v>250000</v>
      </c>
      <c r="G360" s="3">
        <v>48</v>
      </c>
      <c r="H360" s="3">
        <v>17.72</v>
      </c>
      <c r="I360" s="3" t="s">
        <v>46</v>
      </c>
      <c r="J360" s="3">
        <v>533</v>
      </c>
      <c r="K360" s="29">
        <v>44975</v>
      </c>
      <c r="L360" s="29" t="s">
        <v>47</v>
      </c>
      <c r="M360" s="3" t="s">
        <v>24</v>
      </c>
      <c r="N360" s="3">
        <v>7307.22</v>
      </c>
      <c r="O360" s="3" t="s">
        <v>48</v>
      </c>
      <c r="P360" s="3" t="s">
        <v>49</v>
      </c>
      <c r="Q360" s="3" t="s">
        <v>27</v>
      </c>
      <c r="R360" s="3">
        <v>0</v>
      </c>
      <c r="S360" s="3">
        <v>210541.01</v>
      </c>
      <c r="T360" s="38" t="s">
        <v>2879</v>
      </c>
      <c r="U360" s="13"/>
    </row>
    <row r="361" spans="1:21" x14ac:dyDescent="0.3">
      <c r="A361" s="3" t="s">
        <v>258</v>
      </c>
      <c r="B361" s="3" t="s">
        <v>259</v>
      </c>
      <c r="C361" s="3">
        <v>27</v>
      </c>
      <c r="D361" s="3" t="s">
        <v>30</v>
      </c>
      <c r="E361" s="3">
        <v>46051</v>
      </c>
      <c r="F361" s="3">
        <v>500000</v>
      </c>
      <c r="G361" s="3">
        <v>120</v>
      </c>
      <c r="H361" s="3">
        <v>16.29</v>
      </c>
      <c r="I361" s="3" t="s">
        <v>83</v>
      </c>
      <c r="J361" s="3">
        <v>835</v>
      </c>
      <c r="K361" s="29">
        <v>45075</v>
      </c>
      <c r="L361" s="29" t="s">
        <v>261</v>
      </c>
      <c r="M361" s="3" t="s">
        <v>24</v>
      </c>
      <c r="N361" s="3">
        <v>8466.24</v>
      </c>
      <c r="O361" s="3" t="s">
        <v>60</v>
      </c>
      <c r="P361" s="3" t="s">
        <v>2997</v>
      </c>
      <c r="Q361" s="3" t="s">
        <v>100</v>
      </c>
      <c r="R361" s="3">
        <v>7</v>
      </c>
      <c r="S361" s="3">
        <v>210454.59</v>
      </c>
      <c r="T361" s="38" t="s">
        <v>2867</v>
      </c>
      <c r="U361" s="13"/>
    </row>
    <row r="362" spans="1:21" x14ac:dyDescent="0.3">
      <c r="A362" s="2" t="s">
        <v>2068</v>
      </c>
      <c r="B362" s="2" t="s">
        <v>2069</v>
      </c>
      <c r="C362" s="2">
        <v>65</v>
      </c>
      <c r="D362" s="2" t="s">
        <v>65</v>
      </c>
      <c r="E362" s="2">
        <v>98304</v>
      </c>
      <c r="F362" s="2">
        <v>250000</v>
      </c>
      <c r="G362" s="2">
        <v>48</v>
      </c>
      <c r="H362" s="2">
        <v>10.36</v>
      </c>
      <c r="I362" s="2" t="s">
        <v>31</v>
      </c>
      <c r="J362" s="2">
        <v>810</v>
      </c>
      <c r="K362" s="30">
        <v>44451</v>
      </c>
      <c r="L362" s="30" t="s">
        <v>133</v>
      </c>
      <c r="M362" s="2" t="s">
        <v>24</v>
      </c>
      <c r="N362" s="2">
        <v>6383.96</v>
      </c>
      <c r="O362" s="2" t="s">
        <v>25</v>
      </c>
      <c r="P362" s="2" t="s">
        <v>151</v>
      </c>
      <c r="Q362" s="2" t="s">
        <v>42</v>
      </c>
      <c r="R362" s="2">
        <v>1</v>
      </c>
      <c r="S362" s="2">
        <v>209781.05</v>
      </c>
      <c r="T362" s="38" t="s">
        <v>2867</v>
      </c>
      <c r="U362" s="13"/>
    </row>
    <row r="363" spans="1:21" x14ac:dyDescent="0.3">
      <c r="A363" s="3" t="s">
        <v>2108</v>
      </c>
      <c r="B363" s="3" t="s">
        <v>2109</v>
      </c>
      <c r="C363" s="3">
        <v>64</v>
      </c>
      <c r="D363" s="3" t="s">
        <v>30</v>
      </c>
      <c r="E363" s="3">
        <v>108636</v>
      </c>
      <c r="F363" s="3">
        <v>400000</v>
      </c>
      <c r="G363" s="3">
        <v>12</v>
      </c>
      <c r="H363" s="3">
        <v>11.04</v>
      </c>
      <c r="I363" s="3" t="s">
        <v>73</v>
      </c>
      <c r="J363" s="3">
        <v>668</v>
      </c>
      <c r="K363" s="29">
        <v>44418</v>
      </c>
      <c r="L363" s="29" t="s">
        <v>1315</v>
      </c>
      <c r="M363" s="3" t="s">
        <v>24</v>
      </c>
      <c r="N363" s="3">
        <v>35360.129999999997</v>
      </c>
      <c r="O363" s="3" t="s">
        <v>105</v>
      </c>
      <c r="P363" s="3" t="s">
        <v>114</v>
      </c>
      <c r="Q363" s="3" t="s">
        <v>35</v>
      </c>
      <c r="R363" s="3">
        <v>3</v>
      </c>
      <c r="S363" s="3">
        <v>209055.3</v>
      </c>
      <c r="T363" s="38" t="s">
        <v>2871</v>
      </c>
      <c r="U363" s="13"/>
    </row>
    <row r="364" spans="1:21" x14ac:dyDescent="0.3">
      <c r="A364" s="2" t="s">
        <v>1676</v>
      </c>
      <c r="B364" s="2" t="s">
        <v>1513</v>
      </c>
      <c r="C364" s="2">
        <v>47</v>
      </c>
      <c r="D364" s="2" t="s">
        <v>45</v>
      </c>
      <c r="E364" s="2">
        <v>26792</v>
      </c>
      <c r="F364" s="2">
        <v>400000</v>
      </c>
      <c r="G364" s="2">
        <v>12</v>
      </c>
      <c r="H364" s="2">
        <v>12.43</v>
      </c>
      <c r="I364" s="2" t="s">
        <v>251</v>
      </c>
      <c r="J364" s="2">
        <v>724</v>
      </c>
      <c r="K364" s="30">
        <v>44723</v>
      </c>
      <c r="L364" s="30" t="s">
        <v>1677</v>
      </c>
      <c r="M364" s="2" t="s">
        <v>24</v>
      </c>
      <c r="N364" s="2">
        <v>35620.03</v>
      </c>
      <c r="O364" s="2" t="s">
        <v>25</v>
      </c>
      <c r="P364" s="2" t="s">
        <v>123</v>
      </c>
      <c r="Q364" s="2" t="s">
        <v>42</v>
      </c>
      <c r="R364" s="2">
        <v>1</v>
      </c>
      <c r="S364" s="2">
        <v>207651.84</v>
      </c>
      <c r="T364" s="38" t="s">
        <v>2871</v>
      </c>
      <c r="U364" s="13"/>
    </row>
    <row r="365" spans="1:21" x14ac:dyDescent="0.3">
      <c r="A365" s="3" t="s">
        <v>2602</v>
      </c>
      <c r="B365" s="3" t="s">
        <v>2603</v>
      </c>
      <c r="C365" s="3">
        <v>35</v>
      </c>
      <c r="D365" s="3" t="s">
        <v>30</v>
      </c>
      <c r="E365" s="3">
        <v>167761</v>
      </c>
      <c r="F365" s="3">
        <v>400000</v>
      </c>
      <c r="G365" s="3">
        <v>12</v>
      </c>
      <c r="H365" s="3">
        <v>12.57</v>
      </c>
      <c r="I365" s="3" t="s">
        <v>22</v>
      </c>
      <c r="J365" s="3">
        <v>895</v>
      </c>
      <c r="K365" s="29">
        <v>44632</v>
      </c>
      <c r="L365" s="29" t="s">
        <v>619</v>
      </c>
      <c r="M365" s="3" t="s">
        <v>33</v>
      </c>
      <c r="N365" s="3">
        <v>35646.26</v>
      </c>
      <c r="O365" s="3" t="s">
        <v>48</v>
      </c>
      <c r="P365" s="3" t="s">
        <v>375</v>
      </c>
      <c r="Q365" s="3" t="s">
        <v>27</v>
      </c>
      <c r="R365" s="3">
        <v>0</v>
      </c>
      <c r="S365" s="3">
        <v>207510.2</v>
      </c>
      <c r="T365" s="38" t="s">
        <v>2867</v>
      </c>
      <c r="U365" s="13"/>
    </row>
    <row r="366" spans="1:21" x14ac:dyDescent="0.3">
      <c r="A366" s="2" t="s">
        <v>179</v>
      </c>
      <c r="B366" s="2" t="s">
        <v>180</v>
      </c>
      <c r="C366" s="2">
        <v>65</v>
      </c>
      <c r="D366" s="2" t="s">
        <v>30</v>
      </c>
      <c r="E366" s="2">
        <v>149001</v>
      </c>
      <c r="F366" s="2">
        <v>400000</v>
      </c>
      <c r="G366" s="2">
        <v>36</v>
      </c>
      <c r="H366" s="2">
        <v>17.05</v>
      </c>
      <c r="I366" s="2" t="s">
        <v>66</v>
      </c>
      <c r="J366" s="2">
        <v>827</v>
      </c>
      <c r="K366" s="30">
        <v>44832</v>
      </c>
      <c r="L366" s="30" t="s">
        <v>182</v>
      </c>
      <c r="M366" s="2" t="s">
        <v>24</v>
      </c>
      <c r="N366" s="2">
        <v>14271.05</v>
      </c>
      <c r="O366" s="2" t="s">
        <v>54</v>
      </c>
      <c r="P366" s="2" t="s">
        <v>183</v>
      </c>
      <c r="Q366" s="2" t="s">
        <v>35</v>
      </c>
      <c r="R366" s="2">
        <v>1</v>
      </c>
      <c r="S366" s="2">
        <v>207340.82</v>
      </c>
      <c r="T366" s="38" t="s">
        <v>2867</v>
      </c>
      <c r="U366" s="13"/>
    </row>
    <row r="367" spans="1:21" x14ac:dyDescent="0.3">
      <c r="A367" s="3" t="s">
        <v>301</v>
      </c>
      <c r="B367" s="3" t="s">
        <v>302</v>
      </c>
      <c r="C367" s="3">
        <v>63</v>
      </c>
      <c r="D367" s="3" t="s">
        <v>72</v>
      </c>
      <c r="E367" s="3">
        <v>238285</v>
      </c>
      <c r="F367" s="3">
        <v>250000</v>
      </c>
      <c r="G367" s="3">
        <v>240</v>
      </c>
      <c r="H367" s="3">
        <v>13.01</v>
      </c>
      <c r="I367" s="3" t="s">
        <v>38</v>
      </c>
      <c r="J367" s="3">
        <v>799</v>
      </c>
      <c r="K367" s="29">
        <v>44677</v>
      </c>
      <c r="L367" s="29" t="s">
        <v>303</v>
      </c>
      <c r="M367" s="3" t="s">
        <v>122</v>
      </c>
      <c r="N367" s="3">
        <v>2930.72</v>
      </c>
      <c r="O367" s="3" t="s">
        <v>54</v>
      </c>
      <c r="P367" s="3" t="s">
        <v>304</v>
      </c>
      <c r="Q367" s="3" t="s">
        <v>42</v>
      </c>
      <c r="R367" s="3">
        <v>2</v>
      </c>
      <c r="S367" s="3">
        <v>205159.98</v>
      </c>
      <c r="T367" s="38" t="s">
        <v>2867</v>
      </c>
      <c r="U367" s="13"/>
    </row>
    <row r="368" spans="1:21" x14ac:dyDescent="0.3">
      <c r="A368" s="3" t="s">
        <v>2026</v>
      </c>
      <c r="B368" s="3" t="s">
        <v>1498</v>
      </c>
      <c r="C368" s="3">
        <v>31</v>
      </c>
      <c r="D368" s="3" t="s">
        <v>65</v>
      </c>
      <c r="E368" s="3">
        <v>241571</v>
      </c>
      <c r="F368" s="3">
        <v>250000</v>
      </c>
      <c r="G368" s="3">
        <v>24</v>
      </c>
      <c r="H368" s="3">
        <v>18.98</v>
      </c>
      <c r="I368" s="3" t="s">
        <v>73</v>
      </c>
      <c r="J368" s="3">
        <v>569</v>
      </c>
      <c r="K368" s="29">
        <v>45117</v>
      </c>
      <c r="L368" s="29" t="s">
        <v>365</v>
      </c>
      <c r="M368" s="3" t="s">
        <v>24</v>
      </c>
      <c r="N368" s="3">
        <v>12599.73</v>
      </c>
      <c r="O368" s="3" t="s">
        <v>54</v>
      </c>
      <c r="P368" s="3" t="s">
        <v>304</v>
      </c>
      <c r="Q368" s="3" t="s">
        <v>35</v>
      </c>
      <c r="R368" s="3">
        <v>7</v>
      </c>
      <c r="S368" s="3">
        <v>204640.97</v>
      </c>
      <c r="T368" s="38" t="s">
        <v>2875</v>
      </c>
      <c r="U368" s="13"/>
    </row>
    <row r="369" spans="1:21" x14ac:dyDescent="0.3">
      <c r="A369" s="3" t="s">
        <v>2563</v>
      </c>
      <c r="B369" s="3" t="s">
        <v>2564</v>
      </c>
      <c r="C369" s="3">
        <v>60</v>
      </c>
      <c r="D369" s="3" t="s">
        <v>65</v>
      </c>
      <c r="E369" s="3">
        <v>147816</v>
      </c>
      <c r="F369" s="3">
        <v>1000000</v>
      </c>
      <c r="G369" s="3">
        <v>60</v>
      </c>
      <c r="H369" s="3">
        <v>10.66</v>
      </c>
      <c r="I369" s="3" t="s">
        <v>66</v>
      </c>
      <c r="J369" s="3">
        <v>653</v>
      </c>
      <c r="K369" s="29">
        <v>44712</v>
      </c>
      <c r="L369" s="29" t="s">
        <v>943</v>
      </c>
      <c r="M369" s="3" t="s">
        <v>24</v>
      </c>
      <c r="N369" s="3">
        <v>21573.25</v>
      </c>
      <c r="O369" s="3" t="s">
        <v>105</v>
      </c>
      <c r="P369" s="3" t="s">
        <v>2999</v>
      </c>
      <c r="Q369" s="3" t="s">
        <v>35</v>
      </c>
      <c r="R369" s="3">
        <v>0</v>
      </c>
      <c r="S369" s="3">
        <v>203947.07</v>
      </c>
      <c r="T369" s="38" t="s">
        <v>2871</v>
      </c>
      <c r="U369" s="13"/>
    </row>
    <row r="370" spans="1:21" x14ac:dyDescent="0.3">
      <c r="A370" s="3" t="s">
        <v>1732</v>
      </c>
      <c r="B370" s="3" t="s">
        <v>1733</v>
      </c>
      <c r="C370" s="3">
        <v>37</v>
      </c>
      <c r="D370" s="3" t="s">
        <v>65</v>
      </c>
      <c r="E370" s="3">
        <v>207567</v>
      </c>
      <c r="F370" s="3">
        <v>2000000</v>
      </c>
      <c r="G370" s="3">
        <v>84</v>
      </c>
      <c r="H370" s="3">
        <v>19.21</v>
      </c>
      <c r="I370" s="3" t="s">
        <v>73</v>
      </c>
      <c r="J370" s="3">
        <v>510</v>
      </c>
      <c r="K370" s="29">
        <v>44217</v>
      </c>
      <c r="L370" s="29" t="s">
        <v>1734</v>
      </c>
      <c r="M370" s="3" t="s">
        <v>24</v>
      </c>
      <c r="N370" s="3">
        <v>43465.96</v>
      </c>
      <c r="O370" s="3" t="s">
        <v>60</v>
      </c>
      <c r="P370" s="3" t="s">
        <v>192</v>
      </c>
      <c r="Q370" s="3" t="s">
        <v>27</v>
      </c>
      <c r="R370" s="3">
        <v>0</v>
      </c>
      <c r="S370" s="3">
        <v>200509.26</v>
      </c>
      <c r="T370" s="38" t="s">
        <v>2879</v>
      </c>
      <c r="U370" s="13"/>
    </row>
    <row r="371" spans="1:21" x14ac:dyDescent="0.3">
      <c r="A371" s="3" t="s">
        <v>749</v>
      </c>
      <c r="B371" s="3" t="s">
        <v>750</v>
      </c>
      <c r="C371" s="3">
        <v>28</v>
      </c>
      <c r="D371" s="3" t="s">
        <v>21</v>
      </c>
      <c r="E371" s="3">
        <v>111354</v>
      </c>
      <c r="F371" s="3">
        <v>200000</v>
      </c>
      <c r="G371" s="3">
        <v>36</v>
      </c>
      <c r="H371" s="3">
        <v>13.05</v>
      </c>
      <c r="I371" s="3" t="s">
        <v>251</v>
      </c>
      <c r="J371" s="3">
        <v>446</v>
      </c>
      <c r="K371" s="29">
        <v>44533</v>
      </c>
      <c r="L371" s="29" t="s">
        <v>751</v>
      </c>
      <c r="M371" s="3" t="s">
        <v>24</v>
      </c>
      <c r="N371" s="3">
        <v>6743.61</v>
      </c>
      <c r="O371" s="3" t="s">
        <v>25</v>
      </c>
      <c r="P371" s="3" t="s">
        <v>123</v>
      </c>
      <c r="Q371" s="3" t="s">
        <v>27</v>
      </c>
      <c r="R371" s="3">
        <v>2</v>
      </c>
      <c r="S371" s="3">
        <v>200000</v>
      </c>
      <c r="T371" s="38" t="s">
        <v>2879</v>
      </c>
      <c r="U371" s="13"/>
    </row>
    <row r="372" spans="1:21" x14ac:dyDescent="0.3">
      <c r="A372" s="2" t="s">
        <v>1130</v>
      </c>
      <c r="B372" s="2" t="s">
        <v>1131</v>
      </c>
      <c r="C372" s="2">
        <v>48</v>
      </c>
      <c r="D372" s="2" t="s">
        <v>21</v>
      </c>
      <c r="E372" s="2">
        <v>55820</v>
      </c>
      <c r="F372" s="2">
        <v>200000</v>
      </c>
      <c r="G372" s="2">
        <v>12</v>
      </c>
      <c r="H372" s="2">
        <v>7.5</v>
      </c>
      <c r="I372" s="2" t="s">
        <v>251</v>
      </c>
      <c r="J372" s="2">
        <v>652</v>
      </c>
      <c r="K372" s="30">
        <v>45204</v>
      </c>
      <c r="L372" s="30" t="s">
        <v>1132</v>
      </c>
      <c r="M372" s="2" t="s">
        <v>33</v>
      </c>
      <c r="N372" s="2">
        <v>17351.48</v>
      </c>
      <c r="O372" s="2" t="s">
        <v>48</v>
      </c>
      <c r="P372" s="2" t="s">
        <v>80</v>
      </c>
      <c r="Q372" s="2" t="s">
        <v>42</v>
      </c>
      <c r="R372" s="2">
        <v>2</v>
      </c>
      <c r="S372" s="2">
        <v>200000</v>
      </c>
      <c r="T372" s="38" t="s">
        <v>2871</v>
      </c>
      <c r="U372" s="13"/>
    </row>
    <row r="373" spans="1:21" x14ac:dyDescent="0.3">
      <c r="A373" s="3" t="s">
        <v>2692</v>
      </c>
      <c r="B373" s="3" t="s">
        <v>2693</v>
      </c>
      <c r="C373" s="3">
        <v>26</v>
      </c>
      <c r="D373" s="3" t="s">
        <v>45</v>
      </c>
      <c r="E373" s="3">
        <v>111338</v>
      </c>
      <c r="F373" s="3">
        <v>200000</v>
      </c>
      <c r="G373" s="3">
        <v>24</v>
      </c>
      <c r="H373" s="3">
        <v>16.260000000000002</v>
      </c>
      <c r="I373" s="3" t="s">
        <v>73</v>
      </c>
      <c r="J373" s="3">
        <v>691</v>
      </c>
      <c r="K373" s="29">
        <v>44841</v>
      </c>
      <c r="L373" s="29" t="s">
        <v>1163</v>
      </c>
      <c r="M373" s="3" t="s">
        <v>24</v>
      </c>
      <c r="N373" s="3">
        <v>9817.49</v>
      </c>
      <c r="O373" s="3" t="s">
        <v>60</v>
      </c>
      <c r="P373" s="3" t="s">
        <v>61</v>
      </c>
      <c r="Q373" s="3" t="s">
        <v>27</v>
      </c>
      <c r="R373" s="3">
        <v>1</v>
      </c>
      <c r="S373" s="3">
        <v>200000</v>
      </c>
      <c r="T373" s="38" t="s">
        <v>2871</v>
      </c>
      <c r="U373" s="13"/>
    </row>
    <row r="374" spans="1:21" x14ac:dyDescent="0.3">
      <c r="A374" s="2" t="s">
        <v>398</v>
      </c>
      <c r="B374" s="2" t="s">
        <v>399</v>
      </c>
      <c r="C374" s="2">
        <v>37</v>
      </c>
      <c r="D374" s="2" t="s">
        <v>65</v>
      </c>
      <c r="E374" s="2">
        <v>169369</v>
      </c>
      <c r="F374" s="2">
        <v>300000</v>
      </c>
      <c r="G374" s="2">
        <v>240</v>
      </c>
      <c r="H374" s="2">
        <v>8.64</v>
      </c>
      <c r="I374" s="2" t="s">
        <v>66</v>
      </c>
      <c r="J374" s="2">
        <v>647</v>
      </c>
      <c r="K374" s="30">
        <v>44353</v>
      </c>
      <c r="L374" s="30" t="s">
        <v>400</v>
      </c>
      <c r="M374" s="2" t="s">
        <v>33</v>
      </c>
      <c r="N374" s="2">
        <v>2630.11</v>
      </c>
      <c r="O374" s="2" t="s">
        <v>105</v>
      </c>
      <c r="P374" s="2" t="s">
        <v>130</v>
      </c>
      <c r="Q374" s="2" t="s">
        <v>35</v>
      </c>
      <c r="R374" s="2">
        <v>12</v>
      </c>
      <c r="S374" s="2">
        <v>198214.74</v>
      </c>
      <c r="T374" s="38" t="s">
        <v>2875</v>
      </c>
      <c r="U374" s="13"/>
    </row>
    <row r="375" spans="1:21" x14ac:dyDescent="0.3">
      <c r="A375" s="2" t="s">
        <v>1705</v>
      </c>
      <c r="B375" s="2" t="s">
        <v>1706</v>
      </c>
      <c r="C375" s="2">
        <v>22</v>
      </c>
      <c r="D375" s="2" t="s">
        <v>30</v>
      </c>
      <c r="E375" s="2">
        <v>230252</v>
      </c>
      <c r="F375" s="2">
        <v>1000000</v>
      </c>
      <c r="G375" s="2">
        <v>120</v>
      </c>
      <c r="H375" s="2">
        <v>9.11</v>
      </c>
      <c r="I375" s="2" t="s">
        <v>66</v>
      </c>
      <c r="J375" s="2">
        <v>882</v>
      </c>
      <c r="K375" s="30">
        <v>44593</v>
      </c>
      <c r="L375" s="30" t="s">
        <v>1707</v>
      </c>
      <c r="M375" s="2" t="s">
        <v>24</v>
      </c>
      <c r="N375" s="2">
        <v>12727.19</v>
      </c>
      <c r="O375" s="2" t="s">
        <v>54</v>
      </c>
      <c r="P375" s="2" t="s">
        <v>164</v>
      </c>
      <c r="Q375" s="2" t="s">
        <v>27</v>
      </c>
      <c r="R375" s="2">
        <v>0</v>
      </c>
      <c r="S375" s="2">
        <v>198187.03</v>
      </c>
      <c r="T375" s="38" t="s">
        <v>2867</v>
      </c>
      <c r="U375" s="13"/>
    </row>
    <row r="376" spans="1:21" x14ac:dyDescent="0.3">
      <c r="A376" s="3" t="s">
        <v>2571</v>
      </c>
      <c r="B376" s="3" t="s">
        <v>2572</v>
      </c>
      <c r="C376" s="3">
        <v>32</v>
      </c>
      <c r="D376" s="3" t="s">
        <v>21</v>
      </c>
      <c r="E376" s="3">
        <v>232521</v>
      </c>
      <c r="F376" s="3">
        <v>500000</v>
      </c>
      <c r="G376" s="3">
        <v>60</v>
      </c>
      <c r="H376" s="3">
        <v>10.8</v>
      </c>
      <c r="I376" s="3" t="s">
        <v>31</v>
      </c>
      <c r="J376" s="3">
        <v>811</v>
      </c>
      <c r="K376" s="29">
        <v>44319</v>
      </c>
      <c r="L376" s="29" t="s">
        <v>2573</v>
      </c>
      <c r="M376" s="3" t="s">
        <v>24</v>
      </c>
      <c r="N376" s="3">
        <v>10821.41</v>
      </c>
      <c r="O376" s="3" t="s">
        <v>60</v>
      </c>
      <c r="P376" s="3" t="s">
        <v>2997</v>
      </c>
      <c r="Q376" s="3" t="s">
        <v>42</v>
      </c>
      <c r="R376" s="3">
        <v>0</v>
      </c>
      <c r="S376" s="3">
        <v>198082.66</v>
      </c>
      <c r="T376" s="38" t="s">
        <v>2867</v>
      </c>
      <c r="U376" s="13"/>
    </row>
    <row r="377" spans="1:21" x14ac:dyDescent="0.3">
      <c r="A377" s="2" t="s">
        <v>2762</v>
      </c>
      <c r="B377" s="2" t="s">
        <v>2540</v>
      </c>
      <c r="C377" s="2">
        <v>34</v>
      </c>
      <c r="D377" s="2" t="s">
        <v>45</v>
      </c>
      <c r="E377" s="2">
        <v>91731</v>
      </c>
      <c r="F377" s="2">
        <v>250000</v>
      </c>
      <c r="G377" s="2">
        <v>36</v>
      </c>
      <c r="H377" s="2">
        <v>13.37</v>
      </c>
      <c r="I377" s="2" t="s">
        <v>73</v>
      </c>
      <c r="J377" s="2">
        <v>892</v>
      </c>
      <c r="K377" s="30">
        <v>45057</v>
      </c>
      <c r="L377" s="30" t="s">
        <v>1597</v>
      </c>
      <c r="M377" s="2" t="s">
        <v>24</v>
      </c>
      <c r="N377" s="2">
        <v>8468.11</v>
      </c>
      <c r="O377" s="2" t="s">
        <v>48</v>
      </c>
      <c r="P377" s="2" t="s">
        <v>199</v>
      </c>
      <c r="Q377" s="2" t="s">
        <v>42</v>
      </c>
      <c r="R377" s="2">
        <v>0</v>
      </c>
      <c r="S377" s="2">
        <v>196650.91</v>
      </c>
      <c r="T377" s="38" t="s">
        <v>2867</v>
      </c>
      <c r="U377" s="13"/>
    </row>
    <row r="378" spans="1:21" x14ac:dyDescent="0.3">
      <c r="A378" s="2" t="s">
        <v>1301</v>
      </c>
      <c r="B378" s="2" t="s">
        <v>1302</v>
      </c>
      <c r="C378" s="2">
        <v>35</v>
      </c>
      <c r="D378" s="2" t="s">
        <v>45</v>
      </c>
      <c r="E378" s="2">
        <v>106833</v>
      </c>
      <c r="F378" s="2">
        <v>500000</v>
      </c>
      <c r="G378" s="2">
        <v>84</v>
      </c>
      <c r="H378" s="2">
        <v>11.43</v>
      </c>
      <c r="I378" s="2" t="s">
        <v>66</v>
      </c>
      <c r="J378" s="2">
        <v>887</v>
      </c>
      <c r="K378" s="30">
        <v>44890</v>
      </c>
      <c r="L378" s="30" t="s">
        <v>1303</v>
      </c>
      <c r="M378" s="2" t="s">
        <v>24</v>
      </c>
      <c r="N378" s="2">
        <v>8674.68</v>
      </c>
      <c r="O378" s="2" t="s">
        <v>105</v>
      </c>
      <c r="P378" s="2" t="s">
        <v>159</v>
      </c>
      <c r="Q378" s="2" t="s">
        <v>42</v>
      </c>
      <c r="R378" s="2">
        <v>0</v>
      </c>
      <c r="S378" s="2">
        <v>195518.73</v>
      </c>
      <c r="T378" s="38" t="s">
        <v>2867</v>
      </c>
      <c r="U378" s="13"/>
    </row>
    <row r="379" spans="1:21" x14ac:dyDescent="0.3">
      <c r="A379" s="2" t="s">
        <v>1453</v>
      </c>
      <c r="B379" s="2" t="s">
        <v>1454</v>
      </c>
      <c r="C379" s="2">
        <v>48</v>
      </c>
      <c r="D379" s="2" t="s">
        <v>30</v>
      </c>
      <c r="E379" s="2">
        <v>234024</v>
      </c>
      <c r="F379" s="2">
        <v>750000</v>
      </c>
      <c r="G379" s="2">
        <v>24</v>
      </c>
      <c r="H379" s="2">
        <v>9.58</v>
      </c>
      <c r="I379" s="2" t="s">
        <v>66</v>
      </c>
      <c r="J379" s="2">
        <v>786</v>
      </c>
      <c r="K379" s="30">
        <v>44966</v>
      </c>
      <c r="L379" s="30" t="s">
        <v>839</v>
      </c>
      <c r="M379" s="2" t="s">
        <v>24</v>
      </c>
      <c r="N379" s="2">
        <v>34463.49</v>
      </c>
      <c r="O379" s="2" t="s">
        <v>54</v>
      </c>
      <c r="P379" s="2" t="s">
        <v>183</v>
      </c>
      <c r="Q379" s="2" t="s">
        <v>42</v>
      </c>
      <c r="R379" s="2">
        <v>0</v>
      </c>
      <c r="S379" s="2">
        <v>191691.46</v>
      </c>
      <c r="T379" s="38" t="s">
        <v>2867</v>
      </c>
      <c r="U379" s="13"/>
    </row>
    <row r="380" spans="1:21" x14ac:dyDescent="0.3">
      <c r="A380" s="3" t="s">
        <v>1219</v>
      </c>
      <c r="B380" s="3" t="s">
        <v>1220</v>
      </c>
      <c r="C380" s="3">
        <v>40</v>
      </c>
      <c r="D380" s="3" t="s">
        <v>65</v>
      </c>
      <c r="E380" s="3">
        <v>75599</v>
      </c>
      <c r="F380" s="3">
        <v>300000</v>
      </c>
      <c r="G380" s="3">
        <v>240</v>
      </c>
      <c r="H380" s="3">
        <v>21.66</v>
      </c>
      <c r="I380" s="3" t="s">
        <v>22</v>
      </c>
      <c r="J380" s="3">
        <v>623</v>
      </c>
      <c r="K380" s="29">
        <v>44578</v>
      </c>
      <c r="L380" s="29" t="s">
        <v>614</v>
      </c>
      <c r="M380" s="3" t="s">
        <v>24</v>
      </c>
      <c r="N380" s="3">
        <v>5489.99</v>
      </c>
      <c r="O380" s="3" t="s">
        <v>60</v>
      </c>
      <c r="P380" s="3" t="s">
        <v>69</v>
      </c>
      <c r="Q380" s="3" t="s">
        <v>100</v>
      </c>
      <c r="R380" s="3">
        <v>8</v>
      </c>
      <c r="S380" s="3">
        <v>191298.2</v>
      </c>
      <c r="T380" s="38" t="s">
        <v>2875</v>
      </c>
      <c r="U380" s="13"/>
    </row>
    <row r="381" spans="1:21" x14ac:dyDescent="0.3">
      <c r="A381" s="2" t="s">
        <v>1170</v>
      </c>
      <c r="B381" s="2" t="s">
        <v>1171</v>
      </c>
      <c r="C381" s="2">
        <v>61</v>
      </c>
      <c r="D381" s="2" t="s">
        <v>21</v>
      </c>
      <c r="E381" s="2">
        <v>99567</v>
      </c>
      <c r="F381" s="2">
        <v>300000</v>
      </c>
      <c r="G381" s="2">
        <v>84</v>
      </c>
      <c r="H381" s="2">
        <v>9.1</v>
      </c>
      <c r="I381" s="2" t="s">
        <v>22</v>
      </c>
      <c r="J381" s="2">
        <v>344</v>
      </c>
      <c r="K381" s="30">
        <v>44416</v>
      </c>
      <c r="L381" s="30" t="s">
        <v>1172</v>
      </c>
      <c r="M381" s="2" t="s">
        <v>33</v>
      </c>
      <c r="N381" s="2">
        <v>4841.96</v>
      </c>
      <c r="O381" s="2" t="s">
        <v>105</v>
      </c>
      <c r="P381" s="2" t="s">
        <v>159</v>
      </c>
      <c r="Q381" s="2" t="s">
        <v>62</v>
      </c>
      <c r="R381" s="2">
        <v>0</v>
      </c>
      <c r="S381" s="2">
        <v>191055.9</v>
      </c>
      <c r="T381" s="38" t="s">
        <v>2879</v>
      </c>
      <c r="U381" s="13"/>
    </row>
    <row r="382" spans="1:21" x14ac:dyDescent="0.3">
      <c r="A382" s="3" t="s">
        <v>1549</v>
      </c>
      <c r="B382" s="3" t="s">
        <v>1550</v>
      </c>
      <c r="C382" s="3">
        <v>28</v>
      </c>
      <c r="D382" s="3" t="s">
        <v>30</v>
      </c>
      <c r="E382" s="3">
        <v>198102</v>
      </c>
      <c r="F382" s="3">
        <v>200000</v>
      </c>
      <c r="G382" s="3">
        <v>240</v>
      </c>
      <c r="H382" s="3">
        <v>8.4600000000000009</v>
      </c>
      <c r="I382" s="3" t="s">
        <v>73</v>
      </c>
      <c r="J382" s="3">
        <v>860</v>
      </c>
      <c r="K382" s="29">
        <v>44303</v>
      </c>
      <c r="L382" s="29" t="s">
        <v>811</v>
      </c>
      <c r="M382" s="3" t="s">
        <v>33</v>
      </c>
      <c r="N382" s="3">
        <v>1730.59</v>
      </c>
      <c r="O382" s="3" t="s">
        <v>48</v>
      </c>
      <c r="P382" s="3" t="s">
        <v>80</v>
      </c>
      <c r="Q382" s="3" t="s">
        <v>27</v>
      </c>
      <c r="R382" s="3">
        <v>2</v>
      </c>
      <c r="S382" s="3">
        <v>189097.28</v>
      </c>
      <c r="T382" s="38" t="s">
        <v>2867</v>
      </c>
      <c r="U382" s="13"/>
    </row>
    <row r="383" spans="1:21" x14ac:dyDescent="0.3">
      <c r="A383" s="3" t="s">
        <v>2452</v>
      </c>
      <c r="B383" s="3" t="s">
        <v>2337</v>
      </c>
      <c r="C383" s="3">
        <v>65</v>
      </c>
      <c r="D383" s="3" t="s">
        <v>21</v>
      </c>
      <c r="E383" s="3">
        <v>214382</v>
      </c>
      <c r="F383" s="3">
        <v>250000</v>
      </c>
      <c r="G383" s="3">
        <v>12</v>
      </c>
      <c r="H383" s="3">
        <v>16.73</v>
      </c>
      <c r="I383" s="3" t="s">
        <v>66</v>
      </c>
      <c r="J383" s="3">
        <v>836</v>
      </c>
      <c r="K383" s="29">
        <v>45094</v>
      </c>
      <c r="L383" s="29" t="s">
        <v>1675</v>
      </c>
      <c r="M383" s="3" t="s">
        <v>33</v>
      </c>
      <c r="N383" s="3">
        <v>22769.17</v>
      </c>
      <c r="O383" s="3" t="s">
        <v>25</v>
      </c>
      <c r="P383" s="3" t="s">
        <v>123</v>
      </c>
      <c r="Q383" s="3" t="s">
        <v>42</v>
      </c>
      <c r="R383" s="3">
        <v>1</v>
      </c>
      <c r="S383" s="3">
        <v>188523.24</v>
      </c>
      <c r="T383" s="38" t="s">
        <v>2867</v>
      </c>
      <c r="U383" s="13"/>
    </row>
    <row r="384" spans="1:21" x14ac:dyDescent="0.3">
      <c r="A384" s="3" t="s">
        <v>2418</v>
      </c>
      <c r="B384" s="3" t="s">
        <v>2419</v>
      </c>
      <c r="C384" s="3">
        <v>27</v>
      </c>
      <c r="D384" s="3" t="s">
        <v>45</v>
      </c>
      <c r="E384" s="3">
        <v>109334</v>
      </c>
      <c r="F384" s="3">
        <v>400000</v>
      </c>
      <c r="G384" s="3">
        <v>60</v>
      </c>
      <c r="H384" s="3">
        <v>14.88</v>
      </c>
      <c r="I384" s="3" t="s">
        <v>31</v>
      </c>
      <c r="J384" s="3">
        <v>316</v>
      </c>
      <c r="K384" s="29">
        <v>44401</v>
      </c>
      <c r="L384" s="29" t="s">
        <v>2420</v>
      </c>
      <c r="M384" s="3" t="s">
        <v>24</v>
      </c>
      <c r="N384" s="3">
        <v>9490.7900000000009</v>
      </c>
      <c r="O384" s="3" t="s">
        <v>25</v>
      </c>
      <c r="P384" s="3" t="s">
        <v>2998</v>
      </c>
      <c r="Q384" s="3" t="s">
        <v>42</v>
      </c>
      <c r="R384" s="3">
        <v>1</v>
      </c>
      <c r="S384" s="3">
        <v>186457.22</v>
      </c>
      <c r="T384" s="38" t="s">
        <v>2879</v>
      </c>
      <c r="U384" s="13"/>
    </row>
    <row r="385" spans="1:21" x14ac:dyDescent="0.3">
      <c r="A385" s="2" t="s">
        <v>957</v>
      </c>
      <c r="B385" s="2" t="s">
        <v>958</v>
      </c>
      <c r="C385" s="2">
        <v>28</v>
      </c>
      <c r="D385" s="2" t="s">
        <v>30</v>
      </c>
      <c r="E385" s="2"/>
      <c r="F385" s="2">
        <v>250000</v>
      </c>
      <c r="G385" s="2">
        <v>84</v>
      </c>
      <c r="H385" s="2">
        <v>19.53</v>
      </c>
      <c r="I385" s="2" t="s">
        <v>66</v>
      </c>
      <c r="J385" s="2">
        <v>860</v>
      </c>
      <c r="K385" s="30">
        <v>44290</v>
      </c>
      <c r="L385" s="30" t="s">
        <v>959</v>
      </c>
      <c r="M385" s="2" t="s">
        <v>24</v>
      </c>
      <c r="N385" s="2">
        <v>5481.02</v>
      </c>
      <c r="O385" s="2" t="s">
        <v>54</v>
      </c>
      <c r="P385" s="2" t="s">
        <v>183</v>
      </c>
      <c r="Q385" s="2" t="s">
        <v>42</v>
      </c>
      <c r="R385" s="2">
        <v>2</v>
      </c>
      <c r="S385" s="2">
        <v>185872.07</v>
      </c>
      <c r="T385" s="38" t="s">
        <v>2867</v>
      </c>
      <c r="U385" s="13"/>
    </row>
    <row r="386" spans="1:21" x14ac:dyDescent="0.3">
      <c r="A386" s="3" t="s">
        <v>1113</v>
      </c>
      <c r="B386" s="3" t="s">
        <v>1114</v>
      </c>
      <c r="C386" s="3">
        <v>29</v>
      </c>
      <c r="D386" s="3" t="s">
        <v>21</v>
      </c>
      <c r="E386" s="3">
        <v>242375</v>
      </c>
      <c r="F386" s="3">
        <v>1000000</v>
      </c>
      <c r="G386" s="3">
        <v>48</v>
      </c>
      <c r="H386" s="3">
        <v>15.86</v>
      </c>
      <c r="I386" s="3" t="s">
        <v>251</v>
      </c>
      <c r="J386" s="3">
        <v>591</v>
      </c>
      <c r="K386" s="29">
        <v>45195</v>
      </c>
      <c r="L386" s="29" t="s">
        <v>1115</v>
      </c>
      <c r="M386" s="3" t="s">
        <v>24</v>
      </c>
      <c r="N386" s="3">
        <v>28268.63</v>
      </c>
      <c r="O386" s="3" t="s">
        <v>48</v>
      </c>
      <c r="P386" s="3" t="s">
        <v>199</v>
      </c>
      <c r="Q386" s="3" t="s">
        <v>62</v>
      </c>
      <c r="R386" s="3">
        <v>2</v>
      </c>
      <c r="S386" s="3">
        <v>185863.46</v>
      </c>
      <c r="T386" s="38" t="s">
        <v>2875</v>
      </c>
      <c r="U386" s="13"/>
    </row>
    <row r="387" spans="1:21" x14ac:dyDescent="0.3">
      <c r="A387" s="3" t="s">
        <v>1812</v>
      </c>
      <c r="B387" s="3" t="s">
        <v>1813</v>
      </c>
      <c r="C387" s="3">
        <v>32</v>
      </c>
      <c r="D387" s="3" t="s">
        <v>30</v>
      </c>
      <c r="E387" s="3">
        <v>79205</v>
      </c>
      <c r="F387" s="3">
        <v>300000</v>
      </c>
      <c r="G387" s="3">
        <v>36</v>
      </c>
      <c r="H387" s="3">
        <v>16.28</v>
      </c>
      <c r="I387" s="3" t="s">
        <v>66</v>
      </c>
      <c r="J387" s="3">
        <v>592</v>
      </c>
      <c r="K387" s="29">
        <v>44753</v>
      </c>
      <c r="L387" s="29" t="s">
        <v>1814</v>
      </c>
      <c r="M387" s="3" t="s">
        <v>24</v>
      </c>
      <c r="N387" s="3">
        <v>10588.63</v>
      </c>
      <c r="O387" s="3" t="s">
        <v>54</v>
      </c>
      <c r="P387" s="3" t="s">
        <v>164</v>
      </c>
      <c r="Q387" s="3" t="s">
        <v>42</v>
      </c>
      <c r="R387" s="3">
        <v>2</v>
      </c>
      <c r="S387" s="3">
        <v>185642.8</v>
      </c>
      <c r="T387" s="38" t="s">
        <v>2875</v>
      </c>
      <c r="U387" s="13"/>
    </row>
    <row r="388" spans="1:21" x14ac:dyDescent="0.3">
      <c r="A388" s="3" t="s">
        <v>1663</v>
      </c>
      <c r="B388" s="3" t="s">
        <v>1664</v>
      </c>
      <c r="C388" s="3">
        <v>25</v>
      </c>
      <c r="D388" s="3" t="s">
        <v>21</v>
      </c>
      <c r="E388" s="3">
        <v>248061</v>
      </c>
      <c r="F388" s="3">
        <v>200000</v>
      </c>
      <c r="G388" s="3">
        <v>48</v>
      </c>
      <c r="H388" s="3">
        <v>10.15</v>
      </c>
      <c r="I388" s="3" t="s">
        <v>31</v>
      </c>
      <c r="J388" s="3">
        <v>302</v>
      </c>
      <c r="K388" s="29">
        <v>44288</v>
      </c>
      <c r="L388" s="29" t="s">
        <v>1057</v>
      </c>
      <c r="M388" s="3" t="s">
        <v>33</v>
      </c>
      <c r="N388" s="3">
        <v>5086.9399999999996</v>
      </c>
      <c r="O388" s="3" t="s">
        <v>25</v>
      </c>
      <c r="P388" s="3" t="s">
        <v>123</v>
      </c>
      <c r="Q388" s="3" t="s">
        <v>100</v>
      </c>
      <c r="R388" s="3">
        <v>5</v>
      </c>
      <c r="S388" s="3">
        <v>181687.02</v>
      </c>
      <c r="T388" s="38" t="s">
        <v>2879</v>
      </c>
      <c r="U388" s="13"/>
    </row>
    <row r="389" spans="1:21" x14ac:dyDescent="0.3">
      <c r="A389" s="2" t="s">
        <v>2073</v>
      </c>
      <c r="B389" s="2" t="s">
        <v>1349</v>
      </c>
      <c r="C389" s="2">
        <v>63</v>
      </c>
      <c r="D389" s="2" t="s">
        <v>72</v>
      </c>
      <c r="E389" s="2">
        <v>33206</v>
      </c>
      <c r="F389" s="2">
        <v>400000</v>
      </c>
      <c r="G389" s="2">
        <v>24</v>
      </c>
      <c r="H389" s="2">
        <v>19.53</v>
      </c>
      <c r="I389" s="2" t="s">
        <v>73</v>
      </c>
      <c r="J389" s="2">
        <v>608</v>
      </c>
      <c r="K389" s="30">
        <v>44360</v>
      </c>
      <c r="L389" s="30" t="s">
        <v>560</v>
      </c>
      <c r="M389" s="2" t="s">
        <v>24</v>
      </c>
      <c r="N389" s="2">
        <v>20266.599999999999</v>
      </c>
      <c r="O389" s="2" t="s">
        <v>48</v>
      </c>
      <c r="P389" s="2" t="s">
        <v>199</v>
      </c>
      <c r="Q389" s="2" t="s">
        <v>42</v>
      </c>
      <c r="R389" s="2">
        <v>1</v>
      </c>
      <c r="S389" s="2">
        <v>181120.72</v>
      </c>
      <c r="T389" s="38" t="s">
        <v>2875</v>
      </c>
      <c r="U389" s="13"/>
    </row>
    <row r="390" spans="1:21" x14ac:dyDescent="0.3">
      <c r="A390" s="3" t="s">
        <v>236</v>
      </c>
      <c r="B390" s="3" t="s">
        <v>237</v>
      </c>
      <c r="C390" s="3">
        <v>43</v>
      </c>
      <c r="D390" s="3" t="s">
        <v>21</v>
      </c>
      <c r="E390" s="3">
        <v>245770</v>
      </c>
      <c r="F390" s="3">
        <v>750000</v>
      </c>
      <c r="G390" s="3">
        <v>60</v>
      </c>
      <c r="H390" s="3">
        <v>15.56</v>
      </c>
      <c r="I390" s="3" t="s">
        <v>83</v>
      </c>
      <c r="J390" s="3">
        <v>387</v>
      </c>
      <c r="K390" s="29">
        <v>44689</v>
      </c>
      <c r="L390" s="29" t="s">
        <v>239</v>
      </c>
      <c r="M390" s="3" t="s">
        <v>33</v>
      </c>
      <c r="N390" s="3">
        <v>18063.669999999998</v>
      </c>
      <c r="O390" s="3" t="s">
        <v>105</v>
      </c>
      <c r="P390" s="3" t="s">
        <v>118</v>
      </c>
      <c r="Q390" s="3" t="s">
        <v>42</v>
      </c>
      <c r="R390" s="3">
        <v>1</v>
      </c>
      <c r="S390" s="3">
        <v>180994.4</v>
      </c>
      <c r="T390" s="38" t="s">
        <v>2879</v>
      </c>
      <c r="U390" s="13"/>
    </row>
    <row r="391" spans="1:21" x14ac:dyDescent="0.3">
      <c r="A391" s="3" t="s">
        <v>2535</v>
      </c>
      <c r="B391" s="3" t="s">
        <v>927</v>
      </c>
      <c r="C391" s="3">
        <v>64</v>
      </c>
      <c r="D391" s="3" t="s">
        <v>45</v>
      </c>
      <c r="E391" s="3">
        <v>110267</v>
      </c>
      <c r="F391" s="3">
        <v>400000</v>
      </c>
      <c r="G391" s="3">
        <v>240</v>
      </c>
      <c r="H391" s="3">
        <v>20.010000000000002</v>
      </c>
      <c r="I391" s="3" t="s">
        <v>73</v>
      </c>
      <c r="J391" s="3">
        <v>683</v>
      </c>
      <c r="K391" s="29">
        <v>45160</v>
      </c>
      <c r="L391" s="29" t="s">
        <v>1411</v>
      </c>
      <c r="M391" s="3" t="s">
        <v>33</v>
      </c>
      <c r="N391" s="3">
        <v>6798.44</v>
      </c>
      <c r="O391" s="3" t="s">
        <v>48</v>
      </c>
      <c r="P391" s="3" t="s">
        <v>86</v>
      </c>
      <c r="Q391" s="3" t="s">
        <v>35</v>
      </c>
      <c r="R391" s="3">
        <v>6</v>
      </c>
      <c r="S391" s="3">
        <v>179730.54</v>
      </c>
      <c r="T391" s="38" t="s">
        <v>2871</v>
      </c>
      <c r="U391" s="13"/>
    </row>
    <row r="392" spans="1:21" x14ac:dyDescent="0.3">
      <c r="A392" s="2" t="s">
        <v>992</v>
      </c>
      <c r="B392" s="2" t="s">
        <v>993</v>
      </c>
      <c r="C392" s="2">
        <v>55</v>
      </c>
      <c r="D392" s="2" t="s">
        <v>72</v>
      </c>
      <c r="E392" s="2">
        <v>221112</v>
      </c>
      <c r="F392" s="2">
        <v>500000</v>
      </c>
      <c r="G392" s="2">
        <v>36</v>
      </c>
      <c r="H392" s="2">
        <v>13.53</v>
      </c>
      <c r="I392" s="2" t="s">
        <v>73</v>
      </c>
      <c r="J392" s="2">
        <v>394</v>
      </c>
      <c r="K392" s="30">
        <v>44875</v>
      </c>
      <c r="L392" s="30" t="s">
        <v>994</v>
      </c>
      <c r="M392" s="2" t="s">
        <v>24</v>
      </c>
      <c r="N392" s="2">
        <v>16974.900000000001</v>
      </c>
      <c r="O392" s="2" t="s">
        <v>48</v>
      </c>
      <c r="P392" s="2" t="s">
        <v>86</v>
      </c>
      <c r="Q392" s="2" t="s">
        <v>42</v>
      </c>
      <c r="R392" s="2">
        <v>0</v>
      </c>
      <c r="S392" s="2">
        <v>179174.39</v>
      </c>
      <c r="T392" s="38" t="s">
        <v>2879</v>
      </c>
      <c r="U392" s="13"/>
    </row>
    <row r="393" spans="1:21" x14ac:dyDescent="0.3">
      <c r="A393" s="3" t="s">
        <v>738</v>
      </c>
      <c r="B393" s="3" t="s">
        <v>2060</v>
      </c>
      <c r="C393" s="3">
        <v>39</v>
      </c>
      <c r="D393" s="3" t="s">
        <v>21</v>
      </c>
      <c r="E393" s="3">
        <v>232145</v>
      </c>
      <c r="F393" s="3">
        <v>200000</v>
      </c>
      <c r="G393" s="3">
        <v>84</v>
      </c>
      <c r="H393" s="3">
        <v>15.44</v>
      </c>
      <c r="I393" s="3" t="s">
        <v>251</v>
      </c>
      <c r="J393" s="3">
        <v>879</v>
      </c>
      <c r="K393" s="29">
        <v>44291</v>
      </c>
      <c r="L393" s="29" t="s">
        <v>740</v>
      </c>
      <c r="M393" s="3" t="s">
        <v>24</v>
      </c>
      <c r="N393" s="3">
        <v>3908.89</v>
      </c>
      <c r="O393" s="3" t="s">
        <v>60</v>
      </c>
      <c r="P393" s="3" t="s">
        <v>61</v>
      </c>
      <c r="Q393" s="3" t="s">
        <v>100</v>
      </c>
      <c r="R393" s="3">
        <v>10</v>
      </c>
      <c r="S393" s="3">
        <v>178891.99</v>
      </c>
      <c r="T393" s="38" t="s">
        <v>2867</v>
      </c>
      <c r="U393" s="13"/>
    </row>
    <row r="394" spans="1:21" x14ac:dyDescent="0.3">
      <c r="A394" s="2" t="s">
        <v>2719</v>
      </c>
      <c r="B394" s="2" t="s">
        <v>1203</v>
      </c>
      <c r="C394" s="2">
        <v>48</v>
      </c>
      <c r="D394" s="2" t="s">
        <v>30</v>
      </c>
      <c r="E394" s="2">
        <v>223209</v>
      </c>
      <c r="F394" s="2">
        <v>200000</v>
      </c>
      <c r="G394" s="2">
        <v>84</v>
      </c>
      <c r="H394" s="2">
        <v>10.55</v>
      </c>
      <c r="I394" s="2" t="s">
        <v>31</v>
      </c>
      <c r="J394" s="2">
        <v>452</v>
      </c>
      <c r="K394" s="30">
        <v>44438</v>
      </c>
      <c r="L394" s="30" t="s">
        <v>389</v>
      </c>
      <c r="M394" s="2" t="s">
        <v>24</v>
      </c>
      <c r="N394" s="2">
        <v>3377.35</v>
      </c>
      <c r="O394" s="2" t="s">
        <v>105</v>
      </c>
      <c r="P394" s="2" t="s">
        <v>114</v>
      </c>
      <c r="Q394" s="2" t="s">
        <v>42</v>
      </c>
      <c r="R394" s="2">
        <v>0</v>
      </c>
      <c r="S394" s="2">
        <v>178722.7</v>
      </c>
      <c r="T394" s="38" t="s">
        <v>2879</v>
      </c>
      <c r="U394" s="13"/>
    </row>
    <row r="395" spans="1:21" x14ac:dyDescent="0.3">
      <c r="A395" s="2" t="s">
        <v>1517</v>
      </c>
      <c r="B395" s="2" t="s">
        <v>1131</v>
      </c>
      <c r="C395" s="2">
        <v>49</v>
      </c>
      <c r="D395" s="2" t="s">
        <v>30</v>
      </c>
      <c r="E395" s="2">
        <v>145272</v>
      </c>
      <c r="F395" s="2">
        <v>1000000</v>
      </c>
      <c r="G395" s="2">
        <v>24</v>
      </c>
      <c r="H395" s="2">
        <v>19.690000000000001</v>
      </c>
      <c r="I395" s="2" t="s">
        <v>83</v>
      </c>
      <c r="J395" s="2">
        <v>594</v>
      </c>
      <c r="K395" s="30">
        <v>45020</v>
      </c>
      <c r="L395" s="30" t="s">
        <v>1518</v>
      </c>
      <c r="M395" s="2" t="s">
        <v>24</v>
      </c>
      <c r="N395" s="2">
        <v>50744.49</v>
      </c>
      <c r="O395" s="2" t="s">
        <v>48</v>
      </c>
      <c r="P395" s="2" t="s">
        <v>49</v>
      </c>
      <c r="Q395" s="2" t="s">
        <v>35</v>
      </c>
      <c r="R395" s="2">
        <v>4</v>
      </c>
      <c r="S395" s="2">
        <v>177939.26</v>
      </c>
      <c r="T395" s="38" t="s">
        <v>2875</v>
      </c>
      <c r="U395" s="13"/>
    </row>
    <row r="396" spans="1:21" x14ac:dyDescent="0.3">
      <c r="A396" s="3" t="s">
        <v>1395</v>
      </c>
      <c r="B396" s="3" t="s">
        <v>1396</v>
      </c>
      <c r="C396" s="3">
        <v>62</v>
      </c>
      <c r="D396" s="3" t="s">
        <v>21</v>
      </c>
      <c r="E396" s="3">
        <v>106187</v>
      </c>
      <c r="F396" s="3">
        <v>300000</v>
      </c>
      <c r="G396" s="3">
        <v>12</v>
      </c>
      <c r="H396" s="3">
        <v>15.59</v>
      </c>
      <c r="I396" s="3" t="s">
        <v>83</v>
      </c>
      <c r="J396" s="3">
        <v>420</v>
      </c>
      <c r="K396" s="29">
        <v>45236</v>
      </c>
      <c r="L396" s="29" t="s">
        <v>1016</v>
      </c>
      <c r="M396" s="3" t="s">
        <v>24</v>
      </c>
      <c r="N396" s="3">
        <v>27161.09</v>
      </c>
      <c r="O396" s="3" t="s">
        <v>54</v>
      </c>
      <c r="P396" s="3" t="s">
        <v>304</v>
      </c>
      <c r="Q396" s="3" t="s">
        <v>42</v>
      </c>
      <c r="R396" s="3">
        <v>2</v>
      </c>
      <c r="S396" s="3">
        <v>177775.09</v>
      </c>
      <c r="T396" s="38" t="s">
        <v>2879</v>
      </c>
      <c r="U396" s="13"/>
    </row>
    <row r="397" spans="1:21" x14ac:dyDescent="0.3">
      <c r="A397" s="2" t="s">
        <v>2710</v>
      </c>
      <c r="B397" s="2" t="s">
        <v>909</v>
      </c>
      <c r="C397" s="2">
        <v>49</v>
      </c>
      <c r="D397" s="2" t="s">
        <v>21</v>
      </c>
      <c r="E397" s="2">
        <v>123586</v>
      </c>
      <c r="F397" s="2">
        <v>400000</v>
      </c>
      <c r="G397" s="2">
        <v>12</v>
      </c>
      <c r="H397" s="2">
        <v>12.34</v>
      </c>
      <c r="I397" s="2" t="s">
        <v>38</v>
      </c>
      <c r="J397" s="2">
        <v>421</v>
      </c>
      <c r="K397" s="30">
        <v>45008</v>
      </c>
      <c r="L397" s="30" t="s">
        <v>1415</v>
      </c>
      <c r="M397" s="2" t="s">
        <v>33</v>
      </c>
      <c r="N397" s="2">
        <v>35603.17</v>
      </c>
      <c r="O397" s="2" t="s">
        <v>48</v>
      </c>
      <c r="P397" s="2" t="s">
        <v>86</v>
      </c>
      <c r="Q397" s="2" t="s">
        <v>42</v>
      </c>
      <c r="R397" s="2">
        <v>1</v>
      </c>
      <c r="S397" s="2">
        <v>175700.03</v>
      </c>
      <c r="T397" s="38" t="s">
        <v>2879</v>
      </c>
      <c r="U397" s="13"/>
    </row>
    <row r="398" spans="1:21" x14ac:dyDescent="0.3">
      <c r="A398" s="3" t="s">
        <v>781</v>
      </c>
      <c r="B398" s="3" t="s">
        <v>782</v>
      </c>
      <c r="C398" s="3">
        <v>42</v>
      </c>
      <c r="D398" s="3" t="s">
        <v>72</v>
      </c>
      <c r="E398" s="3">
        <v>159989</v>
      </c>
      <c r="F398" s="3">
        <v>400000</v>
      </c>
      <c r="G398" s="3">
        <v>12</v>
      </c>
      <c r="H398" s="3">
        <v>12.85</v>
      </c>
      <c r="I398" s="3" t="s">
        <v>66</v>
      </c>
      <c r="J398" s="3">
        <v>877</v>
      </c>
      <c r="K398" s="29">
        <v>44951</v>
      </c>
      <c r="L398" s="29" t="s">
        <v>39</v>
      </c>
      <c r="M398" s="3" t="s">
        <v>24</v>
      </c>
      <c r="N398" s="3">
        <v>35698.769999999997</v>
      </c>
      <c r="O398" s="3" t="s">
        <v>48</v>
      </c>
      <c r="P398" s="3" t="s">
        <v>375</v>
      </c>
      <c r="Q398" s="3" t="s">
        <v>35</v>
      </c>
      <c r="R398" s="3">
        <v>3</v>
      </c>
      <c r="S398" s="3">
        <v>175097.75</v>
      </c>
      <c r="T398" s="38" t="s">
        <v>2867</v>
      </c>
      <c r="U398" s="13"/>
    </row>
    <row r="399" spans="1:21" x14ac:dyDescent="0.3">
      <c r="A399" s="2" t="s">
        <v>2776</v>
      </c>
      <c r="B399" s="2" t="s">
        <v>2777</v>
      </c>
      <c r="C399" s="2">
        <v>39</v>
      </c>
      <c r="D399" s="2" t="s">
        <v>21</v>
      </c>
      <c r="E399" s="2">
        <v>151846</v>
      </c>
      <c r="F399" s="2">
        <v>200000</v>
      </c>
      <c r="G399" s="2">
        <v>24</v>
      </c>
      <c r="H399" s="2">
        <v>11.44</v>
      </c>
      <c r="I399" s="2" t="s">
        <v>66</v>
      </c>
      <c r="J399" s="2">
        <v>713</v>
      </c>
      <c r="K399" s="30">
        <v>44691</v>
      </c>
      <c r="L399" s="30" t="s">
        <v>194</v>
      </c>
      <c r="M399" s="2" t="s">
        <v>24</v>
      </c>
      <c r="N399" s="2">
        <v>9362.48</v>
      </c>
      <c r="O399" s="2" t="s">
        <v>25</v>
      </c>
      <c r="P399" s="2" t="s">
        <v>26</v>
      </c>
      <c r="Q399" s="2" t="s">
        <v>42</v>
      </c>
      <c r="R399" s="2">
        <v>2</v>
      </c>
      <c r="S399" s="2">
        <v>174721.3</v>
      </c>
      <c r="T399" s="38" t="s">
        <v>2871</v>
      </c>
      <c r="U399" s="13"/>
    </row>
    <row r="400" spans="1:21" x14ac:dyDescent="0.3">
      <c r="A400" s="2" t="s">
        <v>1160</v>
      </c>
      <c r="B400" s="2" t="s">
        <v>552</v>
      </c>
      <c r="C400" s="2">
        <v>56</v>
      </c>
      <c r="D400" s="2" t="s">
        <v>72</v>
      </c>
      <c r="E400" s="2">
        <v>47984</v>
      </c>
      <c r="F400" s="2">
        <v>400000</v>
      </c>
      <c r="G400" s="2">
        <v>48</v>
      </c>
      <c r="H400" s="2">
        <v>12.09</v>
      </c>
      <c r="I400" s="2" t="s">
        <v>38</v>
      </c>
      <c r="J400" s="2">
        <v>749</v>
      </c>
      <c r="K400" s="30">
        <v>44930</v>
      </c>
      <c r="L400" s="30" t="s">
        <v>416</v>
      </c>
      <c r="M400" s="2" t="s">
        <v>24</v>
      </c>
      <c r="N400" s="2">
        <v>10551.22</v>
      </c>
      <c r="O400" s="2" t="s">
        <v>105</v>
      </c>
      <c r="P400" s="2" t="s">
        <v>114</v>
      </c>
      <c r="Q400" s="2" t="s">
        <v>35</v>
      </c>
      <c r="R400" s="2">
        <v>11</v>
      </c>
      <c r="S400" s="2">
        <v>172093.65</v>
      </c>
      <c r="T400" s="38" t="s">
        <v>2871</v>
      </c>
      <c r="U400" s="13"/>
    </row>
    <row r="401" spans="1:21" x14ac:dyDescent="0.3">
      <c r="A401" s="3" t="s">
        <v>2731</v>
      </c>
      <c r="B401" s="3" t="s">
        <v>2732</v>
      </c>
      <c r="C401" s="3">
        <v>40</v>
      </c>
      <c r="D401" s="3" t="s">
        <v>21</v>
      </c>
      <c r="E401" s="3">
        <v>19696</v>
      </c>
      <c r="F401" s="3">
        <v>300000</v>
      </c>
      <c r="G401" s="3">
        <v>24</v>
      </c>
      <c r="H401" s="3">
        <v>14.38</v>
      </c>
      <c r="I401" s="3" t="s">
        <v>73</v>
      </c>
      <c r="J401" s="3">
        <v>774</v>
      </c>
      <c r="K401" s="29">
        <v>44653</v>
      </c>
      <c r="L401" s="29" t="s">
        <v>931</v>
      </c>
      <c r="M401" s="3" t="s">
        <v>24</v>
      </c>
      <c r="N401" s="3">
        <v>14457.78</v>
      </c>
      <c r="O401" s="3" t="s">
        <v>54</v>
      </c>
      <c r="P401" s="3" t="s">
        <v>99</v>
      </c>
      <c r="Q401" s="3" t="s">
        <v>62</v>
      </c>
      <c r="R401" s="3">
        <v>0</v>
      </c>
      <c r="S401" s="3">
        <v>169879.98</v>
      </c>
      <c r="T401" s="38" t="s">
        <v>2867</v>
      </c>
      <c r="U401" s="13"/>
    </row>
    <row r="402" spans="1:21" x14ac:dyDescent="0.3">
      <c r="A402" s="2" t="s">
        <v>2736</v>
      </c>
      <c r="B402" s="2" t="s">
        <v>1031</v>
      </c>
      <c r="C402" s="2">
        <v>56</v>
      </c>
      <c r="D402" s="2" t="s">
        <v>45</v>
      </c>
      <c r="E402" s="2">
        <v>90381</v>
      </c>
      <c r="F402" s="2">
        <v>2000000</v>
      </c>
      <c r="G402" s="2">
        <v>24</v>
      </c>
      <c r="H402" s="2">
        <v>19.899999999999999</v>
      </c>
      <c r="I402" s="2" t="s">
        <v>73</v>
      </c>
      <c r="J402" s="2">
        <v>874</v>
      </c>
      <c r="K402" s="30">
        <v>44607</v>
      </c>
      <c r="L402" s="30" t="s">
        <v>1473</v>
      </c>
      <c r="M402" s="2" t="s">
        <v>24</v>
      </c>
      <c r="N402" s="2">
        <v>101693.93</v>
      </c>
      <c r="O402" s="2" t="s">
        <v>48</v>
      </c>
      <c r="P402" s="2" t="s">
        <v>86</v>
      </c>
      <c r="Q402" s="2" t="s">
        <v>42</v>
      </c>
      <c r="R402" s="2">
        <v>2</v>
      </c>
      <c r="S402" s="2">
        <v>169509.26</v>
      </c>
      <c r="T402" s="38" t="s">
        <v>2867</v>
      </c>
      <c r="U402" s="13"/>
    </row>
    <row r="403" spans="1:21" x14ac:dyDescent="0.3">
      <c r="A403" s="3" t="s">
        <v>1359</v>
      </c>
      <c r="B403" s="3" t="s">
        <v>1360</v>
      </c>
      <c r="C403" s="3">
        <v>42</v>
      </c>
      <c r="D403" s="3" t="s">
        <v>45</v>
      </c>
      <c r="E403" s="3">
        <v>17772</v>
      </c>
      <c r="F403" s="3">
        <v>1000000</v>
      </c>
      <c r="G403" s="3">
        <v>12</v>
      </c>
      <c r="H403" s="3">
        <v>19.559999999999999</v>
      </c>
      <c r="I403" s="3" t="s">
        <v>46</v>
      </c>
      <c r="J403" s="3">
        <v>721</v>
      </c>
      <c r="K403" s="29">
        <v>45110</v>
      </c>
      <c r="L403" s="29" t="s">
        <v>1361</v>
      </c>
      <c r="M403" s="3" t="s">
        <v>24</v>
      </c>
      <c r="N403" s="3">
        <v>92424.05</v>
      </c>
      <c r="O403" s="3" t="s">
        <v>25</v>
      </c>
      <c r="P403" s="3" t="s">
        <v>123</v>
      </c>
      <c r="Q403" s="3" t="s">
        <v>42</v>
      </c>
      <c r="R403" s="3">
        <v>0</v>
      </c>
      <c r="S403" s="3">
        <v>168183.55</v>
      </c>
      <c r="T403" s="38" t="s">
        <v>2871</v>
      </c>
      <c r="U403" s="13"/>
    </row>
    <row r="404" spans="1:21" x14ac:dyDescent="0.3">
      <c r="A404" s="3" t="s">
        <v>2750</v>
      </c>
      <c r="B404" s="3" t="s">
        <v>2751</v>
      </c>
      <c r="C404" s="3">
        <v>45</v>
      </c>
      <c r="D404" s="3" t="s">
        <v>72</v>
      </c>
      <c r="E404" s="3">
        <v>39944</v>
      </c>
      <c r="F404" s="3">
        <v>200000</v>
      </c>
      <c r="G404" s="3">
        <v>84</v>
      </c>
      <c r="H404" s="3">
        <v>12.12</v>
      </c>
      <c r="I404" s="3" t="s">
        <v>22</v>
      </c>
      <c r="J404" s="3">
        <v>487</v>
      </c>
      <c r="K404" s="29">
        <v>44671</v>
      </c>
      <c r="L404" s="29" t="s">
        <v>2752</v>
      </c>
      <c r="M404" s="3" t="s">
        <v>24</v>
      </c>
      <c r="N404" s="3">
        <v>3543.39</v>
      </c>
      <c r="O404" s="3" t="s">
        <v>54</v>
      </c>
      <c r="P404" s="3" t="s">
        <v>2996</v>
      </c>
      <c r="Q404" s="3" t="s">
        <v>42</v>
      </c>
      <c r="R404" s="3">
        <v>2</v>
      </c>
      <c r="S404" s="3">
        <v>168109.49</v>
      </c>
      <c r="T404" s="38" t="s">
        <v>2879</v>
      </c>
      <c r="U404" s="13"/>
    </row>
    <row r="405" spans="1:21" x14ac:dyDescent="0.3">
      <c r="A405" s="2" t="s">
        <v>1710</v>
      </c>
      <c r="B405" s="2" t="s">
        <v>316</v>
      </c>
      <c r="C405" s="2">
        <v>22</v>
      </c>
      <c r="D405" s="2" t="s">
        <v>65</v>
      </c>
      <c r="E405" s="2">
        <v>183025</v>
      </c>
      <c r="F405" s="2">
        <v>1000000</v>
      </c>
      <c r="G405" s="2">
        <v>12</v>
      </c>
      <c r="H405" s="2">
        <v>19.88</v>
      </c>
      <c r="I405" s="2" t="s">
        <v>38</v>
      </c>
      <c r="J405" s="2">
        <v>742</v>
      </c>
      <c r="K405" s="30">
        <v>45258</v>
      </c>
      <c r="L405" s="30" t="s">
        <v>1214</v>
      </c>
      <c r="M405" s="2" t="s">
        <v>33</v>
      </c>
      <c r="N405" s="2">
        <v>92577.08</v>
      </c>
      <c r="O405" s="2" t="s">
        <v>60</v>
      </c>
      <c r="P405" s="2" t="s">
        <v>61</v>
      </c>
      <c r="Q405" s="2" t="s">
        <v>42</v>
      </c>
      <c r="R405" s="2">
        <v>0</v>
      </c>
      <c r="S405" s="2">
        <v>166806.28</v>
      </c>
      <c r="T405" s="38" t="s">
        <v>2871</v>
      </c>
      <c r="U405" s="13"/>
    </row>
    <row r="406" spans="1:21" x14ac:dyDescent="0.3">
      <c r="A406" s="2" t="s">
        <v>219</v>
      </c>
      <c r="B406" s="2" t="s">
        <v>220</v>
      </c>
      <c r="C406" s="2">
        <v>37</v>
      </c>
      <c r="D406" s="2" t="s">
        <v>30</v>
      </c>
      <c r="E406" s="2">
        <v>139141</v>
      </c>
      <c r="F406" s="2">
        <v>1000000</v>
      </c>
      <c r="G406" s="2">
        <v>24</v>
      </c>
      <c r="H406" s="2">
        <v>15.68</v>
      </c>
      <c r="I406" s="2" t="s">
        <v>83</v>
      </c>
      <c r="J406" s="2">
        <v>776</v>
      </c>
      <c r="K406" s="30">
        <v>44431</v>
      </c>
      <c r="L406" s="30" t="s">
        <v>221</v>
      </c>
      <c r="M406" s="2" t="s">
        <v>24</v>
      </c>
      <c r="N406" s="2">
        <v>48810.35</v>
      </c>
      <c r="O406" s="2" t="s">
        <v>48</v>
      </c>
      <c r="P406" s="2" t="s">
        <v>199</v>
      </c>
      <c r="Q406" s="2" t="s">
        <v>42</v>
      </c>
      <c r="R406" s="2">
        <v>0</v>
      </c>
      <c r="S406" s="2">
        <v>165343.01999999999</v>
      </c>
      <c r="T406" s="38" t="s">
        <v>2867</v>
      </c>
      <c r="U406" s="13"/>
    </row>
    <row r="407" spans="1:21" x14ac:dyDescent="0.3">
      <c r="A407" s="3" t="s">
        <v>2407</v>
      </c>
      <c r="B407" s="3" t="s">
        <v>976</v>
      </c>
      <c r="C407" s="3">
        <v>54</v>
      </c>
      <c r="D407" s="3" t="s">
        <v>21</v>
      </c>
      <c r="E407" s="3">
        <v>19247</v>
      </c>
      <c r="F407" s="3">
        <v>750000</v>
      </c>
      <c r="G407" s="3">
        <v>120</v>
      </c>
      <c r="H407" s="3">
        <v>21.94</v>
      </c>
      <c r="I407" s="3" t="s">
        <v>38</v>
      </c>
      <c r="J407" s="3">
        <v>851</v>
      </c>
      <c r="K407" s="29">
        <v>44334</v>
      </c>
      <c r="L407" s="29" t="s">
        <v>2074</v>
      </c>
      <c r="M407" s="3"/>
      <c r="N407" s="3">
        <v>15471.64</v>
      </c>
      <c r="O407" s="3" t="s">
        <v>60</v>
      </c>
      <c r="P407" s="3" t="s">
        <v>61</v>
      </c>
      <c r="Q407" s="3" t="s">
        <v>100</v>
      </c>
      <c r="R407" s="3">
        <v>9</v>
      </c>
      <c r="S407" s="3">
        <v>165172.01</v>
      </c>
      <c r="T407" s="38" t="s">
        <v>2867</v>
      </c>
      <c r="U407" s="13"/>
    </row>
    <row r="408" spans="1:21" x14ac:dyDescent="0.3">
      <c r="A408" s="2" t="s">
        <v>77</v>
      </c>
      <c r="B408" s="2" t="s">
        <v>78</v>
      </c>
      <c r="C408" s="2">
        <v>65</v>
      </c>
      <c r="D408" s="2" t="s">
        <v>72</v>
      </c>
      <c r="E408" s="2">
        <v>193706</v>
      </c>
      <c r="F408" s="2">
        <v>500000</v>
      </c>
      <c r="G408" s="2">
        <v>60</v>
      </c>
      <c r="H408" s="2">
        <v>18.64</v>
      </c>
      <c r="I408" s="2" t="s">
        <v>38</v>
      </c>
      <c r="J408" s="2">
        <v>414</v>
      </c>
      <c r="K408" s="30">
        <v>44203</v>
      </c>
      <c r="L408" s="30" t="s">
        <v>79</v>
      </c>
      <c r="M408" s="2" t="s">
        <v>24</v>
      </c>
      <c r="N408" s="2">
        <v>12871.43</v>
      </c>
      <c r="O408" s="2" t="s">
        <v>48</v>
      </c>
      <c r="P408" s="2" t="s">
        <v>80</v>
      </c>
      <c r="Q408" s="2" t="s">
        <v>35</v>
      </c>
      <c r="R408" s="2">
        <v>2</v>
      </c>
      <c r="S408" s="2">
        <v>164055.67999999999</v>
      </c>
      <c r="T408" s="38" t="s">
        <v>2879</v>
      </c>
      <c r="U408" s="13"/>
    </row>
    <row r="409" spans="1:21" x14ac:dyDescent="0.3">
      <c r="A409" s="2" t="s">
        <v>2674</v>
      </c>
      <c r="B409" s="2" t="s">
        <v>132</v>
      </c>
      <c r="C409" s="2">
        <v>49</v>
      </c>
      <c r="D409" s="2" t="s">
        <v>45</v>
      </c>
      <c r="E409" s="2">
        <v>240678</v>
      </c>
      <c r="F409" s="2">
        <v>750000</v>
      </c>
      <c r="G409" s="2">
        <v>120</v>
      </c>
      <c r="H409" s="2">
        <v>13.97</v>
      </c>
      <c r="I409" s="2" t="s">
        <v>83</v>
      </c>
      <c r="J409" s="2">
        <v>402</v>
      </c>
      <c r="K409" s="30">
        <v>45103</v>
      </c>
      <c r="L409" s="30" t="s">
        <v>1306</v>
      </c>
      <c r="M409" s="2" t="s">
        <v>24</v>
      </c>
      <c r="N409" s="2">
        <v>11631.46</v>
      </c>
      <c r="O409" s="2" t="s">
        <v>25</v>
      </c>
      <c r="P409" s="2" t="s">
        <v>2998</v>
      </c>
      <c r="Q409" s="2" t="s">
        <v>62</v>
      </c>
      <c r="R409" s="2">
        <v>2</v>
      </c>
      <c r="S409" s="2">
        <v>163774.42000000001</v>
      </c>
      <c r="T409" s="38" t="s">
        <v>2879</v>
      </c>
      <c r="U409" s="13"/>
    </row>
    <row r="410" spans="1:21" x14ac:dyDescent="0.3">
      <c r="A410" s="3" t="s">
        <v>2555</v>
      </c>
      <c r="B410" s="3" t="s">
        <v>2556</v>
      </c>
      <c r="C410" s="3">
        <v>30</v>
      </c>
      <c r="D410" s="3" t="s">
        <v>21</v>
      </c>
      <c r="E410" s="3">
        <v>203512</v>
      </c>
      <c r="F410" s="3">
        <v>200000</v>
      </c>
      <c r="G410" s="3">
        <v>240</v>
      </c>
      <c r="H410" s="3">
        <v>10.3</v>
      </c>
      <c r="I410" s="3" t="s">
        <v>66</v>
      </c>
      <c r="J410" s="3">
        <v>573</v>
      </c>
      <c r="K410" s="29">
        <v>44849</v>
      </c>
      <c r="L410" s="29" t="s">
        <v>1820</v>
      </c>
      <c r="M410" s="3" t="s">
        <v>24</v>
      </c>
      <c r="N410" s="3">
        <v>1969.96</v>
      </c>
      <c r="O410" s="3" t="s">
        <v>25</v>
      </c>
      <c r="P410" s="3" t="s">
        <v>2998</v>
      </c>
      <c r="Q410" s="3" t="s">
        <v>35</v>
      </c>
      <c r="R410" s="3">
        <v>10</v>
      </c>
      <c r="S410" s="3">
        <v>162767.76</v>
      </c>
      <c r="T410" s="38" t="s">
        <v>2875</v>
      </c>
      <c r="U410" s="13"/>
    </row>
    <row r="411" spans="1:21" x14ac:dyDescent="0.3">
      <c r="A411" s="2" t="s">
        <v>2394</v>
      </c>
      <c r="B411" s="2" t="s">
        <v>2395</v>
      </c>
      <c r="C411" s="2">
        <v>22</v>
      </c>
      <c r="D411" s="2" t="s">
        <v>65</v>
      </c>
      <c r="E411" s="2">
        <v>29498</v>
      </c>
      <c r="F411" s="2">
        <v>300000</v>
      </c>
      <c r="G411" s="2">
        <v>84</v>
      </c>
      <c r="H411" s="2">
        <v>16.86</v>
      </c>
      <c r="I411" s="2" t="s">
        <v>251</v>
      </c>
      <c r="J411" s="2">
        <v>767</v>
      </c>
      <c r="K411" s="30">
        <v>44624</v>
      </c>
      <c r="L411" s="30" t="s">
        <v>97</v>
      </c>
      <c r="M411" s="2" t="s">
        <v>24</v>
      </c>
      <c r="N411" s="2">
        <v>6106.49</v>
      </c>
      <c r="O411" s="2" t="s">
        <v>48</v>
      </c>
      <c r="P411" s="2" t="s">
        <v>49</v>
      </c>
      <c r="Q411" s="2" t="s">
        <v>42</v>
      </c>
      <c r="R411" s="2">
        <v>2</v>
      </c>
      <c r="S411" s="2">
        <v>162603.98000000001</v>
      </c>
      <c r="T411" s="38" t="s">
        <v>2867</v>
      </c>
      <c r="U411" s="13"/>
    </row>
    <row r="412" spans="1:21" x14ac:dyDescent="0.3">
      <c r="A412" s="2" t="s">
        <v>212</v>
      </c>
      <c r="B412" s="2" t="s">
        <v>213</v>
      </c>
      <c r="C412" s="2">
        <v>27</v>
      </c>
      <c r="D412" s="2" t="s">
        <v>65</v>
      </c>
      <c r="E412" s="2">
        <v>50572</v>
      </c>
      <c r="F412" s="2">
        <v>400000</v>
      </c>
      <c r="G412" s="2">
        <v>36</v>
      </c>
      <c r="H412" s="2">
        <v>8.23</v>
      </c>
      <c r="I412" s="2" t="s">
        <v>73</v>
      </c>
      <c r="J412" s="2">
        <v>635</v>
      </c>
      <c r="K412" s="30">
        <v>44973</v>
      </c>
      <c r="L412" s="30" t="s">
        <v>214</v>
      </c>
      <c r="M412" s="2" t="s">
        <v>33</v>
      </c>
      <c r="N412" s="2">
        <v>12577.03</v>
      </c>
      <c r="O412" s="2" t="s">
        <v>105</v>
      </c>
      <c r="P412" s="2" t="s">
        <v>118</v>
      </c>
      <c r="Q412" s="2" t="s">
        <v>35</v>
      </c>
      <c r="R412" s="2">
        <v>5</v>
      </c>
      <c r="S412" s="2">
        <v>162294.13</v>
      </c>
      <c r="T412" s="38" t="s">
        <v>2875</v>
      </c>
      <c r="U412" s="13"/>
    </row>
    <row r="413" spans="1:21" x14ac:dyDescent="0.3">
      <c r="A413" s="3" t="s">
        <v>2742</v>
      </c>
      <c r="B413" s="3" t="s">
        <v>2743</v>
      </c>
      <c r="C413" s="3">
        <v>52</v>
      </c>
      <c r="D413" s="3" t="s">
        <v>21</v>
      </c>
      <c r="E413" s="3">
        <v>22809</v>
      </c>
      <c r="F413" s="3">
        <v>250000</v>
      </c>
      <c r="G413" s="3">
        <v>120</v>
      </c>
      <c r="H413" s="3">
        <v>18.989999999999998</v>
      </c>
      <c r="I413" s="3" t="s">
        <v>73</v>
      </c>
      <c r="J413" s="3">
        <v>406</v>
      </c>
      <c r="K413" s="29">
        <v>44586</v>
      </c>
      <c r="L413" s="29" t="s">
        <v>1556</v>
      </c>
      <c r="M413" s="3" t="s">
        <v>24</v>
      </c>
      <c r="N413" s="3">
        <v>4665.18</v>
      </c>
      <c r="O413" s="3" t="s">
        <v>54</v>
      </c>
      <c r="P413" s="3" t="s">
        <v>164</v>
      </c>
      <c r="Q413" s="3" t="s">
        <v>42</v>
      </c>
      <c r="R413" s="3">
        <v>0</v>
      </c>
      <c r="S413" s="3">
        <v>161828.1</v>
      </c>
      <c r="T413" s="38" t="s">
        <v>2879</v>
      </c>
      <c r="U413" s="13"/>
    </row>
    <row r="414" spans="1:21" x14ac:dyDescent="0.3">
      <c r="A414" s="3" t="s">
        <v>641</v>
      </c>
      <c r="B414" s="3" t="s">
        <v>642</v>
      </c>
      <c r="C414" s="3">
        <v>33</v>
      </c>
      <c r="D414" s="3" t="s">
        <v>72</v>
      </c>
      <c r="E414" s="3">
        <v>40248</v>
      </c>
      <c r="F414" s="3">
        <v>500000</v>
      </c>
      <c r="G414" s="3">
        <v>36</v>
      </c>
      <c r="H414" s="3">
        <v>10.99</v>
      </c>
      <c r="I414" s="3" t="s">
        <v>66</v>
      </c>
      <c r="J414" s="3">
        <v>662</v>
      </c>
      <c r="K414" s="29">
        <v>45028</v>
      </c>
      <c r="L414" s="29" t="s">
        <v>644</v>
      </c>
      <c r="M414" s="3" t="s">
        <v>24</v>
      </c>
      <c r="N414" s="3">
        <v>16366.99</v>
      </c>
      <c r="O414" s="3" t="s">
        <v>48</v>
      </c>
      <c r="P414" s="3" t="s">
        <v>80</v>
      </c>
      <c r="Q414" s="3" t="s">
        <v>42</v>
      </c>
      <c r="R414" s="3">
        <v>0</v>
      </c>
      <c r="S414" s="3">
        <v>161203.31</v>
      </c>
      <c r="T414" s="38" t="s">
        <v>2871</v>
      </c>
      <c r="U414" s="13"/>
    </row>
    <row r="415" spans="1:21" x14ac:dyDescent="0.3">
      <c r="A415" s="3" t="s">
        <v>1280</v>
      </c>
      <c r="B415" s="3" t="s">
        <v>1281</v>
      </c>
      <c r="C415" s="3">
        <v>31</v>
      </c>
      <c r="D415" s="3" t="s">
        <v>65</v>
      </c>
      <c r="E415" s="3">
        <v>248847</v>
      </c>
      <c r="F415" s="3">
        <v>500000</v>
      </c>
      <c r="G415" s="3">
        <v>84</v>
      </c>
      <c r="H415" s="3">
        <v>14.21</v>
      </c>
      <c r="I415" s="3" t="s">
        <v>73</v>
      </c>
      <c r="J415" s="3" t="s">
        <v>2882</v>
      </c>
      <c r="K415" s="29">
        <v>44235</v>
      </c>
      <c r="L415" s="29" t="s">
        <v>1282</v>
      </c>
      <c r="M415" s="3" t="s">
        <v>24</v>
      </c>
      <c r="N415" s="3">
        <v>9428.11</v>
      </c>
      <c r="O415" s="3" t="s">
        <v>54</v>
      </c>
      <c r="P415" s="3" t="s">
        <v>183</v>
      </c>
      <c r="Q415" s="3" t="s">
        <v>35</v>
      </c>
      <c r="R415" s="3">
        <v>9</v>
      </c>
      <c r="S415" s="3">
        <v>160588.04</v>
      </c>
      <c r="T415" s="38" t="s">
        <v>2883</v>
      </c>
      <c r="U415" s="13"/>
    </row>
    <row r="416" spans="1:21" x14ac:dyDescent="0.3">
      <c r="A416" s="3" t="s">
        <v>2223</v>
      </c>
      <c r="B416" s="3" t="s">
        <v>2054</v>
      </c>
      <c r="C416" s="3">
        <v>48</v>
      </c>
      <c r="D416" s="3" t="s">
        <v>21</v>
      </c>
      <c r="E416" s="3">
        <v>175793</v>
      </c>
      <c r="F416" s="3">
        <v>300000</v>
      </c>
      <c r="G416" s="3">
        <v>48</v>
      </c>
      <c r="H416" s="3">
        <v>16.75</v>
      </c>
      <c r="I416" s="3" t="s">
        <v>31</v>
      </c>
      <c r="J416" s="3">
        <v>843</v>
      </c>
      <c r="K416" s="29">
        <v>45190</v>
      </c>
      <c r="L416" s="29" t="s">
        <v>2224</v>
      </c>
      <c r="M416" s="3" t="s">
        <v>33</v>
      </c>
      <c r="N416" s="3">
        <v>8617.76</v>
      </c>
      <c r="O416" s="3" t="s">
        <v>105</v>
      </c>
      <c r="P416" s="3" t="s">
        <v>130</v>
      </c>
      <c r="Q416" s="3" t="s">
        <v>42</v>
      </c>
      <c r="R416" s="3">
        <v>0</v>
      </c>
      <c r="S416" s="3">
        <v>160392.29</v>
      </c>
      <c r="T416" s="38" t="s">
        <v>2867</v>
      </c>
      <c r="U416" s="13"/>
    </row>
    <row r="417" spans="1:21" x14ac:dyDescent="0.3">
      <c r="A417" s="2" t="s">
        <v>935</v>
      </c>
      <c r="B417" s="2" t="s">
        <v>936</v>
      </c>
      <c r="C417" s="2">
        <v>43</v>
      </c>
      <c r="D417" s="2" t="s">
        <v>21</v>
      </c>
      <c r="E417" s="2">
        <v>249495</v>
      </c>
      <c r="F417" s="2">
        <v>400000</v>
      </c>
      <c r="G417" s="2">
        <v>60</v>
      </c>
      <c r="H417" s="2">
        <v>20.239999999999998</v>
      </c>
      <c r="I417" s="2" t="s">
        <v>22</v>
      </c>
      <c r="J417" s="2">
        <v>681</v>
      </c>
      <c r="K417" s="30">
        <v>45016</v>
      </c>
      <c r="L417" s="30" t="s">
        <v>937</v>
      </c>
      <c r="M417" s="2" t="s">
        <v>24</v>
      </c>
      <c r="N417" s="2">
        <v>10651.04</v>
      </c>
      <c r="O417" s="2" t="s">
        <v>48</v>
      </c>
      <c r="P417" s="2" t="s">
        <v>86</v>
      </c>
      <c r="Q417" s="2" t="s">
        <v>42</v>
      </c>
      <c r="R417" s="2">
        <v>0</v>
      </c>
      <c r="S417" s="2">
        <v>160351.6</v>
      </c>
      <c r="T417" s="38" t="s">
        <v>2871</v>
      </c>
      <c r="U417" s="13"/>
    </row>
    <row r="418" spans="1:21" x14ac:dyDescent="0.3">
      <c r="A418" s="3" t="s">
        <v>243</v>
      </c>
      <c r="B418" s="3" t="s">
        <v>244</v>
      </c>
      <c r="C418" s="3">
        <v>44</v>
      </c>
      <c r="D418" s="3" t="s">
        <v>65</v>
      </c>
      <c r="E418" s="3">
        <v>86019</v>
      </c>
      <c r="F418" s="3">
        <v>200000</v>
      </c>
      <c r="G418" s="3">
        <v>60</v>
      </c>
      <c r="H418" s="3">
        <v>10.84</v>
      </c>
      <c r="I418" s="3" t="s">
        <v>83</v>
      </c>
      <c r="J418" s="3">
        <v>623</v>
      </c>
      <c r="K418" s="29">
        <v>44589</v>
      </c>
      <c r="L418" s="29" t="s">
        <v>246</v>
      </c>
      <c r="M418" s="3" t="s">
        <v>24</v>
      </c>
      <c r="N418" s="3">
        <v>4332.54</v>
      </c>
      <c r="O418" s="3" t="s">
        <v>25</v>
      </c>
      <c r="P418" s="3" t="s">
        <v>123</v>
      </c>
      <c r="Q418" s="3" t="s">
        <v>42</v>
      </c>
      <c r="R418" s="3">
        <v>2</v>
      </c>
      <c r="S418" s="3">
        <v>157107.85</v>
      </c>
      <c r="T418" s="38" t="s">
        <v>2875</v>
      </c>
      <c r="U418" s="13"/>
    </row>
    <row r="419" spans="1:21" x14ac:dyDescent="0.3">
      <c r="A419" s="2" t="s">
        <v>865</v>
      </c>
      <c r="B419" s="2" t="s">
        <v>523</v>
      </c>
      <c r="C419" s="2">
        <v>24</v>
      </c>
      <c r="D419" s="2" t="s">
        <v>30</v>
      </c>
      <c r="E419" s="2">
        <v>87198</v>
      </c>
      <c r="F419" s="2">
        <v>300000</v>
      </c>
      <c r="G419" s="2">
        <v>36</v>
      </c>
      <c r="H419" s="2">
        <v>16.46</v>
      </c>
      <c r="I419" s="2" t="s">
        <v>73</v>
      </c>
      <c r="J419" s="2">
        <v>339</v>
      </c>
      <c r="K419" s="30">
        <v>44297</v>
      </c>
      <c r="L419" s="30" t="s">
        <v>539</v>
      </c>
      <c r="M419" s="2" t="s">
        <v>24</v>
      </c>
      <c r="N419" s="2">
        <v>10615.37</v>
      </c>
      <c r="O419" s="2" t="s">
        <v>60</v>
      </c>
      <c r="P419" s="2" t="s">
        <v>61</v>
      </c>
      <c r="Q419" s="2" t="s">
        <v>42</v>
      </c>
      <c r="R419" s="2">
        <v>2</v>
      </c>
      <c r="S419" s="2">
        <v>156692.5</v>
      </c>
      <c r="T419" s="38" t="s">
        <v>2879</v>
      </c>
      <c r="U419" s="13"/>
    </row>
    <row r="420" spans="1:21" x14ac:dyDescent="0.3">
      <c r="A420" s="3" t="s">
        <v>2036</v>
      </c>
      <c r="B420" s="3" t="s">
        <v>2037</v>
      </c>
      <c r="C420" s="3">
        <v>63</v>
      </c>
      <c r="D420" s="3" t="s">
        <v>65</v>
      </c>
      <c r="E420" s="3">
        <v>16993</v>
      </c>
      <c r="F420" s="3">
        <v>250000</v>
      </c>
      <c r="G420" s="3">
        <v>48</v>
      </c>
      <c r="H420" s="3">
        <v>14.86</v>
      </c>
      <c r="I420" s="3" t="s">
        <v>66</v>
      </c>
      <c r="J420" s="3">
        <v>570</v>
      </c>
      <c r="K420" s="29">
        <v>44205</v>
      </c>
      <c r="L420" s="29" t="s">
        <v>760</v>
      </c>
      <c r="M420" s="3" t="s">
        <v>24</v>
      </c>
      <c r="N420" s="3">
        <v>6939.96</v>
      </c>
      <c r="O420" s="3" t="s">
        <v>48</v>
      </c>
      <c r="P420" s="3" t="s">
        <v>80</v>
      </c>
      <c r="Q420" s="3" t="s">
        <v>35</v>
      </c>
      <c r="R420" s="3">
        <v>10</v>
      </c>
      <c r="S420" s="3">
        <v>156310.54</v>
      </c>
      <c r="T420" s="38" t="s">
        <v>2875</v>
      </c>
      <c r="U420" s="13"/>
    </row>
    <row r="421" spans="1:21" x14ac:dyDescent="0.3">
      <c r="A421" s="3" t="s">
        <v>2816</v>
      </c>
      <c r="B421" s="3" t="s">
        <v>2952</v>
      </c>
      <c r="C421" s="3">
        <v>29</v>
      </c>
      <c r="D421" s="3" t="s">
        <v>65</v>
      </c>
      <c r="E421" s="3">
        <v>81273</v>
      </c>
      <c r="F421" s="3">
        <v>500000</v>
      </c>
      <c r="G421" s="3">
        <v>24</v>
      </c>
      <c r="H421" s="3">
        <v>20.41</v>
      </c>
      <c r="I421" s="3" t="s">
        <v>46</v>
      </c>
      <c r="J421" s="3">
        <v>567</v>
      </c>
      <c r="K421" s="29">
        <v>45217</v>
      </c>
      <c r="L421" s="29" t="s">
        <v>2387</v>
      </c>
      <c r="M421" s="3" t="s">
        <v>24</v>
      </c>
      <c r="N421" s="3">
        <v>25548.16</v>
      </c>
      <c r="O421" s="3" t="s">
        <v>48</v>
      </c>
      <c r="P421" s="3" t="s">
        <v>86</v>
      </c>
      <c r="Q421" s="3" t="s">
        <v>42</v>
      </c>
      <c r="R421" s="3">
        <v>2</v>
      </c>
      <c r="S421" s="3">
        <v>155099.84</v>
      </c>
      <c r="T421" s="38" t="s">
        <v>2875</v>
      </c>
      <c r="U421" s="13"/>
    </row>
    <row r="422" spans="1:21" x14ac:dyDescent="0.3">
      <c r="A422" s="3" t="s">
        <v>2415</v>
      </c>
      <c r="B422" s="3" t="s">
        <v>694</v>
      </c>
      <c r="C422" s="3">
        <v>30</v>
      </c>
      <c r="D422" s="3" t="s">
        <v>65</v>
      </c>
      <c r="E422" s="3">
        <v>47272</v>
      </c>
      <c r="F422" s="3">
        <v>300000</v>
      </c>
      <c r="G422" s="3">
        <v>12</v>
      </c>
      <c r="H422" s="3">
        <v>13.94</v>
      </c>
      <c r="I422" s="3" t="s">
        <v>83</v>
      </c>
      <c r="J422" s="3">
        <v>689</v>
      </c>
      <c r="K422" s="29">
        <v>44603</v>
      </c>
      <c r="L422" s="29" t="s">
        <v>1256</v>
      </c>
      <c r="M422" s="3" t="s">
        <v>24</v>
      </c>
      <c r="N422" s="3">
        <v>26927.67</v>
      </c>
      <c r="O422" s="3" t="s">
        <v>25</v>
      </c>
      <c r="P422" s="3" t="s">
        <v>2998</v>
      </c>
      <c r="Q422" s="3" t="s">
        <v>35</v>
      </c>
      <c r="R422" s="3">
        <v>7</v>
      </c>
      <c r="S422" s="3">
        <v>154590.57999999999</v>
      </c>
      <c r="T422" s="38" t="s">
        <v>2871</v>
      </c>
      <c r="U422" s="13"/>
    </row>
    <row r="423" spans="1:21" x14ac:dyDescent="0.3">
      <c r="A423" s="3" t="s">
        <v>2576</v>
      </c>
      <c r="B423" s="3" t="s">
        <v>1225</v>
      </c>
      <c r="C423" s="3">
        <v>65</v>
      </c>
      <c r="D423" s="3" t="s">
        <v>45</v>
      </c>
      <c r="E423" s="3">
        <v>127459</v>
      </c>
      <c r="F423" s="3">
        <v>750000</v>
      </c>
      <c r="G423" s="3">
        <v>24</v>
      </c>
      <c r="H423" s="3">
        <v>16.190000000000001</v>
      </c>
      <c r="I423" s="3" t="s">
        <v>66</v>
      </c>
      <c r="J423" s="3">
        <v>649</v>
      </c>
      <c r="K423" s="29">
        <v>45166</v>
      </c>
      <c r="L423" s="29" t="s">
        <v>2577</v>
      </c>
      <c r="M423" s="3" t="s">
        <v>24</v>
      </c>
      <c r="N423" s="3">
        <v>36790.46</v>
      </c>
      <c r="O423" s="3" t="s">
        <v>48</v>
      </c>
      <c r="P423" s="3" t="s">
        <v>86</v>
      </c>
      <c r="Q423" s="3" t="s">
        <v>35</v>
      </c>
      <c r="R423" s="3">
        <v>5</v>
      </c>
      <c r="S423" s="3">
        <v>153994.54999999999</v>
      </c>
      <c r="T423" s="38" t="s">
        <v>2875</v>
      </c>
      <c r="U423" s="13"/>
    </row>
    <row r="424" spans="1:21" x14ac:dyDescent="0.3">
      <c r="A424" s="2" t="s">
        <v>1021</v>
      </c>
      <c r="B424" s="2" t="s">
        <v>1022</v>
      </c>
      <c r="C424" s="2">
        <v>59</v>
      </c>
      <c r="D424" s="2" t="s">
        <v>65</v>
      </c>
      <c r="E424" s="2">
        <v>101730</v>
      </c>
      <c r="F424" s="2">
        <v>250000</v>
      </c>
      <c r="G424" s="2">
        <v>36</v>
      </c>
      <c r="H424" s="2">
        <v>17.23</v>
      </c>
      <c r="I424" s="2" t="s">
        <v>83</v>
      </c>
      <c r="J424" s="2">
        <v>402</v>
      </c>
      <c r="K424" s="30">
        <v>44847</v>
      </c>
      <c r="L424" s="30" t="s">
        <v>1023</v>
      </c>
      <c r="M424" s="2" t="s">
        <v>24</v>
      </c>
      <c r="N424" s="2">
        <v>8941.82</v>
      </c>
      <c r="O424" s="2" t="s">
        <v>48</v>
      </c>
      <c r="P424" s="2" t="s">
        <v>375</v>
      </c>
      <c r="Q424" s="2" t="s">
        <v>42</v>
      </c>
      <c r="R424" s="2">
        <v>0</v>
      </c>
      <c r="S424" s="2">
        <v>153428.34</v>
      </c>
      <c r="T424" s="38" t="s">
        <v>2879</v>
      </c>
      <c r="U424" s="13"/>
    </row>
    <row r="425" spans="1:21" x14ac:dyDescent="0.3">
      <c r="A425" s="3" t="s">
        <v>1832</v>
      </c>
      <c r="B425" s="3" t="s">
        <v>1833</v>
      </c>
      <c r="C425" s="3">
        <v>59</v>
      </c>
      <c r="D425" s="3" t="s">
        <v>21</v>
      </c>
      <c r="E425" s="3">
        <v>207396</v>
      </c>
      <c r="F425" s="3">
        <v>300000</v>
      </c>
      <c r="G425" s="3">
        <v>24</v>
      </c>
      <c r="H425" s="3">
        <v>9.08</v>
      </c>
      <c r="I425" s="3" t="s">
        <v>38</v>
      </c>
      <c r="J425" s="3">
        <v>446</v>
      </c>
      <c r="K425" s="29">
        <v>44827</v>
      </c>
      <c r="L425" s="29" t="s">
        <v>1834</v>
      </c>
      <c r="M425" s="3" t="s">
        <v>24</v>
      </c>
      <c r="N425" s="3">
        <v>13716.44</v>
      </c>
      <c r="O425" s="3" t="s">
        <v>48</v>
      </c>
      <c r="P425" s="3" t="s">
        <v>86</v>
      </c>
      <c r="Q425" s="3" t="s">
        <v>27</v>
      </c>
      <c r="R425" s="3">
        <v>2</v>
      </c>
      <c r="S425" s="3">
        <v>151862.45000000001</v>
      </c>
      <c r="T425" s="38" t="s">
        <v>2879</v>
      </c>
      <c r="U425" s="13"/>
    </row>
    <row r="426" spans="1:21" x14ac:dyDescent="0.3">
      <c r="A426" s="3" t="s">
        <v>2280</v>
      </c>
      <c r="B426" s="3" t="s">
        <v>2281</v>
      </c>
      <c r="C426" s="3">
        <v>34</v>
      </c>
      <c r="D426" s="3" t="s">
        <v>65</v>
      </c>
      <c r="E426" s="3">
        <v>109631</v>
      </c>
      <c r="F426" s="3">
        <v>500000</v>
      </c>
      <c r="G426" s="3">
        <v>48</v>
      </c>
      <c r="H426" s="3">
        <v>7.58</v>
      </c>
      <c r="I426" s="3" t="s">
        <v>66</v>
      </c>
      <c r="J426" s="3">
        <v>636</v>
      </c>
      <c r="K426" s="29">
        <v>44223</v>
      </c>
      <c r="L426" s="29" t="s">
        <v>1954</v>
      </c>
      <c r="M426" s="3" t="s">
        <v>24</v>
      </c>
      <c r="N426" s="3">
        <v>12108.13</v>
      </c>
      <c r="O426" s="3" t="s">
        <v>25</v>
      </c>
      <c r="P426" s="3" t="s">
        <v>151</v>
      </c>
      <c r="Q426" s="3" t="s">
        <v>62</v>
      </c>
      <c r="R426" s="3">
        <v>1</v>
      </c>
      <c r="S426" s="3">
        <v>151285.85999999999</v>
      </c>
      <c r="T426" s="38" t="s">
        <v>2875</v>
      </c>
      <c r="U426" s="13"/>
    </row>
    <row r="427" spans="1:21" x14ac:dyDescent="0.3">
      <c r="A427" s="3" t="s">
        <v>1585</v>
      </c>
      <c r="B427" s="3" t="s">
        <v>136</v>
      </c>
      <c r="C427" s="3">
        <v>53</v>
      </c>
      <c r="D427" s="3" t="s">
        <v>72</v>
      </c>
      <c r="E427" s="3">
        <v>247618</v>
      </c>
      <c r="F427" s="3">
        <v>250000</v>
      </c>
      <c r="G427" s="3">
        <v>12</v>
      </c>
      <c r="H427" s="3">
        <v>11.62</v>
      </c>
      <c r="I427" s="3" t="s">
        <v>22</v>
      </c>
      <c r="J427" s="3">
        <v>703</v>
      </c>
      <c r="K427" s="29">
        <v>44511</v>
      </c>
      <c r="L427" s="29" t="s">
        <v>1587</v>
      </c>
      <c r="M427" s="3" t="s">
        <v>122</v>
      </c>
      <c r="N427" s="3">
        <v>22167.78</v>
      </c>
      <c r="O427" s="3" t="s">
        <v>48</v>
      </c>
      <c r="P427" s="3" t="s">
        <v>375</v>
      </c>
      <c r="Q427" s="3" t="s">
        <v>42</v>
      </c>
      <c r="R427" s="3">
        <v>0</v>
      </c>
      <c r="S427" s="3">
        <v>150244.99</v>
      </c>
      <c r="T427" s="38" t="s">
        <v>2871</v>
      </c>
      <c r="U427" s="13"/>
    </row>
    <row r="428" spans="1:21" x14ac:dyDescent="0.3">
      <c r="A428" s="2" t="s">
        <v>2097</v>
      </c>
      <c r="B428" s="2" t="s">
        <v>2098</v>
      </c>
      <c r="C428" s="2">
        <v>36</v>
      </c>
      <c r="D428" s="2" t="s">
        <v>21</v>
      </c>
      <c r="E428" s="2">
        <v>144806</v>
      </c>
      <c r="F428" s="2">
        <v>150000</v>
      </c>
      <c r="G428" s="2">
        <v>36</v>
      </c>
      <c r="H428" s="2">
        <v>18.89</v>
      </c>
      <c r="I428" s="2" t="s">
        <v>38</v>
      </c>
      <c r="J428" s="2">
        <v>594</v>
      </c>
      <c r="K428" s="30">
        <v>44390</v>
      </c>
      <c r="L428" s="30" t="s">
        <v>2099</v>
      </c>
      <c r="M428" s="2" t="s">
        <v>33</v>
      </c>
      <c r="N428" s="2">
        <v>5490.06</v>
      </c>
      <c r="O428" s="2" t="s">
        <v>54</v>
      </c>
      <c r="P428" s="2" t="s">
        <v>183</v>
      </c>
      <c r="Q428" s="2" t="s">
        <v>35</v>
      </c>
      <c r="R428" s="2">
        <v>11</v>
      </c>
      <c r="S428" s="2">
        <v>150000</v>
      </c>
      <c r="T428" s="38" t="s">
        <v>2875</v>
      </c>
      <c r="U428" s="13"/>
    </row>
    <row r="429" spans="1:21" x14ac:dyDescent="0.3">
      <c r="A429" s="2" t="s">
        <v>1731</v>
      </c>
      <c r="B429" s="2" t="s">
        <v>299</v>
      </c>
      <c r="C429" s="2">
        <v>61</v>
      </c>
      <c r="D429" s="2" t="s">
        <v>21</v>
      </c>
      <c r="E429" s="2">
        <v>124758</v>
      </c>
      <c r="F429" s="2">
        <v>250000</v>
      </c>
      <c r="G429" s="2">
        <v>36</v>
      </c>
      <c r="H429" s="2">
        <v>9.02</v>
      </c>
      <c r="I429" s="2" t="s">
        <v>46</v>
      </c>
      <c r="J429" s="2">
        <v>807</v>
      </c>
      <c r="K429" s="30">
        <v>44668</v>
      </c>
      <c r="L429" s="30" t="s">
        <v>769</v>
      </c>
      <c r="M429" s="2" t="s">
        <v>122</v>
      </c>
      <c r="N429" s="2">
        <v>7952.26</v>
      </c>
      <c r="O429" s="2" t="s">
        <v>105</v>
      </c>
      <c r="P429" s="2" t="s">
        <v>114</v>
      </c>
      <c r="Q429" s="2" t="s">
        <v>42</v>
      </c>
      <c r="R429" s="2">
        <v>2</v>
      </c>
      <c r="S429" s="2">
        <v>149801.51999999999</v>
      </c>
      <c r="T429" s="38" t="s">
        <v>2867</v>
      </c>
      <c r="U429" s="13"/>
    </row>
    <row r="430" spans="1:21" x14ac:dyDescent="0.3">
      <c r="A430" s="2" t="s">
        <v>2665</v>
      </c>
      <c r="B430" s="2" t="s">
        <v>2666</v>
      </c>
      <c r="C430" s="2">
        <v>56</v>
      </c>
      <c r="D430" s="2" t="s">
        <v>21</v>
      </c>
      <c r="E430" s="2">
        <v>53362</v>
      </c>
      <c r="F430" s="2">
        <v>200000</v>
      </c>
      <c r="G430" s="2">
        <v>24</v>
      </c>
      <c r="H430" s="2">
        <v>11.16</v>
      </c>
      <c r="I430" s="2" t="s">
        <v>73</v>
      </c>
      <c r="J430" s="2">
        <v>863</v>
      </c>
      <c r="K430" s="30">
        <v>44718</v>
      </c>
      <c r="L430" s="30" t="s">
        <v>853</v>
      </c>
      <c r="M430" s="2" t="s">
        <v>24</v>
      </c>
      <c r="N430" s="2">
        <v>9336.43</v>
      </c>
      <c r="O430" s="2" t="s">
        <v>60</v>
      </c>
      <c r="P430" s="2" t="s">
        <v>172</v>
      </c>
      <c r="Q430" s="2" t="s">
        <v>100</v>
      </c>
      <c r="R430" s="2">
        <v>1</v>
      </c>
      <c r="S430" s="2">
        <v>149583.28</v>
      </c>
      <c r="T430" s="38" t="s">
        <v>2867</v>
      </c>
      <c r="U430" s="13"/>
    </row>
    <row r="431" spans="1:21" x14ac:dyDescent="0.3">
      <c r="A431" s="3" t="s">
        <v>878</v>
      </c>
      <c r="B431" s="3" t="s">
        <v>879</v>
      </c>
      <c r="C431" s="3">
        <v>44</v>
      </c>
      <c r="D431" s="3" t="s">
        <v>30</v>
      </c>
      <c r="E431" s="3">
        <v>234585</v>
      </c>
      <c r="F431" s="3">
        <v>200000</v>
      </c>
      <c r="G431" s="3">
        <v>24</v>
      </c>
      <c r="H431" s="3">
        <v>11.63</v>
      </c>
      <c r="I431" s="3" t="s">
        <v>73</v>
      </c>
      <c r="J431" s="3">
        <v>350</v>
      </c>
      <c r="K431" s="29">
        <v>44650</v>
      </c>
      <c r="L431" s="29" t="s">
        <v>817</v>
      </c>
      <c r="M431" s="3" t="s">
        <v>33</v>
      </c>
      <c r="N431" s="3">
        <v>9380.17</v>
      </c>
      <c r="O431" s="3" t="s">
        <v>105</v>
      </c>
      <c r="P431" s="3" t="s">
        <v>2999</v>
      </c>
      <c r="Q431" s="3" t="s">
        <v>100</v>
      </c>
      <c r="R431" s="3">
        <v>12</v>
      </c>
      <c r="S431" s="3">
        <v>149347.07999999999</v>
      </c>
      <c r="T431" s="38" t="s">
        <v>2879</v>
      </c>
      <c r="U431" s="13"/>
    </row>
    <row r="432" spans="1:21" x14ac:dyDescent="0.3">
      <c r="A432" s="2" t="s">
        <v>1804</v>
      </c>
      <c r="B432" s="2" t="s">
        <v>1805</v>
      </c>
      <c r="C432" s="2">
        <v>43</v>
      </c>
      <c r="D432" s="2" t="s">
        <v>30</v>
      </c>
      <c r="E432" s="2">
        <v>87909</v>
      </c>
      <c r="F432" s="2">
        <v>250000</v>
      </c>
      <c r="G432" s="2">
        <v>12</v>
      </c>
      <c r="H432" s="2">
        <v>15.05</v>
      </c>
      <c r="I432" s="2" t="s">
        <v>73</v>
      </c>
      <c r="J432" s="2">
        <v>595</v>
      </c>
      <c r="K432" s="30">
        <v>44898</v>
      </c>
      <c r="L432" s="30" t="s">
        <v>1806</v>
      </c>
      <c r="M432" s="2" t="s">
        <v>122</v>
      </c>
      <c r="N432" s="2">
        <v>22570.48</v>
      </c>
      <c r="O432" s="2" t="s">
        <v>25</v>
      </c>
      <c r="P432" s="2" t="s">
        <v>34</v>
      </c>
      <c r="Q432" s="2" t="s">
        <v>35</v>
      </c>
      <c r="R432" s="2">
        <v>11</v>
      </c>
      <c r="S432" s="2">
        <v>148432.84</v>
      </c>
      <c r="T432" s="38" t="s">
        <v>2875</v>
      </c>
      <c r="U432" s="13"/>
    </row>
    <row r="433" spans="1:21" x14ac:dyDescent="0.3">
      <c r="A433" s="3" t="s">
        <v>2184</v>
      </c>
      <c r="B433" s="3" t="s">
        <v>2185</v>
      </c>
      <c r="C433" s="3">
        <v>33</v>
      </c>
      <c r="D433" s="3" t="s">
        <v>45</v>
      </c>
      <c r="E433" s="3">
        <v>240593</v>
      </c>
      <c r="F433" s="3">
        <v>400000</v>
      </c>
      <c r="G433" s="3">
        <v>84</v>
      </c>
      <c r="H433" s="3">
        <v>8.11</v>
      </c>
      <c r="I433" s="3" t="s">
        <v>83</v>
      </c>
      <c r="J433" s="3">
        <v>362</v>
      </c>
      <c r="K433" s="29">
        <v>44288</v>
      </c>
      <c r="L433" s="29" t="s">
        <v>2186</v>
      </c>
      <c r="M433" s="3" t="s">
        <v>24</v>
      </c>
      <c r="N433" s="3">
        <v>6256.43</v>
      </c>
      <c r="O433" s="3" t="s">
        <v>48</v>
      </c>
      <c r="P433" s="3" t="s">
        <v>199</v>
      </c>
      <c r="Q433" s="3" t="s">
        <v>27</v>
      </c>
      <c r="R433" s="3">
        <v>0</v>
      </c>
      <c r="S433" s="3">
        <v>146614.57999999999</v>
      </c>
      <c r="T433" s="38" t="s">
        <v>2879</v>
      </c>
      <c r="U433" s="13"/>
    </row>
    <row r="434" spans="1:21" x14ac:dyDescent="0.3">
      <c r="A434" s="2" t="s">
        <v>835</v>
      </c>
      <c r="B434" s="2" t="s">
        <v>836</v>
      </c>
      <c r="C434" s="2">
        <v>26</v>
      </c>
      <c r="D434" s="2" t="s">
        <v>30</v>
      </c>
      <c r="E434" s="2">
        <v>105914</v>
      </c>
      <c r="F434" s="2">
        <v>250000</v>
      </c>
      <c r="G434" s="2">
        <v>36</v>
      </c>
      <c r="H434" s="2">
        <v>16.72</v>
      </c>
      <c r="I434" s="2" t="s">
        <v>22</v>
      </c>
      <c r="J434" s="2">
        <v>643</v>
      </c>
      <c r="K434" s="30">
        <v>44708</v>
      </c>
      <c r="L434" s="30" t="s">
        <v>762</v>
      </c>
      <c r="M434" s="2" t="s">
        <v>24</v>
      </c>
      <c r="N434" s="2">
        <v>8878.3799999999992</v>
      </c>
      <c r="O434" s="2" t="s">
        <v>60</v>
      </c>
      <c r="P434" s="2" t="s">
        <v>172</v>
      </c>
      <c r="Q434" s="2" t="s">
        <v>27</v>
      </c>
      <c r="R434" s="2">
        <v>1</v>
      </c>
      <c r="S434" s="2">
        <v>146122.95000000001</v>
      </c>
      <c r="T434" s="38" t="s">
        <v>2875</v>
      </c>
      <c r="U434" s="13"/>
    </row>
    <row r="435" spans="1:21" x14ac:dyDescent="0.3">
      <c r="A435" s="3" t="s">
        <v>2247</v>
      </c>
      <c r="B435" s="3" t="s">
        <v>2248</v>
      </c>
      <c r="C435" s="3">
        <v>28</v>
      </c>
      <c r="D435" s="3" t="s">
        <v>21</v>
      </c>
      <c r="E435" s="3">
        <v>186979</v>
      </c>
      <c r="F435" s="3">
        <v>750000</v>
      </c>
      <c r="G435" s="3">
        <v>180</v>
      </c>
      <c r="H435" s="3">
        <v>12.96</v>
      </c>
      <c r="I435" s="3" t="s">
        <v>73</v>
      </c>
      <c r="J435" s="3">
        <v>395</v>
      </c>
      <c r="K435" s="29">
        <v>45186</v>
      </c>
      <c r="L435" s="29" t="s">
        <v>1908</v>
      </c>
      <c r="M435" s="3" t="s">
        <v>24</v>
      </c>
      <c r="N435" s="3">
        <v>9469.58</v>
      </c>
      <c r="O435" s="3" t="s">
        <v>105</v>
      </c>
      <c r="P435" s="3" t="s">
        <v>118</v>
      </c>
      <c r="Q435" s="3" t="s">
        <v>100</v>
      </c>
      <c r="R435" s="3">
        <v>8</v>
      </c>
      <c r="S435" s="3">
        <v>144893.84</v>
      </c>
      <c r="T435" s="38" t="s">
        <v>2879</v>
      </c>
      <c r="U435" s="13"/>
    </row>
    <row r="436" spans="1:21" x14ac:dyDescent="0.3">
      <c r="A436" s="3" t="s">
        <v>969</v>
      </c>
      <c r="B436" s="3" t="s">
        <v>970</v>
      </c>
      <c r="C436" s="3">
        <v>34</v>
      </c>
      <c r="D436" s="3" t="s">
        <v>30</v>
      </c>
      <c r="E436" s="3">
        <v>178621</v>
      </c>
      <c r="F436" s="3">
        <v>1500000</v>
      </c>
      <c r="G436" s="3">
        <v>60</v>
      </c>
      <c r="H436" s="3">
        <v>17.46</v>
      </c>
      <c r="I436" s="3" t="s">
        <v>251</v>
      </c>
      <c r="J436" s="3">
        <v>482</v>
      </c>
      <c r="K436" s="29">
        <v>44857</v>
      </c>
      <c r="L436" s="29" t="s">
        <v>972</v>
      </c>
      <c r="M436" s="3" t="s">
        <v>24</v>
      </c>
      <c r="N436" s="3">
        <v>37650.879999999997</v>
      </c>
      <c r="O436" s="3" t="s">
        <v>54</v>
      </c>
      <c r="P436" s="3" t="s">
        <v>99</v>
      </c>
      <c r="Q436" s="3" t="s">
        <v>100</v>
      </c>
      <c r="R436" s="3">
        <v>11</v>
      </c>
      <c r="S436" s="3">
        <v>144568.32000000001</v>
      </c>
      <c r="T436" s="38" t="s">
        <v>2879</v>
      </c>
      <c r="U436" s="13"/>
    </row>
    <row r="437" spans="1:21" x14ac:dyDescent="0.3">
      <c r="A437" s="3" t="s">
        <v>2685</v>
      </c>
      <c r="B437" s="3" t="s">
        <v>1273</v>
      </c>
      <c r="C437" s="3">
        <v>48</v>
      </c>
      <c r="D437" s="3" t="s">
        <v>21</v>
      </c>
      <c r="E437" s="3">
        <v>58680</v>
      </c>
      <c r="F437" s="3">
        <v>500000</v>
      </c>
      <c r="G437" s="3">
        <v>24</v>
      </c>
      <c r="H437" s="3">
        <v>10.86</v>
      </c>
      <c r="I437" s="3" t="s">
        <v>22</v>
      </c>
      <c r="J437" s="3">
        <v>353</v>
      </c>
      <c r="K437" s="29">
        <v>45160</v>
      </c>
      <c r="L437" s="29" t="s">
        <v>253</v>
      </c>
      <c r="M437" s="3" t="s">
        <v>24</v>
      </c>
      <c r="N437" s="3">
        <v>23271.43</v>
      </c>
      <c r="O437" s="3" t="s">
        <v>54</v>
      </c>
      <c r="P437" s="3" t="s">
        <v>2996</v>
      </c>
      <c r="Q437" s="3" t="s">
        <v>42</v>
      </c>
      <c r="R437" s="3">
        <v>1</v>
      </c>
      <c r="S437" s="3">
        <v>143947.12</v>
      </c>
      <c r="T437" s="38" t="s">
        <v>2879</v>
      </c>
      <c r="U437" s="13"/>
    </row>
    <row r="438" spans="1:21" x14ac:dyDescent="0.3">
      <c r="A438" s="3" t="s">
        <v>294</v>
      </c>
      <c r="B438" s="3" t="s">
        <v>295</v>
      </c>
      <c r="C438" s="3">
        <v>37</v>
      </c>
      <c r="D438" s="3" t="s">
        <v>45</v>
      </c>
      <c r="E438" s="3">
        <v>115393</v>
      </c>
      <c r="F438" s="3">
        <v>150000</v>
      </c>
      <c r="G438" s="3">
        <v>120</v>
      </c>
      <c r="H438" s="3">
        <v>8.1300000000000008</v>
      </c>
      <c r="I438" s="3" t="s">
        <v>31</v>
      </c>
      <c r="J438" s="3">
        <v>690</v>
      </c>
      <c r="K438" s="29">
        <v>44455</v>
      </c>
      <c r="L438" s="29" t="s">
        <v>297</v>
      </c>
      <c r="M438" s="3" t="s">
        <v>24</v>
      </c>
      <c r="N438" s="3">
        <v>1830.23</v>
      </c>
      <c r="O438" s="3" t="s">
        <v>60</v>
      </c>
      <c r="P438" s="3" t="s">
        <v>192</v>
      </c>
      <c r="Q438" s="3" t="s">
        <v>42</v>
      </c>
      <c r="R438" s="3">
        <v>1</v>
      </c>
      <c r="S438" s="3">
        <v>143411.17000000001</v>
      </c>
      <c r="T438" s="38" t="s">
        <v>2871</v>
      </c>
      <c r="U438" s="13"/>
    </row>
    <row r="439" spans="1:21" x14ac:dyDescent="0.3">
      <c r="A439" s="2" t="s">
        <v>2170</v>
      </c>
      <c r="B439" s="2" t="s">
        <v>2171</v>
      </c>
      <c r="C439" s="2">
        <v>24</v>
      </c>
      <c r="D439" s="2" t="s">
        <v>21</v>
      </c>
      <c r="E439" s="2">
        <v>87867</v>
      </c>
      <c r="F439" s="2">
        <v>750000</v>
      </c>
      <c r="G439" s="2">
        <v>120</v>
      </c>
      <c r="H439" s="2">
        <v>11.86</v>
      </c>
      <c r="I439" s="2" t="s">
        <v>22</v>
      </c>
      <c r="J439" s="2">
        <v>361</v>
      </c>
      <c r="K439" s="30">
        <v>44235</v>
      </c>
      <c r="L439" s="30" t="s">
        <v>2172</v>
      </c>
      <c r="M439" s="2" t="s">
        <v>24</v>
      </c>
      <c r="N439" s="2">
        <v>10699.71</v>
      </c>
      <c r="O439" s="2" t="s">
        <v>48</v>
      </c>
      <c r="P439" s="2" t="s">
        <v>375</v>
      </c>
      <c r="Q439" s="2" t="s">
        <v>35</v>
      </c>
      <c r="R439" s="2">
        <v>6</v>
      </c>
      <c r="S439" s="2">
        <v>143326.44</v>
      </c>
      <c r="T439" s="38" t="s">
        <v>2879</v>
      </c>
      <c r="U439" s="13"/>
    </row>
    <row r="440" spans="1:21" x14ac:dyDescent="0.3">
      <c r="A440" s="3" t="s">
        <v>2376</v>
      </c>
      <c r="B440" s="3" t="s">
        <v>2377</v>
      </c>
      <c r="C440" s="3">
        <v>58</v>
      </c>
      <c r="D440" s="3" t="s">
        <v>45</v>
      </c>
      <c r="E440" s="3">
        <v>80004</v>
      </c>
      <c r="F440" s="3">
        <v>150000</v>
      </c>
      <c r="G440" s="3">
        <v>60</v>
      </c>
      <c r="H440" s="3">
        <v>19.059999999999999</v>
      </c>
      <c r="I440" s="3" t="s">
        <v>251</v>
      </c>
      <c r="J440" s="3">
        <v>550</v>
      </c>
      <c r="K440" s="29">
        <v>44741</v>
      </c>
      <c r="L440" s="29" t="s">
        <v>2378</v>
      </c>
      <c r="M440" s="3" t="s">
        <v>24</v>
      </c>
      <c r="N440" s="3">
        <v>3896.04</v>
      </c>
      <c r="O440" s="3" t="s">
        <v>105</v>
      </c>
      <c r="P440" s="3" t="s">
        <v>118</v>
      </c>
      <c r="Q440" s="3" t="s">
        <v>42</v>
      </c>
      <c r="R440" s="3">
        <v>0</v>
      </c>
      <c r="S440" s="3">
        <v>142987.13</v>
      </c>
      <c r="T440" s="38" t="s">
        <v>2875</v>
      </c>
      <c r="U440" s="13"/>
    </row>
    <row r="441" spans="1:21" x14ac:dyDescent="0.3">
      <c r="A441" s="2" t="s">
        <v>2133</v>
      </c>
      <c r="B441" s="2" t="s">
        <v>1287</v>
      </c>
      <c r="C441" s="2">
        <v>47</v>
      </c>
      <c r="D441" s="2" t="s">
        <v>65</v>
      </c>
      <c r="E441" s="2">
        <v>63246</v>
      </c>
      <c r="F441" s="2">
        <v>150000</v>
      </c>
      <c r="G441" s="2">
        <v>240</v>
      </c>
      <c r="H441" s="2">
        <v>11.27</v>
      </c>
      <c r="I441" s="2" t="s">
        <v>31</v>
      </c>
      <c r="J441" s="2">
        <v>426</v>
      </c>
      <c r="K441" s="30">
        <v>44575</v>
      </c>
      <c r="L441" s="30" t="s">
        <v>1472</v>
      </c>
      <c r="M441" s="2" t="s">
        <v>33</v>
      </c>
      <c r="N441" s="2">
        <v>1575.94</v>
      </c>
      <c r="O441" s="2" t="s">
        <v>60</v>
      </c>
      <c r="P441" s="2" t="s">
        <v>192</v>
      </c>
      <c r="Q441" s="2" t="s">
        <v>42</v>
      </c>
      <c r="R441" s="2">
        <v>2</v>
      </c>
      <c r="S441" s="2">
        <v>142908.26999999999</v>
      </c>
      <c r="T441" s="38" t="s">
        <v>2879</v>
      </c>
      <c r="U441" s="13"/>
    </row>
    <row r="442" spans="1:21" x14ac:dyDescent="0.3">
      <c r="A442" s="2" t="s">
        <v>1412</v>
      </c>
      <c r="B442" s="2" t="s">
        <v>1166</v>
      </c>
      <c r="C442" s="2">
        <v>22</v>
      </c>
      <c r="D442" s="2" t="s">
        <v>65</v>
      </c>
      <c r="E442" s="2">
        <v>207984</v>
      </c>
      <c r="F442" s="2">
        <v>150000</v>
      </c>
      <c r="G442" s="2">
        <v>48</v>
      </c>
      <c r="H442" s="2">
        <v>12.25</v>
      </c>
      <c r="I442" s="2" t="s">
        <v>83</v>
      </c>
      <c r="J442" s="2">
        <v>452</v>
      </c>
      <c r="K442" s="30">
        <v>44279</v>
      </c>
      <c r="L442" s="30" t="s">
        <v>740</v>
      </c>
      <c r="M442" s="2" t="s">
        <v>24</v>
      </c>
      <c r="N442" s="2">
        <v>3968.51</v>
      </c>
      <c r="O442" s="2" t="s">
        <v>54</v>
      </c>
      <c r="P442" s="2" t="s">
        <v>304</v>
      </c>
      <c r="Q442" s="2" t="s">
        <v>42</v>
      </c>
      <c r="R442" s="2">
        <v>1</v>
      </c>
      <c r="S442" s="2">
        <v>142856.68</v>
      </c>
      <c r="T442" s="38" t="s">
        <v>2879</v>
      </c>
      <c r="U442" s="13"/>
    </row>
    <row r="443" spans="1:21" x14ac:dyDescent="0.3">
      <c r="A443" s="2" t="s">
        <v>1070</v>
      </c>
      <c r="B443" s="2" t="s">
        <v>1071</v>
      </c>
      <c r="C443" s="2">
        <v>38</v>
      </c>
      <c r="D443" s="2" t="s">
        <v>21</v>
      </c>
      <c r="E443" s="2">
        <v>166427</v>
      </c>
      <c r="F443" s="2">
        <v>250000</v>
      </c>
      <c r="G443" s="2">
        <v>120</v>
      </c>
      <c r="H443" s="2">
        <v>18.170000000000002</v>
      </c>
      <c r="I443" s="2" t="s">
        <v>22</v>
      </c>
      <c r="J443" s="2">
        <v>535</v>
      </c>
      <c r="K443" s="30">
        <v>45238</v>
      </c>
      <c r="L443" s="30" t="s">
        <v>1017</v>
      </c>
      <c r="M443" s="2" t="s">
        <v>24</v>
      </c>
      <c r="N443" s="2">
        <v>4532.03</v>
      </c>
      <c r="O443" s="2" t="s">
        <v>60</v>
      </c>
      <c r="P443" s="2" t="s">
        <v>192</v>
      </c>
      <c r="Q443" s="2" t="s">
        <v>42</v>
      </c>
      <c r="R443" s="2">
        <v>0</v>
      </c>
      <c r="S443" s="2">
        <v>139871.67000000001</v>
      </c>
      <c r="T443" s="38" t="s">
        <v>2879</v>
      </c>
      <c r="U443" s="13"/>
    </row>
    <row r="444" spans="1:21" x14ac:dyDescent="0.3">
      <c r="A444" s="3" t="s">
        <v>1952</v>
      </c>
      <c r="B444" s="3" t="s">
        <v>1953</v>
      </c>
      <c r="C444" s="3">
        <v>37</v>
      </c>
      <c r="D444" s="3" t="s">
        <v>65</v>
      </c>
      <c r="E444" s="3">
        <v>184114</v>
      </c>
      <c r="F444" s="3">
        <v>300000</v>
      </c>
      <c r="G444" s="3">
        <v>24</v>
      </c>
      <c r="H444" s="3">
        <v>18</v>
      </c>
      <c r="I444" s="3" t="s">
        <v>251</v>
      </c>
      <c r="J444" s="3">
        <v>312</v>
      </c>
      <c r="K444" s="29">
        <v>44239</v>
      </c>
      <c r="L444" s="29" t="s">
        <v>1954</v>
      </c>
      <c r="M444" s="3" t="s">
        <v>24</v>
      </c>
      <c r="N444" s="3">
        <v>14977.23</v>
      </c>
      <c r="O444" s="3" t="s">
        <v>54</v>
      </c>
      <c r="P444" s="3" t="s">
        <v>304</v>
      </c>
      <c r="Q444" s="3" t="s">
        <v>100</v>
      </c>
      <c r="R444" s="3">
        <v>6</v>
      </c>
      <c r="S444" s="3">
        <v>138245.92000000001</v>
      </c>
      <c r="T444" s="38" t="s">
        <v>2879</v>
      </c>
      <c r="U444" s="13"/>
    </row>
    <row r="445" spans="1:21" x14ac:dyDescent="0.3">
      <c r="A445" s="2" t="s">
        <v>2118</v>
      </c>
      <c r="B445" s="2" t="s">
        <v>2947</v>
      </c>
      <c r="C445" s="2">
        <v>59</v>
      </c>
      <c r="D445" s="2" t="s">
        <v>72</v>
      </c>
      <c r="E445" s="2">
        <v>91232</v>
      </c>
      <c r="F445" s="2">
        <v>150000</v>
      </c>
      <c r="G445" s="2">
        <v>12</v>
      </c>
      <c r="H445" s="2">
        <v>14.36</v>
      </c>
      <c r="I445" s="2" t="s">
        <v>38</v>
      </c>
      <c r="J445" s="2">
        <v>554</v>
      </c>
      <c r="K445" s="30">
        <v>44732</v>
      </c>
      <c r="L445" s="30" t="s">
        <v>1960</v>
      </c>
      <c r="M445" s="2" t="s">
        <v>24</v>
      </c>
      <c r="N445" s="2">
        <v>13493.49</v>
      </c>
      <c r="O445" s="2" t="s">
        <v>60</v>
      </c>
      <c r="P445" s="2" t="s">
        <v>2997</v>
      </c>
      <c r="Q445" s="2" t="s">
        <v>35</v>
      </c>
      <c r="R445" s="2">
        <v>6</v>
      </c>
      <c r="S445" s="2">
        <v>137855.85999999999</v>
      </c>
      <c r="T445" s="38" t="s">
        <v>2875</v>
      </c>
      <c r="U445" s="13"/>
    </row>
    <row r="446" spans="1:21" x14ac:dyDescent="0.3">
      <c r="A446" s="2" t="s">
        <v>2249</v>
      </c>
      <c r="B446" s="2" t="s">
        <v>2250</v>
      </c>
      <c r="C446" s="2">
        <v>46</v>
      </c>
      <c r="D446" s="2" t="s">
        <v>72</v>
      </c>
      <c r="E446" s="2">
        <v>145294</v>
      </c>
      <c r="F446" s="2">
        <v>1500000</v>
      </c>
      <c r="G446" s="2">
        <v>120</v>
      </c>
      <c r="H446" s="2">
        <v>21.3</v>
      </c>
      <c r="I446" s="2" t="s">
        <v>22</v>
      </c>
      <c r="J446" s="2" t="s">
        <v>2882</v>
      </c>
      <c r="K446" s="30">
        <v>44672</v>
      </c>
      <c r="L446" s="30" t="s">
        <v>238</v>
      </c>
      <c r="M446" s="2" t="s">
        <v>24</v>
      </c>
      <c r="N446" s="2">
        <v>30292.799999999999</v>
      </c>
      <c r="O446" s="2" t="s">
        <v>105</v>
      </c>
      <c r="P446" s="2" t="s">
        <v>2999</v>
      </c>
      <c r="Q446" s="2" t="s">
        <v>27</v>
      </c>
      <c r="R446" s="2">
        <v>0</v>
      </c>
      <c r="S446" s="2">
        <v>136824</v>
      </c>
      <c r="T446" s="38" t="s">
        <v>2883</v>
      </c>
      <c r="U446" s="13"/>
    </row>
    <row r="447" spans="1:21" x14ac:dyDescent="0.3">
      <c r="A447" s="2" t="s">
        <v>1479</v>
      </c>
      <c r="B447" s="2" t="s">
        <v>1480</v>
      </c>
      <c r="C447" s="2">
        <v>26</v>
      </c>
      <c r="D447" s="2" t="s">
        <v>72</v>
      </c>
      <c r="E447" s="2">
        <v>218080</v>
      </c>
      <c r="F447" s="2">
        <v>400000</v>
      </c>
      <c r="G447" s="2">
        <v>120</v>
      </c>
      <c r="H447" s="2">
        <v>8.1199999999999992</v>
      </c>
      <c r="I447" s="2" t="s">
        <v>22</v>
      </c>
      <c r="J447" s="2">
        <v>333</v>
      </c>
      <c r="K447" s="30">
        <v>44440</v>
      </c>
      <c r="L447" s="30" t="s">
        <v>1481</v>
      </c>
      <c r="M447" s="2" t="s">
        <v>24</v>
      </c>
      <c r="N447" s="2">
        <v>4878.5</v>
      </c>
      <c r="O447" s="2" t="s">
        <v>54</v>
      </c>
      <c r="P447" s="2" t="s">
        <v>99</v>
      </c>
      <c r="Q447" s="2" t="s">
        <v>42</v>
      </c>
      <c r="R447" s="2">
        <v>0</v>
      </c>
      <c r="S447" s="2">
        <v>136561</v>
      </c>
      <c r="T447" s="38" t="s">
        <v>2879</v>
      </c>
      <c r="U447" s="13"/>
    </row>
    <row r="448" spans="1:21" x14ac:dyDescent="0.3">
      <c r="A448" s="3" t="s">
        <v>2837</v>
      </c>
      <c r="B448" s="3" t="s">
        <v>2838</v>
      </c>
      <c r="C448" s="3">
        <v>30</v>
      </c>
      <c r="D448" s="3" t="s">
        <v>72</v>
      </c>
      <c r="E448" s="3">
        <v>34988</v>
      </c>
      <c r="F448" s="3">
        <v>200000</v>
      </c>
      <c r="G448" s="3">
        <v>24</v>
      </c>
      <c r="H448" s="3">
        <v>19.22</v>
      </c>
      <c r="I448" s="3" t="s">
        <v>66</v>
      </c>
      <c r="J448" s="3">
        <v>411</v>
      </c>
      <c r="K448" s="29">
        <v>45010</v>
      </c>
      <c r="L448" s="29" t="s">
        <v>1415</v>
      </c>
      <c r="M448" s="3"/>
      <c r="N448" s="3">
        <v>10103.11</v>
      </c>
      <c r="O448" s="3" t="s">
        <v>54</v>
      </c>
      <c r="P448" s="3" t="s">
        <v>183</v>
      </c>
      <c r="Q448" s="3" t="s">
        <v>27</v>
      </c>
      <c r="R448" s="3">
        <v>0</v>
      </c>
      <c r="S448" s="3">
        <v>136350.41</v>
      </c>
      <c r="T448" s="38" t="s">
        <v>2879</v>
      </c>
      <c r="U448" s="13"/>
    </row>
    <row r="449" spans="1:21" x14ac:dyDescent="0.3">
      <c r="A449" s="2" t="s">
        <v>262</v>
      </c>
      <c r="B449" s="2" t="s">
        <v>263</v>
      </c>
      <c r="C449" s="2">
        <v>61</v>
      </c>
      <c r="D449" s="2" t="s">
        <v>72</v>
      </c>
      <c r="E449" s="2">
        <v>214946</v>
      </c>
      <c r="F449" s="2">
        <v>150000</v>
      </c>
      <c r="G449" s="2">
        <v>48</v>
      </c>
      <c r="H449" s="2">
        <v>11.34</v>
      </c>
      <c r="I449" s="2" t="s">
        <v>22</v>
      </c>
      <c r="J449" s="2">
        <v>460</v>
      </c>
      <c r="K449" s="30">
        <v>44517</v>
      </c>
      <c r="L449" s="30" t="s">
        <v>264</v>
      </c>
      <c r="M449" s="2" t="s">
        <v>24</v>
      </c>
      <c r="N449" s="2">
        <v>3901.64</v>
      </c>
      <c r="O449" s="2" t="s">
        <v>105</v>
      </c>
      <c r="P449" s="2" t="s">
        <v>159</v>
      </c>
      <c r="Q449" s="2" t="s">
        <v>42</v>
      </c>
      <c r="R449" s="2">
        <v>2</v>
      </c>
      <c r="S449" s="2">
        <v>135954.1</v>
      </c>
      <c r="T449" s="38" t="s">
        <v>2879</v>
      </c>
      <c r="U449" s="13"/>
    </row>
    <row r="450" spans="1:21" x14ac:dyDescent="0.3">
      <c r="A450" s="2" t="s">
        <v>2047</v>
      </c>
      <c r="B450" s="2" t="s">
        <v>1357</v>
      </c>
      <c r="C450" s="2">
        <v>33</v>
      </c>
      <c r="D450" s="2" t="s">
        <v>30</v>
      </c>
      <c r="E450" s="2">
        <v>186054</v>
      </c>
      <c r="F450" s="2">
        <v>150000</v>
      </c>
      <c r="G450" s="2">
        <v>60</v>
      </c>
      <c r="H450" s="2">
        <v>10.31</v>
      </c>
      <c r="I450" s="2" t="s">
        <v>83</v>
      </c>
      <c r="J450" s="2">
        <v>687</v>
      </c>
      <c r="K450" s="30">
        <v>44491</v>
      </c>
      <c r="L450" s="30" t="s">
        <v>1587</v>
      </c>
      <c r="M450" s="2" t="s">
        <v>33</v>
      </c>
      <c r="N450" s="2">
        <v>3209.98</v>
      </c>
      <c r="O450" s="2" t="s">
        <v>48</v>
      </c>
      <c r="P450" s="2" t="s">
        <v>49</v>
      </c>
      <c r="Q450" s="2" t="s">
        <v>42</v>
      </c>
      <c r="R450" s="2">
        <v>1</v>
      </c>
      <c r="S450" s="2">
        <v>135555.09</v>
      </c>
      <c r="T450" s="38" t="s">
        <v>2871</v>
      </c>
      <c r="U450" s="13"/>
    </row>
    <row r="451" spans="1:21" x14ac:dyDescent="0.3">
      <c r="A451" s="3" t="s">
        <v>1605</v>
      </c>
      <c r="B451" s="3" t="s">
        <v>1606</v>
      </c>
      <c r="C451" s="3">
        <v>33</v>
      </c>
      <c r="D451" s="3" t="s">
        <v>30</v>
      </c>
      <c r="E451" s="3">
        <v>235963</v>
      </c>
      <c r="F451" s="3">
        <v>300000</v>
      </c>
      <c r="G451" s="3">
        <v>12</v>
      </c>
      <c r="H451" s="3">
        <v>8.7100000000000009</v>
      </c>
      <c r="I451" s="3" t="s">
        <v>66</v>
      </c>
      <c r="J451" s="3">
        <v>621</v>
      </c>
      <c r="K451" s="29">
        <v>44739</v>
      </c>
      <c r="L451" s="29" t="s">
        <v>553</v>
      </c>
      <c r="M451" s="3" t="s">
        <v>24</v>
      </c>
      <c r="N451" s="3">
        <v>26195.119999999999</v>
      </c>
      <c r="O451" s="3" t="s">
        <v>54</v>
      </c>
      <c r="P451" s="3" t="s">
        <v>164</v>
      </c>
      <c r="Q451" s="3" t="s">
        <v>42</v>
      </c>
      <c r="R451" s="3">
        <v>2</v>
      </c>
      <c r="S451" s="3">
        <v>134970.74</v>
      </c>
      <c r="T451" s="38" t="s">
        <v>2875</v>
      </c>
      <c r="U451" s="13"/>
    </row>
    <row r="452" spans="1:21" x14ac:dyDescent="0.3">
      <c r="A452" s="3" t="s">
        <v>1539</v>
      </c>
      <c r="B452" s="3" t="s">
        <v>1540</v>
      </c>
      <c r="C452" s="3">
        <v>28</v>
      </c>
      <c r="D452" s="3" t="s">
        <v>30</v>
      </c>
      <c r="E452" s="3">
        <v>71127</v>
      </c>
      <c r="F452" s="3">
        <v>200000</v>
      </c>
      <c r="G452" s="3">
        <v>180</v>
      </c>
      <c r="H452" s="3">
        <v>13.42</v>
      </c>
      <c r="I452" s="3" t="s">
        <v>46</v>
      </c>
      <c r="J452" s="3">
        <v>802</v>
      </c>
      <c r="K452" s="29">
        <v>44845</v>
      </c>
      <c r="L452" s="29" t="s">
        <v>1023</v>
      </c>
      <c r="M452" s="3" t="s">
        <v>33</v>
      </c>
      <c r="N452" s="3">
        <v>2586.0100000000002</v>
      </c>
      <c r="O452" s="3" t="s">
        <v>54</v>
      </c>
      <c r="P452" s="3" t="s">
        <v>183</v>
      </c>
      <c r="Q452" s="3" t="s">
        <v>42</v>
      </c>
      <c r="R452" s="3">
        <v>2</v>
      </c>
      <c r="S452" s="3">
        <v>134832.54999999999</v>
      </c>
      <c r="T452" s="38" t="s">
        <v>2867</v>
      </c>
      <c r="U452" s="13"/>
    </row>
    <row r="453" spans="1:21" x14ac:dyDescent="0.3">
      <c r="A453" s="3" t="s">
        <v>678</v>
      </c>
      <c r="B453" s="3" t="s">
        <v>295</v>
      </c>
      <c r="C453" s="3">
        <v>52</v>
      </c>
      <c r="D453" s="3" t="s">
        <v>21</v>
      </c>
      <c r="E453" s="3">
        <v>61566</v>
      </c>
      <c r="F453" s="3">
        <v>300000</v>
      </c>
      <c r="G453" s="3">
        <v>84</v>
      </c>
      <c r="H453" s="3">
        <v>11.73</v>
      </c>
      <c r="I453" s="3" t="s">
        <v>31</v>
      </c>
      <c r="J453" s="3">
        <v>889</v>
      </c>
      <c r="K453" s="29">
        <v>45001</v>
      </c>
      <c r="L453" s="29" t="s">
        <v>680</v>
      </c>
      <c r="M453" s="3" t="s">
        <v>24</v>
      </c>
      <c r="N453" s="3">
        <v>5252.6</v>
      </c>
      <c r="O453" s="3" t="s">
        <v>105</v>
      </c>
      <c r="P453" s="3" t="s">
        <v>130</v>
      </c>
      <c r="Q453" s="3" t="s">
        <v>35</v>
      </c>
      <c r="R453" s="3">
        <v>6</v>
      </c>
      <c r="S453" s="3">
        <v>134543.1</v>
      </c>
      <c r="T453" s="38" t="s">
        <v>2867</v>
      </c>
      <c r="U453" s="13"/>
    </row>
    <row r="454" spans="1:21" x14ac:dyDescent="0.3">
      <c r="A454" s="3" t="s">
        <v>1304</v>
      </c>
      <c r="B454" s="3" t="s">
        <v>1305</v>
      </c>
      <c r="C454" s="3">
        <v>30</v>
      </c>
      <c r="D454" s="3" t="s">
        <v>72</v>
      </c>
      <c r="E454" s="3">
        <v>138400</v>
      </c>
      <c r="F454" s="3">
        <v>1000000</v>
      </c>
      <c r="G454" s="3">
        <v>12</v>
      </c>
      <c r="H454" s="3">
        <v>9.0399999999999991</v>
      </c>
      <c r="I454" s="3" t="s">
        <v>46</v>
      </c>
      <c r="J454" s="3">
        <v>388</v>
      </c>
      <c r="K454" s="29">
        <v>45110</v>
      </c>
      <c r="L454" s="29" t="s">
        <v>1307</v>
      </c>
      <c r="M454" s="3" t="s">
        <v>24</v>
      </c>
      <c r="N454" s="3">
        <v>87470.03</v>
      </c>
      <c r="O454" s="3" t="s">
        <v>60</v>
      </c>
      <c r="P454" s="3" t="s">
        <v>2997</v>
      </c>
      <c r="Q454" s="3" t="s">
        <v>42</v>
      </c>
      <c r="R454" s="3">
        <v>0</v>
      </c>
      <c r="S454" s="3">
        <v>134046.70000000001</v>
      </c>
      <c r="T454" s="38" t="s">
        <v>2879</v>
      </c>
      <c r="U454" s="13"/>
    </row>
    <row r="455" spans="1:21" x14ac:dyDescent="0.3">
      <c r="A455" s="2" t="s">
        <v>2744</v>
      </c>
      <c r="B455" s="2" t="s">
        <v>2745</v>
      </c>
      <c r="C455" s="2">
        <v>59</v>
      </c>
      <c r="D455" s="2" t="s">
        <v>72</v>
      </c>
      <c r="E455" s="2">
        <v>210205</v>
      </c>
      <c r="F455" s="2">
        <v>150000</v>
      </c>
      <c r="G455" s="2">
        <v>180</v>
      </c>
      <c r="H455" s="2">
        <v>15.58</v>
      </c>
      <c r="I455" s="2" t="s">
        <v>31</v>
      </c>
      <c r="J455" s="2">
        <v>696</v>
      </c>
      <c r="K455" s="30">
        <v>44271</v>
      </c>
      <c r="L455" s="30" t="s">
        <v>1665</v>
      </c>
      <c r="M455" s="2" t="s">
        <v>33</v>
      </c>
      <c r="N455" s="2">
        <v>2159.29</v>
      </c>
      <c r="O455" s="2" t="s">
        <v>48</v>
      </c>
      <c r="P455" s="2" t="s">
        <v>199</v>
      </c>
      <c r="Q455" s="2" t="s">
        <v>35</v>
      </c>
      <c r="R455" s="2">
        <v>3</v>
      </c>
      <c r="S455" s="2">
        <v>130566.39</v>
      </c>
      <c r="T455" s="38" t="s">
        <v>2871</v>
      </c>
      <c r="U455" s="13"/>
    </row>
    <row r="456" spans="1:21" x14ac:dyDescent="0.3">
      <c r="A456" s="2" t="s">
        <v>1322</v>
      </c>
      <c r="B456" s="2" t="s">
        <v>1323</v>
      </c>
      <c r="C456" s="2">
        <v>31</v>
      </c>
      <c r="D456" s="2" t="s">
        <v>30</v>
      </c>
      <c r="E456" s="2">
        <v>133744</v>
      </c>
      <c r="F456" s="2">
        <v>500000</v>
      </c>
      <c r="G456" s="2">
        <v>60</v>
      </c>
      <c r="H456" s="2">
        <v>13.15</v>
      </c>
      <c r="I456" s="2" t="s">
        <v>31</v>
      </c>
      <c r="J456" s="2">
        <v>500</v>
      </c>
      <c r="K456" s="30">
        <v>44820</v>
      </c>
      <c r="L456" s="30" t="s">
        <v>1298</v>
      </c>
      <c r="M456" s="2" t="s">
        <v>24</v>
      </c>
      <c r="N456" s="2">
        <v>11414.97</v>
      </c>
      <c r="O456" s="2" t="s">
        <v>105</v>
      </c>
      <c r="P456" s="2" t="s">
        <v>130</v>
      </c>
      <c r="Q456" s="2" t="s">
        <v>42</v>
      </c>
      <c r="R456" s="2">
        <v>1</v>
      </c>
      <c r="S456" s="2">
        <v>130154.97</v>
      </c>
      <c r="T456" s="38" t="s">
        <v>2879</v>
      </c>
      <c r="U456" s="13"/>
    </row>
    <row r="457" spans="1:21" x14ac:dyDescent="0.3">
      <c r="A457" s="2" t="s">
        <v>2725</v>
      </c>
      <c r="B457" s="2" t="s">
        <v>2726</v>
      </c>
      <c r="C457" s="2">
        <v>48</v>
      </c>
      <c r="D457" s="2" t="s">
        <v>72</v>
      </c>
      <c r="E457" s="2">
        <v>142636</v>
      </c>
      <c r="F457" s="2">
        <v>250000</v>
      </c>
      <c r="G457" s="2">
        <v>36</v>
      </c>
      <c r="H457" s="2">
        <v>8.11</v>
      </c>
      <c r="I457" s="2" t="s">
        <v>251</v>
      </c>
      <c r="J457" s="2">
        <v>545</v>
      </c>
      <c r="K457" s="30">
        <v>44611</v>
      </c>
      <c r="L457" s="30" t="s">
        <v>2050</v>
      </c>
      <c r="M457" s="2" t="s">
        <v>33</v>
      </c>
      <c r="N457" s="2">
        <v>7846.78</v>
      </c>
      <c r="O457" s="2" t="s">
        <v>54</v>
      </c>
      <c r="P457" s="2" t="s">
        <v>99</v>
      </c>
      <c r="Q457" s="2" t="s">
        <v>42</v>
      </c>
      <c r="R457" s="2">
        <v>1</v>
      </c>
      <c r="S457" s="2">
        <v>129944.27</v>
      </c>
      <c r="T457" s="38" t="s">
        <v>2879</v>
      </c>
      <c r="U457" s="13"/>
    </row>
    <row r="458" spans="1:21" x14ac:dyDescent="0.3">
      <c r="A458" s="3" t="s">
        <v>921</v>
      </c>
      <c r="B458" s="3" t="s">
        <v>922</v>
      </c>
      <c r="C458" s="3">
        <v>29</v>
      </c>
      <c r="D458" s="3" t="s">
        <v>65</v>
      </c>
      <c r="E458" s="3">
        <v>131474</v>
      </c>
      <c r="F458" s="3">
        <v>300000</v>
      </c>
      <c r="G458" s="3">
        <v>24</v>
      </c>
      <c r="H458" s="3">
        <v>15.44</v>
      </c>
      <c r="I458" s="3" t="s">
        <v>31</v>
      </c>
      <c r="J458" s="3">
        <v>456</v>
      </c>
      <c r="K458" s="29">
        <v>44403</v>
      </c>
      <c r="L458" s="29" t="s">
        <v>567</v>
      </c>
      <c r="M458" s="3" t="s">
        <v>33</v>
      </c>
      <c r="N458" s="3">
        <v>14608.79</v>
      </c>
      <c r="O458" s="3" t="s">
        <v>105</v>
      </c>
      <c r="P458" s="3" t="s">
        <v>114</v>
      </c>
      <c r="Q458" s="3" t="s">
        <v>27</v>
      </c>
      <c r="R458" s="3">
        <v>1</v>
      </c>
      <c r="S458" s="3">
        <v>129077.16</v>
      </c>
      <c r="T458" s="38" t="s">
        <v>2879</v>
      </c>
      <c r="U458" s="13"/>
    </row>
    <row r="459" spans="1:21" x14ac:dyDescent="0.3">
      <c r="A459" s="3" t="s">
        <v>1200</v>
      </c>
      <c r="B459" s="3" t="s">
        <v>584</v>
      </c>
      <c r="C459" s="3">
        <v>42</v>
      </c>
      <c r="D459" s="3" t="s">
        <v>45</v>
      </c>
      <c r="E459" s="3">
        <v>197915</v>
      </c>
      <c r="F459" s="3">
        <v>150000</v>
      </c>
      <c r="G459" s="3">
        <v>36</v>
      </c>
      <c r="H459" s="3">
        <v>8.23</v>
      </c>
      <c r="I459" s="3" t="s">
        <v>73</v>
      </c>
      <c r="J459" s="3">
        <v>756</v>
      </c>
      <c r="K459" s="29">
        <v>44651</v>
      </c>
      <c r="L459" s="29" t="s">
        <v>1201</v>
      </c>
      <c r="M459" s="3" t="s">
        <v>24</v>
      </c>
      <c r="N459" s="3">
        <v>4716.3900000000003</v>
      </c>
      <c r="O459" s="3" t="s">
        <v>54</v>
      </c>
      <c r="P459" s="3" t="s">
        <v>99</v>
      </c>
      <c r="Q459" s="3" t="s">
        <v>42</v>
      </c>
      <c r="R459" s="3">
        <v>2</v>
      </c>
      <c r="S459" s="3">
        <v>128776.24</v>
      </c>
      <c r="T459" s="38" t="s">
        <v>2867</v>
      </c>
      <c r="U459" s="13"/>
    </row>
    <row r="460" spans="1:21" x14ac:dyDescent="0.3">
      <c r="A460" s="2" t="s">
        <v>417</v>
      </c>
      <c r="B460" s="2" t="s">
        <v>418</v>
      </c>
      <c r="C460" s="2">
        <v>48</v>
      </c>
      <c r="D460" s="2" t="s">
        <v>21</v>
      </c>
      <c r="E460" s="2">
        <v>192968</v>
      </c>
      <c r="F460" s="2">
        <v>750000</v>
      </c>
      <c r="G460" s="2">
        <v>12</v>
      </c>
      <c r="H460" s="2">
        <v>18.940000000000001</v>
      </c>
      <c r="I460" s="2" t="s">
        <v>38</v>
      </c>
      <c r="J460" s="2">
        <v>367</v>
      </c>
      <c r="K460" s="30">
        <v>44988</v>
      </c>
      <c r="L460" s="30" t="s">
        <v>419</v>
      </c>
      <c r="M460" s="2" t="s">
        <v>24</v>
      </c>
      <c r="N460" s="2">
        <v>69095.960000000006</v>
      </c>
      <c r="O460" s="2" t="s">
        <v>48</v>
      </c>
      <c r="P460" s="2" t="s">
        <v>49</v>
      </c>
      <c r="Q460" s="2" t="s">
        <v>42</v>
      </c>
      <c r="R460" s="2">
        <v>2</v>
      </c>
      <c r="S460" s="2">
        <v>128136.36</v>
      </c>
      <c r="T460" s="38" t="s">
        <v>2879</v>
      </c>
      <c r="U460" s="13"/>
    </row>
    <row r="461" spans="1:21" x14ac:dyDescent="0.3">
      <c r="A461" s="3" t="s">
        <v>2711</v>
      </c>
      <c r="B461" s="3" t="s">
        <v>1765</v>
      </c>
      <c r="C461" s="3">
        <v>49</v>
      </c>
      <c r="D461" s="3" t="s">
        <v>30</v>
      </c>
      <c r="E461" s="3">
        <v>90095</v>
      </c>
      <c r="F461" s="3">
        <v>150000</v>
      </c>
      <c r="G461" s="3">
        <v>36</v>
      </c>
      <c r="H461" s="3">
        <v>12.37</v>
      </c>
      <c r="I461" s="3" t="s">
        <v>38</v>
      </c>
      <c r="J461" s="3">
        <v>685</v>
      </c>
      <c r="K461" s="29">
        <v>44214</v>
      </c>
      <c r="L461" s="29" t="s">
        <v>760</v>
      </c>
      <c r="M461" s="3" t="s">
        <v>33</v>
      </c>
      <c r="N461" s="3">
        <v>5008.7</v>
      </c>
      <c r="O461" s="3" t="s">
        <v>25</v>
      </c>
      <c r="P461" s="3" t="s">
        <v>26</v>
      </c>
      <c r="Q461" s="3" t="s">
        <v>42</v>
      </c>
      <c r="R461" s="3">
        <v>0</v>
      </c>
      <c r="S461" s="3">
        <v>127460.85</v>
      </c>
      <c r="T461" s="38" t="s">
        <v>2871</v>
      </c>
      <c r="U461" s="13"/>
    </row>
    <row r="462" spans="1:21" x14ac:dyDescent="0.3">
      <c r="A462" s="3" t="s">
        <v>2672</v>
      </c>
      <c r="B462" s="3" t="s">
        <v>2673</v>
      </c>
      <c r="C462" s="3">
        <v>53</v>
      </c>
      <c r="D462" s="3" t="s">
        <v>72</v>
      </c>
      <c r="E462" s="3">
        <v>40082</v>
      </c>
      <c r="F462" s="3">
        <v>150000</v>
      </c>
      <c r="G462" s="3">
        <v>120</v>
      </c>
      <c r="H462" s="3">
        <v>10.7</v>
      </c>
      <c r="I462" s="3" t="s">
        <v>31</v>
      </c>
      <c r="J462" s="3">
        <v>469</v>
      </c>
      <c r="K462" s="29">
        <v>44203</v>
      </c>
      <c r="L462" s="29" t="s">
        <v>347</v>
      </c>
      <c r="M462" s="3" t="s">
        <v>24</v>
      </c>
      <c r="N462" s="3">
        <v>2040.86</v>
      </c>
      <c r="O462" s="3" t="s">
        <v>105</v>
      </c>
      <c r="P462" s="3" t="s">
        <v>159</v>
      </c>
      <c r="Q462" s="3" t="s">
        <v>27</v>
      </c>
      <c r="R462" s="3">
        <v>1</v>
      </c>
      <c r="S462" s="3">
        <v>126121.94</v>
      </c>
      <c r="T462" s="38" t="s">
        <v>2879</v>
      </c>
      <c r="U462" s="13"/>
    </row>
    <row r="463" spans="1:21" x14ac:dyDescent="0.3">
      <c r="A463" s="2" t="s">
        <v>2618</v>
      </c>
      <c r="B463" s="2" t="s">
        <v>2619</v>
      </c>
      <c r="C463" s="2">
        <v>57</v>
      </c>
      <c r="D463" s="2" t="s">
        <v>65</v>
      </c>
      <c r="E463" s="2">
        <v>222608</v>
      </c>
      <c r="F463" s="2">
        <v>150000</v>
      </c>
      <c r="G463" s="2">
        <v>12</v>
      </c>
      <c r="H463" s="2">
        <v>11.65</v>
      </c>
      <c r="I463" s="2" t="s">
        <v>22</v>
      </c>
      <c r="J463" s="2">
        <v>676</v>
      </c>
      <c r="K463" s="30">
        <v>44961</v>
      </c>
      <c r="L463" s="30" t="s">
        <v>53</v>
      </c>
      <c r="M463" s="2" t="s">
        <v>24</v>
      </c>
      <c r="N463" s="2">
        <v>13302.77</v>
      </c>
      <c r="O463" s="2" t="s">
        <v>60</v>
      </c>
      <c r="P463" s="2" t="s">
        <v>2997</v>
      </c>
      <c r="Q463" s="2" t="s">
        <v>35</v>
      </c>
      <c r="R463" s="2">
        <v>8</v>
      </c>
      <c r="S463" s="2">
        <v>126055.01</v>
      </c>
      <c r="T463" s="38" t="s">
        <v>2871</v>
      </c>
      <c r="U463" s="13"/>
    </row>
    <row r="464" spans="1:21" x14ac:dyDescent="0.3">
      <c r="A464" s="2" t="s">
        <v>139</v>
      </c>
      <c r="B464" s="2" t="s">
        <v>140</v>
      </c>
      <c r="C464" s="2">
        <v>39</v>
      </c>
      <c r="D464" s="2" t="s">
        <v>21</v>
      </c>
      <c r="E464" s="2">
        <v>173552</v>
      </c>
      <c r="F464" s="2">
        <v>150000</v>
      </c>
      <c r="G464" s="2">
        <v>84</v>
      </c>
      <c r="H464" s="2">
        <v>10.45</v>
      </c>
      <c r="I464" s="2" t="s">
        <v>66</v>
      </c>
      <c r="J464" s="2">
        <v>817</v>
      </c>
      <c r="K464" s="30">
        <v>45064</v>
      </c>
      <c r="L464" s="30" t="s">
        <v>142</v>
      </c>
      <c r="M464" s="2" t="s">
        <v>24</v>
      </c>
      <c r="N464" s="2">
        <v>2525.19</v>
      </c>
      <c r="O464" s="2" t="s">
        <v>60</v>
      </c>
      <c r="P464" s="2" t="s">
        <v>61</v>
      </c>
      <c r="Q464" s="2" t="s">
        <v>35</v>
      </c>
      <c r="R464" s="2">
        <v>0</v>
      </c>
      <c r="S464" s="2">
        <v>125000.62</v>
      </c>
      <c r="T464" s="38" t="s">
        <v>2867</v>
      </c>
      <c r="U464" s="13"/>
    </row>
    <row r="465" spans="1:21" x14ac:dyDescent="0.3">
      <c r="A465" s="2" t="s">
        <v>2625</v>
      </c>
      <c r="B465" s="2" t="s">
        <v>2626</v>
      </c>
      <c r="C465" s="2">
        <v>58</v>
      </c>
      <c r="D465" s="2" t="s">
        <v>588</v>
      </c>
      <c r="E465" s="2">
        <v>81772</v>
      </c>
      <c r="F465" s="2">
        <v>500000</v>
      </c>
      <c r="G465" s="2">
        <v>36</v>
      </c>
      <c r="H465" s="2">
        <v>18.23</v>
      </c>
      <c r="I465" s="2" t="s">
        <v>38</v>
      </c>
      <c r="J465" s="2">
        <v>800</v>
      </c>
      <c r="K465" s="30">
        <v>45005</v>
      </c>
      <c r="L465" s="30" t="s">
        <v>211</v>
      </c>
      <c r="M465" s="2" t="s">
        <v>33</v>
      </c>
      <c r="N465" s="2">
        <v>18133.939999999999</v>
      </c>
      <c r="O465" s="2" t="s">
        <v>25</v>
      </c>
      <c r="P465" s="2" t="s">
        <v>151</v>
      </c>
      <c r="Q465" s="2" t="s">
        <v>42</v>
      </c>
      <c r="R465" s="2">
        <v>2</v>
      </c>
      <c r="S465" s="2">
        <v>124627.44</v>
      </c>
      <c r="T465" s="38" t="s">
        <v>2867</v>
      </c>
      <c r="U465" s="13"/>
    </row>
    <row r="466" spans="1:21" x14ac:dyDescent="0.3">
      <c r="A466" s="3" t="s">
        <v>2790</v>
      </c>
      <c r="B466" s="3" t="s">
        <v>2791</v>
      </c>
      <c r="C466" s="3">
        <v>24</v>
      </c>
      <c r="D466" s="3" t="s">
        <v>30</v>
      </c>
      <c r="E466" s="3">
        <v>66342</v>
      </c>
      <c r="F466" s="3">
        <v>150000</v>
      </c>
      <c r="G466" s="3">
        <v>48</v>
      </c>
      <c r="H466" s="3">
        <v>9.42</v>
      </c>
      <c r="I466" s="3" t="s">
        <v>31</v>
      </c>
      <c r="J466" s="3">
        <v>362</v>
      </c>
      <c r="K466" s="29">
        <v>44261</v>
      </c>
      <c r="L466" s="29" t="s">
        <v>1714</v>
      </c>
      <c r="M466" s="3" t="s">
        <v>122</v>
      </c>
      <c r="N466" s="3">
        <v>3762.74</v>
      </c>
      <c r="O466" s="3" t="s">
        <v>60</v>
      </c>
      <c r="P466" s="3" t="s">
        <v>192</v>
      </c>
      <c r="Q466" s="3" t="s">
        <v>42</v>
      </c>
      <c r="R466" s="3">
        <v>2</v>
      </c>
      <c r="S466" s="3">
        <v>122908.27</v>
      </c>
      <c r="T466" s="38" t="s">
        <v>2879</v>
      </c>
      <c r="U466" s="13"/>
    </row>
    <row r="467" spans="1:21" x14ac:dyDescent="0.3">
      <c r="A467" s="3" t="s">
        <v>485</v>
      </c>
      <c r="B467" s="3" t="s">
        <v>486</v>
      </c>
      <c r="C467" s="3">
        <v>57</v>
      </c>
      <c r="D467" s="3" t="s">
        <v>45</v>
      </c>
      <c r="E467" s="3">
        <v>91116</v>
      </c>
      <c r="F467" s="3">
        <v>200000</v>
      </c>
      <c r="G467" s="3">
        <v>36</v>
      </c>
      <c r="H467" s="3">
        <v>17.82</v>
      </c>
      <c r="I467" s="3" t="s">
        <v>251</v>
      </c>
      <c r="J467" s="3">
        <v>670</v>
      </c>
      <c r="K467" s="29">
        <v>44481</v>
      </c>
      <c r="L467" s="29" t="s">
        <v>488</v>
      </c>
      <c r="M467" s="3" t="s">
        <v>24</v>
      </c>
      <c r="N467" s="3">
        <v>7212.43</v>
      </c>
      <c r="O467" s="3" t="s">
        <v>54</v>
      </c>
      <c r="P467" s="3" t="s">
        <v>2996</v>
      </c>
      <c r="Q467" s="3" t="s">
        <v>62</v>
      </c>
      <c r="R467" s="3">
        <v>0</v>
      </c>
      <c r="S467" s="3">
        <v>122105.76</v>
      </c>
      <c r="T467" s="38" t="s">
        <v>2871</v>
      </c>
      <c r="U467" s="13"/>
    </row>
    <row r="468" spans="1:21" x14ac:dyDescent="0.3">
      <c r="A468" s="2" t="s">
        <v>1308</v>
      </c>
      <c r="B468" s="2" t="s">
        <v>624</v>
      </c>
      <c r="C468" s="2">
        <v>43</v>
      </c>
      <c r="D468" s="2" t="s">
        <v>30</v>
      </c>
      <c r="E468" s="2">
        <v>201882</v>
      </c>
      <c r="F468" s="2">
        <v>2000000</v>
      </c>
      <c r="G468" s="2">
        <v>240</v>
      </c>
      <c r="H468" s="2">
        <v>8.64</v>
      </c>
      <c r="I468" s="2" t="s">
        <v>31</v>
      </c>
      <c r="J468" s="2">
        <v>881</v>
      </c>
      <c r="K468" s="30">
        <v>44396</v>
      </c>
      <c r="L468" s="30" t="s">
        <v>1309</v>
      </c>
      <c r="M468" s="2" t="s">
        <v>33</v>
      </c>
      <c r="N468" s="2">
        <v>17534.09</v>
      </c>
      <c r="O468" s="2" t="s">
        <v>105</v>
      </c>
      <c r="P468" s="2" t="s">
        <v>114</v>
      </c>
      <c r="Q468" s="2" t="s">
        <v>42</v>
      </c>
      <c r="R468" s="2">
        <v>2</v>
      </c>
      <c r="S468" s="2">
        <v>122098.96</v>
      </c>
      <c r="T468" s="38" t="s">
        <v>2867</v>
      </c>
      <c r="U468" s="13"/>
    </row>
    <row r="469" spans="1:21" x14ac:dyDescent="0.3">
      <c r="A469" s="3" t="s">
        <v>1018</v>
      </c>
      <c r="B469" s="3" t="s">
        <v>2945</v>
      </c>
      <c r="C469" s="3">
        <v>36</v>
      </c>
      <c r="D469" s="3" t="s">
        <v>45</v>
      </c>
      <c r="E469" s="3">
        <v>233824</v>
      </c>
      <c r="F469" s="3">
        <v>200000</v>
      </c>
      <c r="G469" s="3">
        <v>48</v>
      </c>
      <c r="H469" s="3">
        <v>9.16</v>
      </c>
      <c r="I469" s="3" t="s">
        <v>46</v>
      </c>
      <c r="J469" s="3">
        <v>862</v>
      </c>
      <c r="K469" s="29">
        <v>44334</v>
      </c>
      <c r="L469" s="29" t="s">
        <v>1020</v>
      </c>
      <c r="M469" s="3" t="s">
        <v>24</v>
      </c>
      <c r="N469" s="3">
        <v>4992.22</v>
      </c>
      <c r="O469" s="3" t="s">
        <v>60</v>
      </c>
      <c r="P469" s="3" t="s">
        <v>69</v>
      </c>
      <c r="Q469" s="3" t="s">
        <v>42</v>
      </c>
      <c r="R469" s="3">
        <v>0</v>
      </c>
      <c r="S469" s="3">
        <v>119126.04</v>
      </c>
      <c r="T469" s="38" t="s">
        <v>2867</v>
      </c>
      <c r="U469" s="13"/>
    </row>
    <row r="470" spans="1:21" x14ac:dyDescent="0.3">
      <c r="A470" s="3" t="s">
        <v>866</v>
      </c>
      <c r="B470" s="3" t="s">
        <v>867</v>
      </c>
      <c r="C470" s="3">
        <v>45</v>
      </c>
      <c r="D470" s="3" t="s">
        <v>72</v>
      </c>
      <c r="E470" s="3">
        <v>103569</v>
      </c>
      <c r="F470" s="3">
        <v>2000000</v>
      </c>
      <c r="G470" s="3">
        <v>60</v>
      </c>
      <c r="H470" s="3">
        <v>12.01</v>
      </c>
      <c r="I470" s="3" t="s">
        <v>31</v>
      </c>
      <c r="J470" s="3">
        <v>400</v>
      </c>
      <c r="K470" s="29">
        <v>45104</v>
      </c>
      <c r="L470" s="29" t="s">
        <v>868</v>
      </c>
      <c r="M470" s="3" t="s">
        <v>122</v>
      </c>
      <c r="N470" s="3">
        <v>44499</v>
      </c>
      <c r="O470" s="3" t="s">
        <v>105</v>
      </c>
      <c r="P470" s="3" t="s">
        <v>159</v>
      </c>
      <c r="Q470" s="3" t="s">
        <v>62</v>
      </c>
      <c r="R470" s="3">
        <v>1</v>
      </c>
      <c r="S470" s="3">
        <v>117692.3</v>
      </c>
      <c r="T470" s="38" t="s">
        <v>2879</v>
      </c>
      <c r="U470" s="13"/>
    </row>
    <row r="471" spans="1:21" x14ac:dyDescent="0.3">
      <c r="A471" s="2" t="s">
        <v>2516</v>
      </c>
      <c r="B471" s="2" t="s">
        <v>20</v>
      </c>
      <c r="C471" s="2">
        <v>29</v>
      </c>
      <c r="D471" s="2" t="s">
        <v>30</v>
      </c>
      <c r="E471" s="2">
        <v>222405</v>
      </c>
      <c r="F471" s="2">
        <v>400000</v>
      </c>
      <c r="G471" s="2">
        <v>24</v>
      </c>
      <c r="H471" s="2">
        <v>10.16</v>
      </c>
      <c r="I471" s="2" t="s">
        <v>38</v>
      </c>
      <c r="J471" s="2">
        <v>471</v>
      </c>
      <c r="K471" s="30">
        <v>44783</v>
      </c>
      <c r="L471" s="30" t="s">
        <v>713</v>
      </c>
      <c r="M471" s="2" t="s">
        <v>24</v>
      </c>
      <c r="N471" s="2">
        <v>18487.52</v>
      </c>
      <c r="O471" s="2" t="s">
        <v>48</v>
      </c>
      <c r="P471" s="2" t="s">
        <v>80</v>
      </c>
      <c r="Q471" s="2" t="s">
        <v>42</v>
      </c>
      <c r="R471" s="2">
        <v>1</v>
      </c>
      <c r="S471" s="2">
        <v>117140.94</v>
      </c>
      <c r="T471" s="38" t="s">
        <v>2879</v>
      </c>
      <c r="U471" s="13"/>
    </row>
    <row r="472" spans="1:21" x14ac:dyDescent="0.3">
      <c r="A472" s="3" t="s">
        <v>561</v>
      </c>
      <c r="B472" s="3" t="s">
        <v>562</v>
      </c>
      <c r="C472" s="3">
        <v>56</v>
      </c>
      <c r="D472" s="3" t="s">
        <v>72</v>
      </c>
      <c r="E472" s="3">
        <v>60892</v>
      </c>
      <c r="F472" s="3">
        <v>300000</v>
      </c>
      <c r="G472" s="3">
        <v>36</v>
      </c>
      <c r="H472" s="3">
        <v>21.04</v>
      </c>
      <c r="I472" s="3" t="s">
        <v>46</v>
      </c>
      <c r="J472" s="3">
        <v>706</v>
      </c>
      <c r="K472" s="29">
        <v>44273</v>
      </c>
      <c r="L472" s="29" t="s">
        <v>564</v>
      </c>
      <c r="M472" s="3" t="s">
        <v>24</v>
      </c>
      <c r="N472" s="3">
        <v>11308.68</v>
      </c>
      <c r="O472" s="3" t="s">
        <v>60</v>
      </c>
      <c r="P472" s="3" t="s">
        <v>192</v>
      </c>
      <c r="Q472" s="3" t="s">
        <v>42</v>
      </c>
      <c r="R472" s="3">
        <v>2</v>
      </c>
      <c r="S472" s="3">
        <v>116799.38</v>
      </c>
      <c r="T472" s="38" t="s">
        <v>2871</v>
      </c>
      <c r="U472" s="13"/>
    </row>
    <row r="473" spans="1:21" x14ac:dyDescent="0.3">
      <c r="A473" s="2" t="s">
        <v>428</v>
      </c>
      <c r="B473" s="2" t="s">
        <v>429</v>
      </c>
      <c r="C473" s="2">
        <v>50</v>
      </c>
      <c r="D473" s="2" t="s">
        <v>72</v>
      </c>
      <c r="E473" s="2">
        <v>122704</v>
      </c>
      <c r="F473" s="2">
        <v>250000</v>
      </c>
      <c r="G473" s="2">
        <v>48</v>
      </c>
      <c r="H473" s="2">
        <v>21.56</v>
      </c>
      <c r="I473" s="2" t="s">
        <v>66</v>
      </c>
      <c r="J473" s="2">
        <v>759</v>
      </c>
      <c r="K473" s="30">
        <v>45157</v>
      </c>
      <c r="L473" s="30" t="s">
        <v>430</v>
      </c>
      <c r="M473" s="2" t="s">
        <v>24</v>
      </c>
      <c r="N473" s="2">
        <v>7816.92</v>
      </c>
      <c r="O473" s="2" t="s">
        <v>105</v>
      </c>
      <c r="P473" s="2" t="s">
        <v>2999</v>
      </c>
      <c r="Q473" s="2" t="s">
        <v>42</v>
      </c>
      <c r="R473" s="2">
        <v>0</v>
      </c>
      <c r="S473" s="2">
        <v>116330.67</v>
      </c>
      <c r="T473" s="38" t="s">
        <v>2867</v>
      </c>
      <c r="U473" s="13"/>
    </row>
    <row r="474" spans="1:21" x14ac:dyDescent="0.3">
      <c r="A474" s="2" t="s">
        <v>371</v>
      </c>
      <c r="B474" s="2" t="s">
        <v>372</v>
      </c>
      <c r="C474" s="2">
        <v>28</v>
      </c>
      <c r="D474" s="2" t="s">
        <v>45</v>
      </c>
      <c r="E474" s="2">
        <v>148015</v>
      </c>
      <c r="F474" s="2">
        <v>150000</v>
      </c>
      <c r="G474" s="2">
        <v>36</v>
      </c>
      <c r="H474" s="2">
        <v>17.02</v>
      </c>
      <c r="I474" s="2" t="s">
        <v>83</v>
      </c>
      <c r="J474" s="2">
        <v>410</v>
      </c>
      <c r="K474" s="30">
        <v>44767</v>
      </c>
      <c r="L474" s="30" t="s">
        <v>374</v>
      </c>
      <c r="M474" s="2"/>
      <c r="N474" s="2">
        <v>5349.4</v>
      </c>
      <c r="O474" s="2" t="s">
        <v>48</v>
      </c>
      <c r="P474" s="2" t="s">
        <v>375</v>
      </c>
      <c r="Q474" s="2" t="s">
        <v>42</v>
      </c>
      <c r="R474" s="2">
        <v>1</v>
      </c>
      <c r="S474" s="2">
        <v>116298.78</v>
      </c>
      <c r="T474" s="38" t="s">
        <v>2879</v>
      </c>
      <c r="U474" s="13"/>
    </row>
    <row r="475" spans="1:21" x14ac:dyDescent="0.3">
      <c r="A475" s="2" t="s">
        <v>1931</v>
      </c>
      <c r="B475" s="2" t="s">
        <v>1932</v>
      </c>
      <c r="C475" s="2">
        <v>37</v>
      </c>
      <c r="D475" s="2" t="s">
        <v>21</v>
      </c>
      <c r="E475" s="2">
        <v>70058</v>
      </c>
      <c r="F475" s="2">
        <v>750000</v>
      </c>
      <c r="G475" s="2">
        <v>120</v>
      </c>
      <c r="H475" s="2">
        <v>8.76</v>
      </c>
      <c r="I475" s="2" t="s">
        <v>22</v>
      </c>
      <c r="J475" s="2">
        <v>433</v>
      </c>
      <c r="K475" s="30">
        <v>44587</v>
      </c>
      <c r="L475" s="30" t="s">
        <v>1358</v>
      </c>
      <c r="M475" s="2" t="s">
        <v>33</v>
      </c>
      <c r="N475" s="2">
        <v>9403.5400000000009</v>
      </c>
      <c r="O475" s="2" t="s">
        <v>54</v>
      </c>
      <c r="P475" s="2" t="s">
        <v>304</v>
      </c>
      <c r="Q475" s="2" t="s">
        <v>42</v>
      </c>
      <c r="R475" s="2">
        <v>0</v>
      </c>
      <c r="S475" s="2">
        <v>115261.05</v>
      </c>
      <c r="T475" s="38" t="s">
        <v>2879</v>
      </c>
      <c r="U475" s="13"/>
    </row>
    <row r="476" spans="1:21" x14ac:dyDescent="0.3">
      <c r="A476" s="3" t="s">
        <v>2127</v>
      </c>
      <c r="B476" s="3" t="s">
        <v>2128</v>
      </c>
      <c r="C476" s="3">
        <v>25</v>
      </c>
      <c r="D476" s="3" t="s">
        <v>72</v>
      </c>
      <c r="E476" s="3">
        <v>29337</v>
      </c>
      <c r="F476" s="3">
        <v>200000</v>
      </c>
      <c r="G476" s="3">
        <v>24</v>
      </c>
      <c r="H476" s="3">
        <v>12.34</v>
      </c>
      <c r="I476" s="3" t="s">
        <v>22</v>
      </c>
      <c r="J476" s="3">
        <v>597</v>
      </c>
      <c r="K476" s="29">
        <v>44321</v>
      </c>
      <c r="L476" s="29" t="s">
        <v>585</v>
      </c>
      <c r="M476" s="3" t="s">
        <v>33</v>
      </c>
      <c r="N476" s="3">
        <v>9446.48</v>
      </c>
      <c r="O476" s="3" t="s">
        <v>54</v>
      </c>
      <c r="P476" s="3" t="s">
        <v>164</v>
      </c>
      <c r="Q476" s="3" t="s">
        <v>27</v>
      </c>
      <c r="R476" s="3">
        <v>2</v>
      </c>
      <c r="S476" s="3">
        <v>114981.68</v>
      </c>
      <c r="T476" s="38" t="s">
        <v>2875</v>
      </c>
      <c r="U476" s="13"/>
    </row>
    <row r="477" spans="1:21" x14ac:dyDescent="0.3">
      <c r="A477" s="3" t="s">
        <v>2510</v>
      </c>
      <c r="B477" s="3" t="s">
        <v>2511</v>
      </c>
      <c r="C477" s="3">
        <v>26</v>
      </c>
      <c r="D477" s="3" t="s">
        <v>30</v>
      </c>
      <c r="E477" s="3">
        <v>144833</v>
      </c>
      <c r="F477" s="3">
        <v>150000</v>
      </c>
      <c r="G477" s="3">
        <v>12</v>
      </c>
      <c r="H477" s="3">
        <v>8.16</v>
      </c>
      <c r="I477" s="3" t="s">
        <v>73</v>
      </c>
      <c r="J477" s="3">
        <v>510</v>
      </c>
      <c r="K477" s="29">
        <v>44874</v>
      </c>
      <c r="L477" s="29" t="s">
        <v>972</v>
      </c>
      <c r="M477" s="3" t="s">
        <v>24</v>
      </c>
      <c r="N477" s="3">
        <v>13059.36</v>
      </c>
      <c r="O477" s="3" t="s">
        <v>25</v>
      </c>
      <c r="P477" s="3" t="s">
        <v>151</v>
      </c>
      <c r="Q477" s="3" t="s">
        <v>42</v>
      </c>
      <c r="R477" s="3">
        <v>0</v>
      </c>
      <c r="S477" s="3">
        <v>114739.73</v>
      </c>
      <c r="T477" s="38" t="s">
        <v>2879</v>
      </c>
      <c r="U477" s="13"/>
    </row>
    <row r="478" spans="1:21" x14ac:dyDescent="0.3">
      <c r="A478" s="3" t="s">
        <v>586</v>
      </c>
      <c r="B478" s="3" t="s">
        <v>587</v>
      </c>
      <c r="C478" s="3">
        <v>51</v>
      </c>
      <c r="D478" s="3" t="s">
        <v>588</v>
      </c>
      <c r="E478" s="3">
        <v>30135</v>
      </c>
      <c r="F478" s="3">
        <v>500000</v>
      </c>
      <c r="G478" s="3">
        <v>180</v>
      </c>
      <c r="H478" s="3">
        <v>17.260000000000002</v>
      </c>
      <c r="I478" s="3" t="s">
        <v>66</v>
      </c>
      <c r="J478" s="3">
        <v>322</v>
      </c>
      <c r="K478" s="29">
        <v>44346</v>
      </c>
      <c r="L478" s="29" t="s">
        <v>590</v>
      </c>
      <c r="M478" s="3" t="s">
        <v>24</v>
      </c>
      <c r="N478" s="3">
        <v>7787.34</v>
      </c>
      <c r="O478" s="3" t="s">
        <v>60</v>
      </c>
      <c r="P478" s="3" t="s">
        <v>61</v>
      </c>
      <c r="Q478" s="3" t="s">
        <v>42</v>
      </c>
      <c r="R478" s="3">
        <v>0</v>
      </c>
      <c r="S478" s="3">
        <v>114526.67</v>
      </c>
      <c r="T478" s="38" t="s">
        <v>2879</v>
      </c>
      <c r="U478" s="13"/>
    </row>
    <row r="479" spans="1:21" x14ac:dyDescent="0.3">
      <c r="A479" s="3" t="s">
        <v>796</v>
      </c>
      <c r="B479" s="3" t="s">
        <v>578</v>
      </c>
      <c r="C479" s="3">
        <v>60</v>
      </c>
      <c r="D479" s="3" t="s">
        <v>72</v>
      </c>
      <c r="E479" s="3">
        <v>71366</v>
      </c>
      <c r="F479" s="3">
        <v>250000</v>
      </c>
      <c r="G479" s="3">
        <v>36</v>
      </c>
      <c r="H479" s="3">
        <v>8.82</v>
      </c>
      <c r="I479" s="3" t="s">
        <v>83</v>
      </c>
      <c r="J479" s="3">
        <v>664</v>
      </c>
      <c r="K479" s="29">
        <v>44729</v>
      </c>
      <c r="L479" s="29" t="s">
        <v>798</v>
      </c>
      <c r="M479" s="3" t="s">
        <v>122</v>
      </c>
      <c r="N479" s="3">
        <v>7929.01</v>
      </c>
      <c r="O479" s="3" t="s">
        <v>60</v>
      </c>
      <c r="P479" s="3" t="s">
        <v>69</v>
      </c>
      <c r="Q479" s="3" t="s">
        <v>100</v>
      </c>
      <c r="R479" s="3">
        <v>0</v>
      </c>
      <c r="S479" s="3">
        <v>114413.93</v>
      </c>
      <c r="T479" s="38" t="s">
        <v>2871</v>
      </c>
      <c r="U479" s="13"/>
    </row>
    <row r="480" spans="1:21" x14ac:dyDescent="0.3">
      <c r="A480" s="3" t="s">
        <v>2821</v>
      </c>
      <c r="B480" s="3" t="s">
        <v>2822</v>
      </c>
      <c r="C480" s="3">
        <v>65</v>
      </c>
      <c r="D480" s="3" t="s">
        <v>21</v>
      </c>
      <c r="E480" s="3">
        <v>104110</v>
      </c>
      <c r="F480" s="3">
        <v>500000</v>
      </c>
      <c r="G480" s="3">
        <v>36</v>
      </c>
      <c r="H480" s="3">
        <v>11.76</v>
      </c>
      <c r="I480" s="3" t="s">
        <v>46</v>
      </c>
      <c r="J480" s="3">
        <v>386</v>
      </c>
      <c r="K480" s="29">
        <v>44770</v>
      </c>
      <c r="L480" s="29" t="s">
        <v>360</v>
      </c>
      <c r="M480" s="3" t="s">
        <v>33</v>
      </c>
      <c r="N480" s="3">
        <v>16549.900000000001</v>
      </c>
      <c r="O480" s="3" t="s">
        <v>60</v>
      </c>
      <c r="P480" s="3" t="s">
        <v>2997</v>
      </c>
      <c r="Q480" s="3" t="s">
        <v>42</v>
      </c>
      <c r="R480" s="3">
        <v>1</v>
      </c>
      <c r="S480" s="3">
        <v>112732.34</v>
      </c>
      <c r="T480" s="38" t="s">
        <v>2879</v>
      </c>
      <c r="U480" s="13"/>
    </row>
    <row r="481" spans="1:21" x14ac:dyDescent="0.3">
      <c r="A481" s="3" t="s">
        <v>200</v>
      </c>
      <c r="B481" s="3" t="s">
        <v>201</v>
      </c>
      <c r="C481" s="3">
        <v>46</v>
      </c>
      <c r="D481" s="3" t="s">
        <v>30</v>
      </c>
      <c r="E481" s="3">
        <v>200183</v>
      </c>
      <c r="F481" s="3">
        <v>150000</v>
      </c>
      <c r="G481" s="3">
        <v>24</v>
      </c>
      <c r="H481" s="3">
        <v>13.52</v>
      </c>
      <c r="I481" s="3" t="s">
        <v>38</v>
      </c>
      <c r="J481" s="3">
        <v>855</v>
      </c>
      <c r="K481" s="29">
        <v>45057</v>
      </c>
      <c r="L481" s="29" t="s">
        <v>203</v>
      </c>
      <c r="M481" s="3" t="s">
        <v>24</v>
      </c>
      <c r="N481" s="3">
        <v>7167.97</v>
      </c>
      <c r="O481" s="3" t="s">
        <v>60</v>
      </c>
      <c r="P481" s="3" t="s">
        <v>2997</v>
      </c>
      <c r="Q481" s="3" t="s">
        <v>35</v>
      </c>
      <c r="R481" s="3">
        <v>0</v>
      </c>
      <c r="S481" s="3">
        <v>111292.96</v>
      </c>
      <c r="T481" s="38" t="s">
        <v>2867</v>
      </c>
      <c r="U481" s="13"/>
    </row>
    <row r="482" spans="1:21" x14ac:dyDescent="0.3">
      <c r="A482" s="3" t="s">
        <v>452</v>
      </c>
      <c r="B482" s="3" t="s">
        <v>453</v>
      </c>
      <c r="C482" s="3">
        <v>33</v>
      </c>
      <c r="D482" s="3" t="s">
        <v>72</v>
      </c>
      <c r="E482" s="3">
        <v>152228</v>
      </c>
      <c r="F482" s="3">
        <v>250000</v>
      </c>
      <c r="G482" s="3">
        <v>24</v>
      </c>
      <c r="H482" s="3">
        <v>21.32</v>
      </c>
      <c r="I482" s="3" t="s">
        <v>46</v>
      </c>
      <c r="J482" s="3">
        <v>699</v>
      </c>
      <c r="K482" s="29">
        <v>44961</v>
      </c>
      <c r="L482" s="29" t="s">
        <v>39</v>
      </c>
      <c r="M482" s="3" t="s">
        <v>122</v>
      </c>
      <c r="N482" s="3">
        <v>12885.74</v>
      </c>
      <c r="O482" s="3" t="s">
        <v>60</v>
      </c>
      <c r="P482" s="3" t="s">
        <v>172</v>
      </c>
      <c r="Q482" s="3" t="s">
        <v>42</v>
      </c>
      <c r="R482" s="3">
        <v>2</v>
      </c>
      <c r="S482" s="3">
        <v>110834.01</v>
      </c>
      <c r="T482" s="38" t="s">
        <v>2871</v>
      </c>
      <c r="U482" s="13"/>
    </row>
    <row r="483" spans="1:21" x14ac:dyDescent="0.3">
      <c r="A483" s="2" t="s">
        <v>1839</v>
      </c>
      <c r="B483" s="2" t="s">
        <v>1840</v>
      </c>
      <c r="C483" s="2">
        <v>27</v>
      </c>
      <c r="D483" s="2" t="s">
        <v>21</v>
      </c>
      <c r="E483" s="2">
        <v>37467</v>
      </c>
      <c r="F483" s="2">
        <v>300000</v>
      </c>
      <c r="G483" s="2">
        <v>24</v>
      </c>
      <c r="H483" s="2">
        <v>11.51</v>
      </c>
      <c r="I483" s="2" t="s">
        <v>38</v>
      </c>
      <c r="J483" s="2">
        <v>330</v>
      </c>
      <c r="K483" s="30">
        <v>44403</v>
      </c>
      <c r="L483" s="30" t="s">
        <v>885</v>
      </c>
      <c r="M483" s="2" t="s">
        <v>24</v>
      </c>
      <c r="N483" s="2">
        <v>14053.49</v>
      </c>
      <c r="O483" s="2" t="s">
        <v>54</v>
      </c>
      <c r="P483" s="2" t="s">
        <v>2996</v>
      </c>
      <c r="Q483" s="2" t="s">
        <v>62</v>
      </c>
      <c r="R483" s="2">
        <v>1</v>
      </c>
      <c r="S483" s="2">
        <v>110277.88</v>
      </c>
      <c r="T483" s="38" t="s">
        <v>2879</v>
      </c>
      <c r="U483" s="13"/>
    </row>
    <row r="484" spans="1:21" x14ac:dyDescent="0.3">
      <c r="A484" s="2" t="s">
        <v>2847</v>
      </c>
      <c r="B484" s="2" t="s">
        <v>970</v>
      </c>
      <c r="C484" s="2">
        <v>28</v>
      </c>
      <c r="D484" s="2" t="s">
        <v>30</v>
      </c>
      <c r="E484" s="2">
        <v>216220</v>
      </c>
      <c r="F484" s="2">
        <v>150000</v>
      </c>
      <c r="G484" s="2">
        <v>60</v>
      </c>
      <c r="H484" s="2">
        <v>20.51</v>
      </c>
      <c r="I484" s="2" t="s">
        <v>38</v>
      </c>
      <c r="J484" s="2">
        <v>353</v>
      </c>
      <c r="K484" s="30">
        <v>45090</v>
      </c>
      <c r="L484" s="30" t="s">
        <v>1003</v>
      </c>
      <c r="M484" s="2" t="s">
        <v>33</v>
      </c>
      <c r="N484" s="2">
        <v>4016.77</v>
      </c>
      <c r="O484" s="2" t="s">
        <v>60</v>
      </c>
      <c r="P484" s="2" t="s">
        <v>69</v>
      </c>
      <c r="Q484" s="2" t="s">
        <v>27</v>
      </c>
      <c r="R484" s="2">
        <v>2</v>
      </c>
      <c r="S484" s="2">
        <v>110233.98</v>
      </c>
      <c r="T484" s="38" t="s">
        <v>2879</v>
      </c>
      <c r="U484" s="13"/>
    </row>
    <row r="485" spans="1:21" x14ac:dyDescent="0.3">
      <c r="A485" s="2" t="s">
        <v>887</v>
      </c>
      <c r="B485" s="2" t="s">
        <v>888</v>
      </c>
      <c r="C485" s="2">
        <v>57</v>
      </c>
      <c r="D485" s="2" t="s">
        <v>45</v>
      </c>
      <c r="E485" s="2">
        <v>174658</v>
      </c>
      <c r="F485" s="2">
        <v>200000</v>
      </c>
      <c r="G485" s="2">
        <v>60</v>
      </c>
      <c r="H485" s="2">
        <v>17.420000000000002</v>
      </c>
      <c r="I485" s="2" t="s">
        <v>31</v>
      </c>
      <c r="J485" s="2">
        <v>365</v>
      </c>
      <c r="K485" s="30">
        <v>44764</v>
      </c>
      <c r="L485" s="30" t="s">
        <v>890</v>
      </c>
      <c r="M485" s="2" t="s">
        <v>122</v>
      </c>
      <c r="N485" s="2">
        <v>5015.79</v>
      </c>
      <c r="O485" s="2" t="s">
        <v>48</v>
      </c>
      <c r="P485" s="2" t="s">
        <v>199</v>
      </c>
      <c r="Q485" s="2" t="s">
        <v>27</v>
      </c>
      <c r="R485" s="2">
        <v>2</v>
      </c>
      <c r="S485" s="2">
        <v>109715.78</v>
      </c>
      <c r="T485" s="38" t="s">
        <v>2879</v>
      </c>
      <c r="U485" s="13"/>
    </row>
    <row r="486" spans="1:21" x14ac:dyDescent="0.3">
      <c r="A486" s="2" t="s">
        <v>1557</v>
      </c>
      <c r="B486" s="2" t="s">
        <v>1558</v>
      </c>
      <c r="C486" s="2">
        <v>33</v>
      </c>
      <c r="D486" s="2" t="s">
        <v>65</v>
      </c>
      <c r="E486" s="2">
        <v>244740</v>
      </c>
      <c r="F486" s="2">
        <v>300000</v>
      </c>
      <c r="G486" s="2">
        <v>48</v>
      </c>
      <c r="H486" s="2">
        <v>7.8</v>
      </c>
      <c r="I486" s="2" t="s">
        <v>46</v>
      </c>
      <c r="J486" s="2">
        <v>871</v>
      </c>
      <c r="K486" s="30">
        <v>44603</v>
      </c>
      <c r="L486" s="30" t="s">
        <v>1559</v>
      </c>
      <c r="M486" s="2" t="s">
        <v>24</v>
      </c>
      <c r="N486" s="2">
        <v>7295.75</v>
      </c>
      <c r="O486" s="2" t="s">
        <v>54</v>
      </c>
      <c r="P486" s="2" t="s">
        <v>2996</v>
      </c>
      <c r="Q486" s="2" t="s">
        <v>42</v>
      </c>
      <c r="R486" s="2">
        <v>0</v>
      </c>
      <c r="S486" s="2">
        <v>109580.92</v>
      </c>
      <c r="T486" s="38" t="s">
        <v>2867</v>
      </c>
      <c r="U486" s="13"/>
    </row>
    <row r="487" spans="1:21" x14ac:dyDescent="0.3">
      <c r="A487" s="2" t="s">
        <v>711</v>
      </c>
      <c r="B487" s="2" t="s">
        <v>712</v>
      </c>
      <c r="C487" s="2">
        <v>48</v>
      </c>
      <c r="D487" s="2" t="s">
        <v>45</v>
      </c>
      <c r="E487" s="2">
        <v>51141</v>
      </c>
      <c r="F487" s="2">
        <v>750000</v>
      </c>
      <c r="G487" s="2">
        <v>120</v>
      </c>
      <c r="H487" s="2">
        <v>13.63</v>
      </c>
      <c r="I487" s="2" t="s">
        <v>31</v>
      </c>
      <c r="J487" s="2">
        <v>850</v>
      </c>
      <c r="K487" s="30">
        <v>44788</v>
      </c>
      <c r="L487" s="30" t="s">
        <v>713</v>
      </c>
      <c r="M487" s="2" t="s">
        <v>33</v>
      </c>
      <c r="N487" s="2">
        <v>11478.71</v>
      </c>
      <c r="O487" s="2" t="s">
        <v>105</v>
      </c>
      <c r="P487" s="2" t="s">
        <v>2999</v>
      </c>
      <c r="Q487" s="2" t="s">
        <v>100</v>
      </c>
      <c r="R487" s="2">
        <v>2</v>
      </c>
      <c r="S487" s="2">
        <v>109487.98</v>
      </c>
      <c r="T487" s="38" t="s">
        <v>2867</v>
      </c>
      <c r="U487" s="13"/>
    </row>
    <row r="488" spans="1:21" x14ac:dyDescent="0.3">
      <c r="A488" s="3" t="s">
        <v>1103</v>
      </c>
      <c r="B488" s="3" t="s">
        <v>1104</v>
      </c>
      <c r="C488" s="3">
        <v>33</v>
      </c>
      <c r="D488" s="3" t="s">
        <v>45</v>
      </c>
      <c r="E488" s="3">
        <v>83904</v>
      </c>
      <c r="F488" s="3">
        <v>150000</v>
      </c>
      <c r="G488" s="3">
        <v>60</v>
      </c>
      <c r="H488" s="3">
        <v>14.33</v>
      </c>
      <c r="I488" s="3" t="s">
        <v>38</v>
      </c>
      <c r="J488" s="3">
        <v>674</v>
      </c>
      <c r="K488" s="29">
        <v>45055</v>
      </c>
      <c r="L488" s="29" t="s">
        <v>1105</v>
      </c>
      <c r="M488" s="3" t="s">
        <v>24</v>
      </c>
      <c r="N488" s="3">
        <v>3515.95</v>
      </c>
      <c r="O488" s="3" t="s">
        <v>105</v>
      </c>
      <c r="P488" s="3" t="s">
        <v>118</v>
      </c>
      <c r="Q488" s="3" t="s">
        <v>42</v>
      </c>
      <c r="R488" s="3">
        <v>1</v>
      </c>
      <c r="S488" s="3">
        <v>108863.39</v>
      </c>
      <c r="T488" s="38" t="s">
        <v>2871</v>
      </c>
      <c r="U488" s="13"/>
    </row>
    <row r="489" spans="1:21" x14ac:dyDescent="0.3">
      <c r="A489" s="3" t="s">
        <v>1083</v>
      </c>
      <c r="B489" s="3" t="s">
        <v>1084</v>
      </c>
      <c r="C489" s="3">
        <v>60</v>
      </c>
      <c r="D489" s="3" t="s">
        <v>30</v>
      </c>
      <c r="E489" s="3">
        <v>134212</v>
      </c>
      <c r="F489" s="3">
        <v>300000</v>
      </c>
      <c r="G489" s="3">
        <v>12</v>
      </c>
      <c r="H489" s="3">
        <v>11.29</v>
      </c>
      <c r="I489" s="3" t="s">
        <v>73</v>
      </c>
      <c r="J489" s="3">
        <v>818</v>
      </c>
      <c r="K489" s="29">
        <v>44799</v>
      </c>
      <c r="L489" s="29" t="s">
        <v>1085</v>
      </c>
      <c r="M489" s="3" t="s">
        <v>24</v>
      </c>
      <c r="N489" s="3">
        <v>26555.1</v>
      </c>
      <c r="O489" s="3" t="s">
        <v>25</v>
      </c>
      <c r="P489" s="3" t="s">
        <v>123</v>
      </c>
      <c r="Q489" s="3" t="s">
        <v>35</v>
      </c>
      <c r="R489" s="3">
        <v>1</v>
      </c>
      <c r="S489" s="3">
        <v>108803.28</v>
      </c>
      <c r="T489" s="38" t="s">
        <v>2867</v>
      </c>
      <c r="U489" s="13"/>
    </row>
    <row r="490" spans="1:21" x14ac:dyDescent="0.3">
      <c r="A490" s="3" t="s">
        <v>714</v>
      </c>
      <c r="B490" s="3" t="s">
        <v>715</v>
      </c>
      <c r="C490" s="3">
        <v>50</v>
      </c>
      <c r="D490" s="3" t="s">
        <v>45</v>
      </c>
      <c r="E490" s="3">
        <v>29053</v>
      </c>
      <c r="F490" s="3">
        <v>250000</v>
      </c>
      <c r="G490" s="3">
        <v>12</v>
      </c>
      <c r="H490" s="3">
        <v>14.53</v>
      </c>
      <c r="I490" s="3" t="s">
        <v>83</v>
      </c>
      <c r="J490" s="3">
        <v>693</v>
      </c>
      <c r="K490" s="29">
        <v>45034</v>
      </c>
      <c r="L490" s="29" t="s">
        <v>683</v>
      </c>
      <c r="M490" s="3"/>
      <c r="N490" s="3">
        <v>22509.17</v>
      </c>
      <c r="O490" s="3" t="s">
        <v>54</v>
      </c>
      <c r="P490" s="3" t="s">
        <v>99</v>
      </c>
      <c r="Q490" s="3" t="s">
        <v>42</v>
      </c>
      <c r="R490" s="3">
        <v>2</v>
      </c>
      <c r="S490" s="3">
        <v>108192.23</v>
      </c>
      <c r="T490" s="38" t="s">
        <v>2871</v>
      </c>
      <c r="U490" s="13"/>
    </row>
    <row r="491" spans="1:21" x14ac:dyDescent="0.3">
      <c r="A491" s="2" t="s">
        <v>1383</v>
      </c>
      <c r="B491" s="2" t="s">
        <v>1384</v>
      </c>
      <c r="C491" s="2">
        <v>52</v>
      </c>
      <c r="D491" s="2" t="s">
        <v>45</v>
      </c>
      <c r="E491" s="2">
        <v>27006</v>
      </c>
      <c r="F491" s="2">
        <v>150000</v>
      </c>
      <c r="G491" s="2">
        <v>36</v>
      </c>
      <c r="H491" s="2">
        <v>7.71</v>
      </c>
      <c r="I491" s="2" t="s">
        <v>46</v>
      </c>
      <c r="J491" s="2">
        <v>614</v>
      </c>
      <c r="K491" s="30">
        <v>44327</v>
      </c>
      <c r="L491" s="30" t="s">
        <v>1385</v>
      </c>
      <c r="M491" s="2" t="s">
        <v>33</v>
      </c>
      <c r="N491" s="2">
        <v>4680.41</v>
      </c>
      <c r="O491" s="2" t="s">
        <v>25</v>
      </c>
      <c r="P491" s="2" t="s">
        <v>2998</v>
      </c>
      <c r="Q491" s="2" t="s">
        <v>42</v>
      </c>
      <c r="R491" s="2">
        <v>2</v>
      </c>
      <c r="S491" s="2">
        <v>107876.31</v>
      </c>
      <c r="T491" s="38" t="s">
        <v>2875</v>
      </c>
      <c r="U491" s="13"/>
    </row>
    <row r="492" spans="1:21" x14ac:dyDescent="0.3">
      <c r="A492" s="2" t="s">
        <v>1420</v>
      </c>
      <c r="B492" s="2" t="s">
        <v>1421</v>
      </c>
      <c r="C492" s="2">
        <v>65</v>
      </c>
      <c r="D492" s="2" t="s">
        <v>65</v>
      </c>
      <c r="E492" s="2">
        <v>177648</v>
      </c>
      <c r="F492" s="2">
        <v>250000</v>
      </c>
      <c r="G492" s="2">
        <v>12</v>
      </c>
      <c r="H492" s="2">
        <v>14.96</v>
      </c>
      <c r="I492" s="2" t="s">
        <v>38</v>
      </c>
      <c r="J492" s="2">
        <v>352</v>
      </c>
      <c r="K492" s="30">
        <v>44280</v>
      </c>
      <c r="L492" s="30" t="s">
        <v>1109</v>
      </c>
      <c r="M492" s="2" t="s">
        <v>24</v>
      </c>
      <c r="N492" s="2">
        <v>22559.86</v>
      </c>
      <c r="O492" s="2" t="s">
        <v>25</v>
      </c>
      <c r="P492" s="2" t="s">
        <v>2998</v>
      </c>
      <c r="Q492" s="2" t="s">
        <v>27</v>
      </c>
      <c r="R492" s="2">
        <v>1</v>
      </c>
      <c r="S492" s="2">
        <v>107872.88</v>
      </c>
      <c r="T492" s="38" t="s">
        <v>2879</v>
      </c>
      <c r="U492" s="13"/>
    </row>
    <row r="493" spans="1:21" x14ac:dyDescent="0.3">
      <c r="A493" s="2" t="s">
        <v>1356</v>
      </c>
      <c r="B493" s="2" t="s">
        <v>1357</v>
      </c>
      <c r="C493" s="2">
        <v>49</v>
      </c>
      <c r="D493" s="2" t="s">
        <v>45</v>
      </c>
      <c r="E493" s="2">
        <v>185935</v>
      </c>
      <c r="F493" s="2">
        <v>200000</v>
      </c>
      <c r="G493" s="2">
        <v>84</v>
      </c>
      <c r="H493" s="2">
        <v>11.42</v>
      </c>
      <c r="I493" s="2" t="s">
        <v>22</v>
      </c>
      <c r="J493" s="2">
        <v>561</v>
      </c>
      <c r="K493" s="30">
        <v>44596</v>
      </c>
      <c r="L493" s="30" t="s">
        <v>1257</v>
      </c>
      <c r="M493" s="2" t="s">
        <v>33</v>
      </c>
      <c r="N493" s="2">
        <v>3468.81</v>
      </c>
      <c r="O493" s="2" t="s">
        <v>54</v>
      </c>
      <c r="P493" s="2" t="s">
        <v>164</v>
      </c>
      <c r="Q493" s="2" t="s">
        <v>42</v>
      </c>
      <c r="R493" s="2">
        <v>1</v>
      </c>
      <c r="S493" s="2">
        <v>106342.13</v>
      </c>
      <c r="T493" s="38" t="s">
        <v>2875</v>
      </c>
      <c r="U493" s="13"/>
    </row>
    <row r="494" spans="1:21" x14ac:dyDescent="0.3">
      <c r="A494" s="2" t="s">
        <v>2811</v>
      </c>
      <c r="B494" s="2" t="s">
        <v>1701</v>
      </c>
      <c r="C494" s="2">
        <v>62</v>
      </c>
      <c r="D494" s="2" t="s">
        <v>21</v>
      </c>
      <c r="E494" s="2">
        <v>38249</v>
      </c>
      <c r="F494" s="2">
        <v>250000</v>
      </c>
      <c r="G494" s="2">
        <v>240</v>
      </c>
      <c r="H494" s="2">
        <v>11.49</v>
      </c>
      <c r="I494" s="2" t="s">
        <v>251</v>
      </c>
      <c r="J494" s="2">
        <v>714</v>
      </c>
      <c r="K494" s="30">
        <v>45042</v>
      </c>
      <c r="L494" s="30" t="s">
        <v>2812</v>
      </c>
      <c r="M494" s="2" t="s">
        <v>33</v>
      </c>
      <c r="N494" s="2">
        <v>2664.35</v>
      </c>
      <c r="O494" s="2" t="s">
        <v>60</v>
      </c>
      <c r="P494" s="2" t="s">
        <v>69</v>
      </c>
      <c r="Q494" s="2" t="s">
        <v>42</v>
      </c>
      <c r="R494" s="2">
        <v>0</v>
      </c>
      <c r="S494" s="2">
        <v>106125.1</v>
      </c>
      <c r="T494" s="38" t="s">
        <v>2871</v>
      </c>
      <c r="U494" s="13"/>
    </row>
    <row r="495" spans="1:21" x14ac:dyDescent="0.3">
      <c r="A495" s="3" t="s">
        <v>954</v>
      </c>
      <c r="B495" s="3" t="s">
        <v>955</v>
      </c>
      <c r="C495" s="3">
        <v>63</v>
      </c>
      <c r="D495" s="3" t="s">
        <v>65</v>
      </c>
      <c r="E495" s="3">
        <v>104352</v>
      </c>
      <c r="F495" s="3">
        <v>250000</v>
      </c>
      <c r="G495" s="3">
        <v>12</v>
      </c>
      <c r="H495" s="3">
        <v>19.34</v>
      </c>
      <c r="I495" s="3" t="s">
        <v>31</v>
      </c>
      <c r="J495" s="3">
        <v>639</v>
      </c>
      <c r="K495" s="29">
        <v>44941</v>
      </c>
      <c r="L495" s="29" t="s">
        <v>956</v>
      </c>
      <c r="M495" s="3" t="s">
        <v>33</v>
      </c>
      <c r="N495" s="3">
        <v>23079.73</v>
      </c>
      <c r="O495" s="3" t="s">
        <v>54</v>
      </c>
      <c r="P495" s="3" t="s">
        <v>99</v>
      </c>
      <c r="Q495" s="3" t="s">
        <v>35</v>
      </c>
      <c r="R495" s="3">
        <v>9</v>
      </c>
      <c r="S495" s="3">
        <v>104597.7</v>
      </c>
      <c r="T495" s="38" t="s">
        <v>2875</v>
      </c>
      <c r="U495" s="13"/>
    </row>
    <row r="496" spans="1:21" x14ac:dyDescent="0.3">
      <c r="A496" s="2" t="s">
        <v>1283</v>
      </c>
      <c r="B496" s="2" t="s">
        <v>1284</v>
      </c>
      <c r="C496" s="2">
        <v>44</v>
      </c>
      <c r="D496" s="2" t="s">
        <v>72</v>
      </c>
      <c r="E496" s="2">
        <v>54139</v>
      </c>
      <c r="F496" s="2">
        <v>200000</v>
      </c>
      <c r="G496" s="2">
        <v>12</v>
      </c>
      <c r="H496" s="2">
        <v>12.42</v>
      </c>
      <c r="I496" s="2" t="s">
        <v>73</v>
      </c>
      <c r="J496" s="2">
        <v>847</v>
      </c>
      <c r="K496" s="30">
        <v>44580</v>
      </c>
      <c r="L496" s="30" t="s">
        <v>267</v>
      </c>
      <c r="M496" s="2" t="s">
        <v>24</v>
      </c>
      <c r="N496" s="2">
        <v>17809.080000000002</v>
      </c>
      <c r="O496" s="2" t="s">
        <v>105</v>
      </c>
      <c r="P496" s="2" t="s">
        <v>2999</v>
      </c>
      <c r="Q496" s="2" t="s">
        <v>35</v>
      </c>
      <c r="R496" s="2">
        <v>9</v>
      </c>
      <c r="S496" s="2">
        <v>103830.97</v>
      </c>
      <c r="T496" s="38" t="s">
        <v>2867</v>
      </c>
      <c r="U496" s="13"/>
    </row>
    <row r="497" spans="1:21" x14ac:dyDescent="0.3">
      <c r="A497" s="2" t="s">
        <v>2421</v>
      </c>
      <c r="B497" s="2" t="s">
        <v>2422</v>
      </c>
      <c r="C497" s="2">
        <v>26</v>
      </c>
      <c r="D497" s="2" t="s">
        <v>65</v>
      </c>
      <c r="E497" s="2">
        <v>237247</v>
      </c>
      <c r="F497" s="2">
        <v>1000000</v>
      </c>
      <c r="G497" s="2">
        <v>60</v>
      </c>
      <c r="H497" s="2">
        <v>10.83</v>
      </c>
      <c r="I497" s="2" t="s">
        <v>22</v>
      </c>
      <c r="J497" s="2">
        <v>699</v>
      </c>
      <c r="K497" s="30">
        <v>44859</v>
      </c>
      <c r="L497" s="30" t="s">
        <v>350</v>
      </c>
      <c r="M497" s="2" t="s">
        <v>24</v>
      </c>
      <c r="N497" s="2">
        <v>21657.74</v>
      </c>
      <c r="O497" s="2" t="s">
        <v>60</v>
      </c>
      <c r="P497" s="2" t="s">
        <v>172</v>
      </c>
      <c r="Q497" s="2" t="s">
        <v>35</v>
      </c>
      <c r="R497" s="2">
        <v>4</v>
      </c>
      <c r="S497" s="2">
        <v>103369.56</v>
      </c>
      <c r="T497" s="38" t="s">
        <v>2871</v>
      </c>
      <c r="U497" s="13"/>
    </row>
    <row r="498" spans="1:21" x14ac:dyDescent="0.3">
      <c r="A498" s="3" t="s">
        <v>1722</v>
      </c>
      <c r="B498" s="3" t="s">
        <v>1572</v>
      </c>
      <c r="C498" s="3">
        <v>57</v>
      </c>
      <c r="D498" s="3" t="s">
        <v>72</v>
      </c>
      <c r="E498" s="3">
        <v>92310</v>
      </c>
      <c r="F498" s="3">
        <v>300000</v>
      </c>
      <c r="G498" s="3">
        <v>120</v>
      </c>
      <c r="H498" s="3">
        <v>8.89</v>
      </c>
      <c r="I498" s="3" t="s">
        <v>73</v>
      </c>
      <c r="J498" s="3">
        <v>538</v>
      </c>
      <c r="K498" s="29">
        <v>44983</v>
      </c>
      <c r="L498" s="29" t="s">
        <v>419</v>
      </c>
      <c r="M498" s="3" t="s">
        <v>24</v>
      </c>
      <c r="N498" s="3">
        <v>3782.44</v>
      </c>
      <c r="O498" s="3" t="s">
        <v>54</v>
      </c>
      <c r="P498" s="3" t="s">
        <v>99</v>
      </c>
      <c r="Q498" s="3" t="s">
        <v>62</v>
      </c>
      <c r="R498" s="3">
        <v>0</v>
      </c>
      <c r="S498" s="3">
        <v>102556.63</v>
      </c>
      <c r="T498" s="38" t="s">
        <v>2879</v>
      </c>
      <c r="U498" s="13"/>
    </row>
    <row r="499" spans="1:21" x14ac:dyDescent="0.3">
      <c r="A499" s="2" t="s">
        <v>2289</v>
      </c>
      <c r="B499" s="2" t="s">
        <v>2290</v>
      </c>
      <c r="C499" s="2">
        <v>24</v>
      </c>
      <c r="D499" s="2" t="s">
        <v>21</v>
      </c>
      <c r="E499" s="2">
        <v>174522</v>
      </c>
      <c r="F499" s="2">
        <v>150000</v>
      </c>
      <c r="G499" s="2">
        <v>240</v>
      </c>
      <c r="H499" s="2">
        <v>13.43</v>
      </c>
      <c r="I499" s="2" t="s">
        <v>46</v>
      </c>
      <c r="J499" s="2">
        <v>618</v>
      </c>
      <c r="K499" s="30">
        <v>44896</v>
      </c>
      <c r="L499" s="30" t="s">
        <v>1146</v>
      </c>
      <c r="M499" s="2" t="s">
        <v>24</v>
      </c>
      <c r="N499" s="2">
        <v>1803.51</v>
      </c>
      <c r="O499" s="2" t="s">
        <v>48</v>
      </c>
      <c r="P499" s="2" t="s">
        <v>375</v>
      </c>
      <c r="Q499" s="2" t="s">
        <v>42</v>
      </c>
      <c r="R499" s="2">
        <v>1</v>
      </c>
      <c r="S499" s="2">
        <v>101305.23</v>
      </c>
      <c r="T499" s="38" t="s">
        <v>2875</v>
      </c>
      <c r="U499" s="13"/>
    </row>
    <row r="500" spans="1:21" x14ac:dyDescent="0.3">
      <c r="A500" s="2" t="s">
        <v>441</v>
      </c>
      <c r="B500" s="2" t="s">
        <v>442</v>
      </c>
      <c r="C500" s="2">
        <v>28</v>
      </c>
      <c r="D500" s="2" t="s">
        <v>21</v>
      </c>
      <c r="E500" s="2">
        <v>222455</v>
      </c>
      <c r="F500" s="2">
        <v>100000</v>
      </c>
      <c r="G500" s="2">
        <v>36</v>
      </c>
      <c r="H500" s="2">
        <v>8.06</v>
      </c>
      <c r="I500" s="2" t="s">
        <v>31</v>
      </c>
      <c r="J500" s="2">
        <v>442</v>
      </c>
      <c r="K500" s="30">
        <v>44359</v>
      </c>
      <c r="L500" s="30" t="s">
        <v>197</v>
      </c>
      <c r="M500" s="2" t="s">
        <v>24</v>
      </c>
      <c r="N500" s="2">
        <v>3136.41</v>
      </c>
      <c r="O500" s="2" t="s">
        <v>60</v>
      </c>
      <c r="P500" s="2" t="s">
        <v>2997</v>
      </c>
      <c r="Q500" s="2" t="s">
        <v>35</v>
      </c>
      <c r="R500" s="2">
        <v>9</v>
      </c>
      <c r="S500" s="2">
        <v>100000</v>
      </c>
      <c r="T500" s="38" t="s">
        <v>2879</v>
      </c>
      <c r="U500" s="13"/>
    </row>
    <row r="501" spans="1:21" x14ac:dyDescent="0.3">
      <c r="A501" s="2" t="s">
        <v>2492</v>
      </c>
      <c r="B501" s="2" t="s">
        <v>976</v>
      </c>
      <c r="C501" s="2">
        <v>65</v>
      </c>
      <c r="D501" s="2" t="s">
        <v>21</v>
      </c>
      <c r="E501" s="2">
        <v>40032</v>
      </c>
      <c r="F501" s="2">
        <v>100000</v>
      </c>
      <c r="G501" s="2">
        <v>12</v>
      </c>
      <c r="H501" s="2">
        <v>21.47</v>
      </c>
      <c r="I501" s="2" t="s">
        <v>46</v>
      </c>
      <c r="J501" s="2">
        <v>304</v>
      </c>
      <c r="K501" s="30">
        <v>44964</v>
      </c>
      <c r="L501" s="30" t="s">
        <v>2279</v>
      </c>
      <c r="M501" s="2" t="s">
        <v>24</v>
      </c>
      <c r="N501" s="2">
        <v>9333.9500000000007</v>
      </c>
      <c r="O501" s="2" t="s">
        <v>48</v>
      </c>
      <c r="P501" s="2" t="s">
        <v>80</v>
      </c>
      <c r="Q501" s="2" t="s">
        <v>42</v>
      </c>
      <c r="R501" s="2">
        <v>1</v>
      </c>
      <c r="S501" s="2">
        <v>100000</v>
      </c>
      <c r="T501" s="38" t="s">
        <v>2879</v>
      </c>
      <c r="U501" s="13"/>
    </row>
    <row r="502" spans="1:21" x14ac:dyDescent="0.3">
      <c r="A502" s="2" t="s">
        <v>87</v>
      </c>
      <c r="B502" s="2" t="s">
        <v>88</v>
      </c>
      <c r="C502" s="2">
        <v>53</v>
      </c>
      <c r="D502" s="2" t="s">
        <v>72</v>
      </c>
      <c r="E502" s="2">
        <v>44325</v>
      </c>
      <c r="F502" s="2">
        <v>250000</v>
      </c>
      <c r="G502" s="2">
        <v>60</v>
      </c>
      <c r="H502" s="2">
        <v>10.97</v>
      </c>
      <c r="I502" s="2" t="s">
        <v>83</v>
      </c>
      <c r="J502" s="2">
        <v>880</v>
      </c>
      <c r="K502" s="30">
        <v>44338</v>
      </c>
      <c r="L502" s="30" t="s">
        <v>90</v>
      </c>
      <c r="M502" s="2" t="s">
        <v>24</v>
      </c>
      <c r="N502" s="2">
        <v>5431.87</v>
      </c>
      <c r="O502" s="2" t="s">
        <v>25</v>
      </c>
      <c r="P502" s="2" t="s">
        <v>26</v>
      </c>
      <c r="Q502" s="2" t="s">
        <v>42</v>
      </c>
      <c r="R502" s="2">
        <v>2</v>
      </c>
      <c r="S502" s="2">
        <v>98450.83</v>
      </c>
      <c r="T502" s="38" t="s">
        <v>2867</v>
      </c>
      <c r="U502" s="13"/>
    </row>
    <row r="503" spans="1:21" x14ac:dyDescent="0.3">
      <c r="A503" s="3" t="s">
        <v>2275</v>
      </c>
      <c r="B503" s="3" t="s">
        <v>2276</v>
      </c>
      <c r="C503" s="3">
        <v>55</v>
      </c>
      <c r="D503" s="3" t="s">
        <v>72</v>
      </c>
      <c r="E503" s="3">
        <v>246548</v>
      </c>
      <c r="F503" s="3">
        <v>750000</v>
      </c>
      <c r="G503" s="3">
        <v>48</v>
      </c>
      <c r="H503" s="3">
        <v>21.35</v>
      </c>
      <c r="I503" s="3" t="s">
        <v>66</v>
      </c>
      <c r="J503" s="3">
        <v>446</v>
      </c>
      <c r="K503" s="29">
        <v>44710</v>
      </c>
      <c r="L503" s="29" t="s">
        <v>2231</v>
      </c>
      <c r="M503" s="3" t="s">
        <v>24</v>
      </c>
      <c r="N503" s="3">
        <v>23365.69</v>
      </c>
      <c r="O503" s="3" t="s">
        <v>60</v>
      </c>
      <c r="P503" s="3" t="s">
        <v>69</v>
      </c>
      <c r="Q503" s="3" t="s">
        <v>42</v>
      </c>
      <c r="R503" s="3">
        <v>1</v>
      </c>
      <c r="S503" s="3">
        <v>98097.25</v>
      </c>
      <c r="T503" s="38" t="s">
        <v>2879</v>
      </c>
      <c r="U503" s="13"/>
    </row>
    <row r="504" spans="1:21" x14ac:dyDescent="0.3">
      <c r="A504" s="3" t="s">
        <v>2115</v>
      </c>
      <c r="B504" s="3" t="s">
        <v>2116</v>
      </c>
      <c r="C504" s="3">
        <v>44</v>
      </c>
      <c r="D504" s="3" t="s">
        <v>72</v>
      </c>
      <c r="E504" s="3">
        <v>28081</v>
      </c>
      <c r="F504" s="3">
        <v>200000</v>
      </c>
      <c r="G504" s="3">
        <v>36</v>
      </c>
      <c r="H504" s="3">
        <v>12.58</v>
      </c>
      <c r="I504" s="3" t="s">
        <v>66</v>
      </c>
      <c r="J504" s="3">
        <v>814</v>
      </c>
      <c r="K504" s="29">
        <v>44489</v>
      </c>
      <c r="L504" s="29" t="s">
        <v>2117</v>
      </c>
      <c r="M504" s="3" t="s">
        <v>33</v>
      </c>
      <c r="N504" s="3">
        <v>6698.4</v>
      </c>
      <c r="O504" s="3" t="s">
        <v>54</v>
      </c>
      <c r="P504" s="3" t="s">
        <v>2996</v>
      </c>
      <c r="Q504" s="3" t="s">
        <v>35</v>
      </c>
      <c r="R504" s="3">
        <v>1</v>
      </c>
      <c r="S504" s="3">
        <v>97514.48</v>
      </c>
      <c r="T504" s="38" t="s">
        <v>2867</v>
      </c>
      <c r="U504" s="13"/>
    </row>
    <row r="505" spans="1:21" x14ac:dyDescent="0.3">
      <c r="A505" s="2" t="s">
        <v>1247</v>
      </c>
      <c r="B505" s="2" t="s">
        <v>1248</v>
      </c>
      <c r="C505" s="2">
        <v>55</v>
      </c>
      <c r="D505" s="2" t="s">
        <v>30</v>
      </c>
      <c r="E505" s="2">
        <v>136524</v>
      </c>
      <c r="F505" s="2">
        <v>1000000</v>
      </c>
      <c r="G505" s="2">
        <v>180</v>
      </c>
      <c r="H505" s="2">
        <v>8.81</v>
      </c>
      <c r="I505" s="2" t="s">
        <v>22</v>
      </c>
      <c r="J505" s="2">
        <v>484</v>
      </c>
      <c r="K505" s="30">
        <v>45043</v>
      </c>
      <c r="L505" s="30" t="s">
        <v>446</v>
      </c>
      <c r="M505" s="2" t="s">
        <v>24</v>
      </c>
      <c r="N505" s="2">
        <v>10029.950000000001</v>
      </c>
      <c r="O505" s="2" t="s">
        <v>54</v>
      </c>
      <c r="P505" s="2" t="s">
        <v>99</v>
      </c>
      <c r="Q505" s="2" t="s">
        <v>35</v>
      </c>
      <c r="R505" s="2">
        <v>2</v>
      </c>
      <c r="S505" s="2">
        <v>97304.5</v>
      </c>
      <c r="T505" s="38" t="s">
        <v>2879</v>
      </c>
      <c r="U505" s="13"/>
    </row>
    <row r="506" spans="1:21" x14ac:dyDescent="0.3">
      <c r="A506" s="2" t="s">
        <v>2785</v>
      </c>
      <c r="B506" s="2" t="s">
        <v>2786</v>
      </c>
      <c r="C506" s="2">
        <v>39</v>
      </c>
      <c r="D506" s="2" t="s">
        <v>45</v>
      </c>
      <c r="E506" s="2">
        <v>248256</v>
      </c>
      <c r="F506" s="2">
        <v>400000</v>
      </c>
      <c r="G506" s="2">
        <v>48</v>
      </c>
      <c r="H506" s="2">
        <v>8.86</v>
      </c>
      <c r="I506" s="2" t="s">
        <v>83</v>
      </c>
      <c r="J506" s="2">
        <v>421</v>
      </c>
      <c r="K506" s="30">
        <v>44690</v>
      </c>
      <c r="L506" s="30" t="s">
        <v>1155</v>
      </c>
      <c r="M506" s="2" t="s">
        <v>24</v>
      </c>
      <c r="N506" s="2">
        <v>9927.4500000000007</v>
      </c>
      <c r="O506" s="2" t="s">
        <v>25</v>
      </c>
      <c r="P506" s="2" t="s">
        <v>151</v>
      </c>
      <c r="Q506" s="2" t="s">
        <v>42</v>
      </c>
      <c r="R506" s="2">
        <v>2</v>
      </c>
      <c r="S506" s="2">
        <v>96220.03</v>
      </c>
      <c r="T506" s="38" t="s">
        <v>2879</v>
      </c>
      <c r="U506" s="13"/>
    </row>
    <row r="507" spans="1:21" x14ac:dyDescent="0.3">
      <c r="A507" s="3" t="s">
        <v>1659</v>
      </c>
      <c r="B507" s="3" t="s">
        <v>1419</v>
      </c>
      <c r="C507" s="3">
        <v>54</v>
      </c>
      <c r="D507" s="3" t="s">
        <v>45</v>
      </c>
      <c r="E507" s="3">
        <v>45948</v>
      </c>
      <c r="F507" s="3">
        <v>1500000</v>
      </c>
      <c r="G507" s="3">
        <v>48</v>
      </c>
      <c r="H507" s="3">
        <v>14.1</v>
      </c>
      <c r="I507" s="3" t="s">
        <v>46</v>
      </c>
      <c r="J507" s="3">
        <v>460</v>
      </c>
      <c r="K507" s="29">
        <v>45033</v>
      </c>
      <c r="L507" s="29" t="s">
        <v>1660</v>
      </c>
      <c r="M507" s="3" t="s">
        <v>24</v>
      </c>
      <c r="N507" s="3">
        <v>41065</v>
      </c>
      <c r="O507" s="3" t="s">
        <v>54</v>
      </c>
      <c r="P507" s="3" t="s">
        <v>183</v>
      </c>
      <c r="Q507" s="3" t="s">
        <v>42</v>
      </c>
      <c r="R507" s="3">
        <v>0</v>
      </c>
      <c r="S507" s="3">
        <v>95577</v>
      </c>
      <c r="T507" s="38" t="s">
        <v>2879</v>
      </c>
      <c r="U507" s="13"/>
    </row>
    <row r="508" spans="1:21" x14ac:dyDescent="0.3">
      <c r="A508" s="3" t="s">
        <v>1778</v>
      </c>
      <c r="B508" s="3" t="s">
        <v>1779</v>
      </c>
      <c r="C508" s="3">
        <v>48</v>
      </c>
      <c r="D508" s="3" t="s">
        <v>65</v>
      </c>
      <c r="E508" s="3">
        <v>58211</v>
      </c>
      <c r="F508" s="3">
        <v>200000</v>
      </c>
      <c r="G508" s="3">
        <v>48</v>
      </c>
      <c r="H508" s="3">
        <v>14.84</v>
      </c>
      <c r="I508" s="3" t="s">
        <v>31</v>
      </c>
      <c r="J508" s="3">
        <v>327</v>
      </c>
      <c r="K508" s="29">
        <v>45014</v>
      </c>
      <c r="L508" s="29" t="s">
        <v>1062</v>
      </c>
      <c r="M508" s="3" t="s">
        <v>24</v>
      </c>
      <c r="N508" s="3">
        <v>5549.94</v>
      </c>
      <c r="O508" s="3" t="s">
        <v>25</v>
      </c>
      <c r="P508" s="3" t="s">
        <v>2998</v>
      </c>
      <c r="Q508" s="3" t="s">
        <v>42</v>
      </c>
      <c r="R508" s="3">
        <v>1</v>
      </c>
      <c r="S508" s="3">
        <v>95106.13</v>
      </c>
      <c r="T508" s="38" t="s">
        <v>2879</v>
      </c>
      <c r="U508" s="13"/>
    </row>
    <row r="509" spans="1:21" x14ac:dyDescent="0.3">
      <c r="A509" s="3" t="s">
        <v>2100</v>
      </c>
      <c r="B509" s="3" t="s">
        <v>1236</v>
      </c>
      <c r="C509" s="3">
        <v>41</v>
      </c>
      <c r="D509" s="3" t="s">
        <v>30</v>
      </c>
      <c r="E509" s="3">
        <v>59625</v>
      </c>
      <c r="F509" s="3">
        <v>250000</v>
      </c>
      <c r="G509" s="3">
        <v>24</v>
      </c>
      <c r="H509" s="3">
        <v>9.92</v>
      </c>
      <c r="I509" s="3" t="s">
        <v>38</v>
      </c>
      <c r="J509" s="3">
        <v>766</v>
      </c>
      <c r="K509" s="29">
        <v>45073</v>
      </c>
      <c r="L509" s="29" t="s">
        <v>1721</v>
      </c>
      <c r="M509" s="3" t="s">
        <v>24</v>
      </c>
      <c r="N509" s="3">
        <v>11527</v>
      </c>
      <c r="O509" s="3" t="s">
        <v>105</v>
      </c>
      <c r="P509" s="3" t="s">
        <v>114</v>
      </c>
      <c r="Q509" s="3" t="s">
        <v>35</v>
      </c>
      <c r="R509" s="3">
        <v>10</v>
      </c>
      <c r="S509" s="3">
        <v>94385.5</v>
      </c>
      <c r="T509" s="38" t="s">
        <v>2867</v>
      </c>
      <c r="U509" s="13"/>
    </row>
    <row r="510" spans="1:21" x14ac:dyDescent="0.3">
      <c r="A510" s="2" t="s">
        <v>2092</v>
      </c>
      <c r="B510" s="2" t="s">
        <v>2016</v>
      </c>
      <c r="C510" s="2">
        <v>40</v>
      </c>
      <c r="D510" s="2" t="s">
        <v>30</v>
      </c>
      <c r="E510" s="2">
        <v>120563</v>
      </c>
      <c r="F510" s="2">
        <v>100000</v>
      </c>
      <c r="G510" s="2">
        <v>60</v>
      </c>
      <c r="H510" s="2">
        <v>15.18</v>
      </c>
      <c r="I510" s="2" t="s">
        <v>31</v>
      </c>
      <c r="J510" s="2">
        <v>831</v>
      </c>
      <c r="K510" s="30">
        <v>44706</v>
      </c>
      <c r="L510" s="30" t="s">
        <v>2093</v>
      </c>
      <c r="M510" s="2" t="s">
        <v>24</v>
      </c>
      <c r="N510" s="2">
        <v>2388.4499999999998</v>
      </c>
      <c r="O510" s="2" t="s">
        <v>60</v>
      </c>
      <c r="P510" s="2" t="s">
        <v>172</v>
      </c>
      <c r="Q510" s="2" t="s">
        <v>42</v>
      </c>
      <c r="R510" s="2">
        <v>2</v>
      </c>
      <c r="S510" s="2">
        <v>93551.18</v>
      </c>
      <c r="T510" s="38" t="s">
        <v>2867</v>
      </c>
      <c r="U510" s="13"/>
    </row>
    <row r="511" spans="1:21" x14ac:dyDescent="0.3">
      <c r="A511" s="2" t="s">
        <v>2027</v>
      </c>
      <c r="B511" s="2" t="s">
        <v>2028</v>
      </c>
      <c r="C511" s="2">
        <v>24</v>
      </c>
      <c r="D511" s="2" t="s">
        <v>30</v>
      </c>
      <c r="E511" s="2">
        <v>210482</v>
      </c>
      <c r="F511" s="2">
        <v>150000</v>
      </c>
      <c r="G511" s="2">
        <v>120</v>
      </c>
      <c r="H511" s="2">
        <v>17.600000000000001</v>
      </c>
      <c r="I511" s="2" t="s">
        <v>251</v>
      </c>
      <c r="J511" s="2">
        <v>686</v>
      </c>
      <c r="K511" s="30">
        <v>44226</v>
      </c>
      <c r="L511" s="30" t="s">
        <v>2030</v>
      </c>
      <c r="M511" s="2" t="s">
        <v>24</v>
      </c>
      <c r="N511" s="2">
        <v>2664.27</v>
      </c>
      <c r="O511" s="2" t="s">
        <v>105</v>
      </c>
      <c r="P511" s="2" t="s">
        <v>130</v>
      </c>
      <c r="Q511" s="2" t="s">
        <v>35</v>
      </c>
      <c r="R511" s="2">
        <v>3</v>
      </c>
      <c r="S511" s="2">
        <v>92451.77</v>
      </c>
      <c r="T511" s="38" t="s">
        <v>2871</v>
      </c>
      <c r="U511" s="13"/>
    </row>
    <row r="512" spans="1:21" x14ac:dyDescent="0.3">
      <c r="A512" s="2" t="s">
        <v>1081</v>
      </c>
      <c r="B512" s="2" t="s">
        <v>1082</v>
      </c>
      <c r="C512" s="2">
        <v>64</v>
      </c>
      <c r="D512" s="2" t="s">
        <v>65</v>
      </c>
      <c r="E512" s="2">
        <v>121286</v>
      </c>
      <c r="F512" s="2">
        <v>750000</v>
      </c>
      <c r="G512" s="2">
        <v>48</v>
      </c>
      <c r="H512" s="2">
        <v>15.01</v>
      </c>
      <c r="I512" s="2" t="s">
        <v>22</v>
      </c>
      <c r="J512" s="2">
        <v>392</v>
      </c>
      <c r="K512" s="30">
        <v>44909</v>
      </c>
      <c r="L512" s="30" t="s">
        <v>709</v>
      </c>
      <c r="M512" s="2" t="s">
        <v>33</v>
      </c>
      <c r="N512" s="2">
        <v>20876.86</v>
      </c>
      <c r="O512" s="2" t="s">
        <v>54</v>
      </c>
      <c r="P512" s="2" t="s">
        <v>183</v>
      </c>
      <c r="Q512" s="2" t="s">
        <v>42</v>
      </c>
      <c r="R512" s="2">
        <v>2</v>
      </c>
      <c r="S512" s="2">
        <v>92378.91</v>
      </c>
      <c r="T512" s="38" t="s">
        <v>2879</v>
      </c>
      <c r="U512" s="13"/>
    </row>
    <row r="513" spans="1:21" x14ac:dyDescent="0.3">
      <c r="A513" s="2" t="s">
        <v>1053</v>
      </c>
      <c r="B513" s="2" t="s">
        <v>289</v>
      </c>
      <c r="C513" s="2">
        <v>32</v>
      </c>
      <c r="D513" s="2" t="s">
        <v>30</v>
      </c>
      <c r="E513" s="2">
        <v>232674</v>
      </c>
      <c r="F513" s="2">
        <v>300000</v>
      </c>
      <c r="G513" s="2">
        <v>36</v>
      </c>
      <c r="H513" s="2">
        <v>19.02</v>
      </c>
      <c r="I513" s="2" t="s">
        <v>251</v>
      </c>
      <c r="J513" s="2">
        <v>823</v>
      </c>
      <c r="K513" s="30">
        <v>45125</v>
      </c>
      <c r="L513" s="30" t="s">
        <v>1054</v>
      </c>
      <c r="M513" s="2" t="s">
        <v>24</v>
      </c>
      <c r="N513" s="2">
        <v>10999.84</v>
      </c>
      <c r="O513" s="2" t="s">
        <v>48</v>
      </c>
      <c r="P513" s="2" t="s">
        <v>86</v>
      </c>
      <c r="Q513" s="2" t="s">
        <v>42</v>
      </c>
      <c r="R513" s="2">
        <v>2</v>
      </c>
      <c r="S513" s="2">
        <v>92103.02</v>
      </c>
      <c r="T513" s="38" t="s">
        <v>2867</v>
      </c>
      <c r="U513" s="13"/>
    </row>
    <row r="514" spans="1:21" x14ac:dyDescent="0.3">
      <c r="A514" s="2" t="s">
        <v>2035</v>
      </c>
      <c r="B514" s="2" t="s">
        <v>2603</v>
      </c>
      <c r="C514" s="2">
        <v>64</v>
      </c>
      <c r="D514" s="2" t="s">
        <v>21</v>
      </c>
      <c r="E514" s="2">
        <v>238269</v>
      </c>
      <c r="F514" s="2">
        <v>300000</v>
      </c>
      <c r="G514" s="2">
        <v>48</v>
      </c>
      <c r="H514" s="2">
        <v>10.73</v>
      </c>
      <c r="I514" s="2" t="s">
        <v>31</v>
      </c>
      <c r="J514" s="2">
        <v>864</v>
      </c>
      <c r="K514" s="30">
        <v>44451</v>
      </c>
      <c r="L514" s="30" t="s">
        <v>805</v>
      </c>
      <c r="M514" s="2" t="s">
        <v>33</v>
      </c>
      <c r="N514" s="2">
        <v>7714.38</v>
      </c>
      <c r="O514" s="2" t="s">
        <v>60</v>
      </c>
      <c r="P514" s="2" t="s">
        <v>172</v>
      </c>
      <c r="Q514" s="2" t="s">
        <v>100</v>
      </c>
      <c r="R514" s="2">
        <v>3</v>
      </c>
      <c r="S514" s="2">
        <v>91711.74</v>
      </c>
      <c r="T514" s="38" t="s">
        <v>2867</v>
      </c>
      <c r="U514" s="13"/>
    </row>
    <row r="515" spans="1:21" x14ac:dyDescent="0.3">
      <c r="A515" s="2" t="s">
        <v>2708</v>
      </c>
      <c r="B515" s="2" t="s">
        <v>1148</v>
      </c>
      <c r="C515" s="2">
        <v>47</v>
      </c>
      <c r="D515" s="2" t="s">
        <v>72</v>
      </c>
      <c r="E515" s="2">
        <v>170108</v>
      </c>
      <c r="F515" s="2">
        <v>200000</v>
      </c>
      <c r="G515" s="2">
        <v>60</v>
      </c>
      <c r="H515" s="2">
        <v>9.0399999999999991</v>
      </c>
      <c r="I515" s="2" t="s">
        <v>251</v>
      </c>
      <c r="J515" s="2">
        <v>868</v>
      </c>
      <c r="K515" s="30">
        <v>44510</v>
      </c>
      <c r="L515" s="30" t="s">
        <v>1094</v>
      </c>
      <c r="M515" s="2" t="s">
        <v>24</v>
      </c>
      <c r="N515" s="2">
        <v>4155.55</v>
      </c>
      <c r="O515" s="2" t="s">
        <v>105</v>
      </c>
      <c r="P515" s="2" t="s">
        <v>159</v>
      </c>
      <c r="Q515" s="2" t="s">
        <v>62</v>
      </c>
      <c r="R515" s="2">
        <v>0</v>
      </c>
      <c r="S515" s="2">
        <v>91540.14</v>
      </c>
      <c r="T515" s="38" t="s">
        <v>2867</v>
      </c>
      <c r="U515" s="13"/>
    </row>
    <row r="516" spans="1:21" x14ac:dyDescent="0.3">
      <c r="A516" s="3" t="s">
        <v>1286</v>
      </c>
      <c r="B516" s="3" t="s">
        <v>1287</v>
      </c>
      <c r="C516" s="3">
        <v>42</v>
      </c>
      <c r="D516" s="3" t="s">
        <v>72</v>
      </c>
      <c r="E516" s="3">
        <v>86171</v>
      </c>
      <c r="F516" s="3">
        <v>300000</v>
      </c>
      <c r="G516" s="3">
        <v>24</v>
      </c>
      <c r="H516" s="3">
        <v>14.71</v>
      </c>
      <c r="I516" s="3" t="s">
        <v>83</v>
      </c>
      <c r="J516" s="3">
        <v>680</v>
      </c>
      <c r="K516" s="29">
        <v>44816</v>
      </c>
      <c r="L516" s="29" t="s">
        <v>1288</v>
      </c>
      <c r="M516" s="3" t="s">
        <v>122</v>
      </c>
      <c r="N516" s="3">
        <v>14504.69</v>
      </c>
      <c r="O516" s="3" t="s">
        <v>60</v>
      </c>
      <c r="P516" s="3" t="s">
        <v>61</v>
      </c>
      <c r="Q516" s="3" t="s">
        <v>27</v>
      </c>
      <c r="R516" s="3">
        <v>0</v>
      </c>
      <c r="S516" s="3">
        <v>91132.46</v>
      </c>
      <c r="T516" s="38" t="s">
        <v>2871</v>
      </c>
      <c r="U516" s="13"/>
    </row>
    <row r="517" spans="1:21" x14ac:dyDescent="0.3">
      <c r="A517" s="2" t="s">
        <v>577</v>
      </c>
      <c r="B517" s="2" t="s">
        <v>578</v>
      </c>
      <c r="C517" s="2">
        <v>29</v>
      </c>
      <c r="D517" s="2" t="s">
        <v>21</v>
      </c>
      <c r="E517" s="2">
        <v>111349</v>
      </c>
      <c r="F517" s="2">
        <v>750000</v>
      </c>
      <c r="G517" s="2">
        <v>48</v>
      </c>
      <c r="H517" s="2">
        <v>10.68</v>
      </c>
      <c r="I517" s="2" t="s">
        <v>251</v>
      </c>
      <c r="J517" s="2">
        <v>789</v>
      </c>
      <c r="K517" s="30">
        <v>44962</v>
      </c>
      <c r="L517" s="30" t="s">
        <v>579</v>
      </c>
      <c r="M517" s="2" t="s">
        <v>24</v>
      </c>
      <c r="N517" s="2">
        <v>19267.8</v>
      </c>
      <c r="O517" s="2" t="s">
        <v>105</v>
      </c>
      <c r="P517" s="2" t="s">
        <v>118</v>
      </c>
      <c r="Q517" s="2" t="s">
        <v>35</v>
      </c>
      <c r="R517" s="2">
        <v>11</v>
      </c>
      <c r="S517" s="2">
        <v>91041.24</v>
      </c>
      <c r="T517" s="38" t="s">
        <v>2867</v>
      </c>
      <c r="U517" s="13"/>
    </row>
    <row r="518" spans="1:21" x14ac:dyDescent="0.3">
      <c r="A518" s="2" t="s">
        <v>2532</v>
      </c>
      <c r="B518" s="2" t="s">
        <v>2533</v>
      </c>
      <c r="C518" s="2">
        <v>51</v>
      </c>
      <c r="D518" s="2" t="s">
        <v>65</v>
      </c>
      <c r="E518" s="2">
        <v>131363</v>
      </c>
      <c r="F518" s="2">
        <v>300000</v>
      </c>
      <c r="G518" s="2">
        <v>180</v>
      </c>
      <c r="H518" s="2">
        <v>12.77</v>
      </c>
      <c r="I518" s="2" t="s">
        <v>38</v>
      </c>
      <c r="J518" s="2">
        <v>708</v>
      </c>
      <c r="K518" s="30">
        <v>44641</v>
      </c>
      <c r="L518" s="30" t="s">
        <v>2534</v>
      </c>
      <c r="M518" s="2" t="s">
        <v>24</v>
      </c>
      <c r="N518" s="2">
        <v>3750.44</v>
      </c>
      <c r="O518" s="2" t="s">
        <v>105</v>
      </c>
      <c r="P518" s="2" t="s">
        <v>2999</v>
      </c>
      <c r="Q518" s="2" t="s">
        <v>42</v>
      </c>
      <c r="R518" s="2">
        <v>0</v>
      </c>
      <c r="S518" s="2">
        <v>90725.45</v>
      </c>
      <c r="T518" s="38" t="s">
        <v>2871</v>
      </c>
      <c r="U518" s="13"/>
    </row>
    <row r="519" spans="1:21" x14ac:dyDescent="0.3">
      <c r="A519" s="3" t="s">
        <v>2008</v>
      </c>
      <c r="B519" s="3" t="s">
        <v>2009</v>
      </c>
      <c r="C519" s="3">
        <v>24</v>
      </c>
      <c r="D519" s="3" t="s">
        <v>21</v>
      </c>
      <c r="E519" s="3">
        <v>240182</v>
      </c>
      <c r="F519" s="3">
        <v>200000</v>
      </c>
      <c r="G519" s="3">
        <v>120</v>
      </c>
      <c r="H519" s="3">
        <v>13.43</v>
      </c>
      <c r="I519" s="3" t="s">
        <v>251</v>
      </c>
      <c r="J519" s="3">
        <v>751</v>
      </c>
      <c r="K519" s="29">
        <v>44962</v>
      </c>
      <c r="L519" s="29" t="s">
        <v>786</v>
      </c>
      <c r="M519" s="3" t="s">
        <v>24</v>
      </c>
      <c r="N519" s="3">
        <v>3037.15</v>
      </c>
      <c r="O519" s="3" t="s">
        <v>48</v>
      </c>
      <c r="P519" s="3" t="s">
        <v>375</v>
      </c>
      <c r="Q519" s="3" t="s">
        <v>42</v>
      </c>
      <c r="R519" s="3">
        <v>2</v>
      </c>
      <c r="S519" s="3">
        <v>90662.6</v>
      </c>
      <c r="T519" s="38" t="s">
        <v>2867</v>
      </c>
      <c r="U519" s="13"/>
    </row>
    <row r="520" spans="1:21" x14ac:dyDescent="0.3">
      <c r="A520" s="3" t="s">
        <v>1435</v>
      </c>
      <c r="B520" s="3" t="s">
        <v>1436</v>
      </c>
      <c r="C520" s="3">
        <v>51</v>
      </c>
      <c r="D520" s="3" t="s">
        <v>30</v>
      </c>
      <c r="E520" s="3">
        <v>177170</v>
      </c>
      <c r="F520" s="3">
        <v>100000</v>
      </c>
      <c r="G520" s="3">
        <v>240</v>
      </c>
      <c r="H520" s="3">
        <v>11.64</v>
      </c>
      <c r="I520" s="3" t="s">
        <v>251</v>
      </c>
      <c r="J520" s="3">
        <v>457</v>
      </c>
      <c r="K520" s="29">
        <v>44845</v>
      </c>
      <c r="L520" s="29" t="s">
        <v>991</v>
      </c>
      <c r="M520" s="3" t="s">
        <v>24</v>
      </c>
      <c r="N520" s="3">
        <v>1076.0899999999999</v>
      </c>
      <c r="O520" s="3" t="s">
        <v>105</v>
      </c>
      <c r="P520" s="3" t="s">
        <v>159</v>
      </c>
      <c r="Q520" s="3" t="s">
        <v>100</v>
      </c>
      <c r="R520" s="3">
        <v>1</v>
      </c>
      <c r="S520" s="3">
        <v>90315.19</v>
      </c>
      <c r="T520" s="38" t="s">
        <v>2879</v>
      </c>
      <c r="U520" s="13"/>
    </row>
    <row r="521" spans="1:21" x14ac:dyDescent="0.3">
      <c r="A521" s="2" t="s">
        <v>325</v>
      </c>
      <c r="B521" s="2" t="s">
        <v>326</v>
      </c>
      <c r="C521" s="2">
        <v>55</v>
      </c>
      <c r="D521" s="2" t="s">
        <v>45</v>
      </c>
      <c r="E521" s="2">
        <v>86441</v>
      </c>
      <c r="F521" s="2">
        <v>100000</v>
      </c>
      <c r="G521" s="2">
        <v>60</v>
      </c>
      <c r="H521" s="2">
        <v>20.75</v>
      </c>
      <c r="I521" s="2" t="s">
        <v>31</v>
      </c>
      <c r="J521" s="2">
        <v>602</v>
      </c>
      <c r="K521" s="30">
        <v>44485</v>
      </c>
      <c r="L521" s="30" t="s">
        <v>328</v>
      </c>
      <c r="M521" s="2" t="s">
        <v>24</v>
      </c>
      <c r="N521" s="2">
        <v>2691.29</v>
      </c>
      <c r="O521" s="2" t="s">
        <v>48</v>
      </c>
      <c r="P521" s="2" t="s">
        <v>49</v>
      </c>
      <c r="Q521" s="2" t="s">
        <v>42</v>
      </c>
      <c r="R521" s="2">
        <v>1</v>
      </c>
      <c r="S521" s="2">
        <v>90311.360000000001</v>
      </c>
      <c r="T521" s="38" t="s">
        <v>2875</v>
      </c>
      <c r="U521" s="13"/>
    </row>
    <row r="522" spans="1:21" x14ac:dyDescent="0.3">
      <c r="A522" s="2" t="s">
        <v>2702</v>
      </c>
      <c r="B522" s="2" t="s">
        <v>2211</v>
      </c>
      <c r="C522" s="2">
        <v>31</v>
      </c>
      <c r="D522" s="2" t="s">
        <v>30</v>
      </c>
      <c r="E522" s="2">
        <v>214782</v>
      </c>
      <c r="F522" s="2">
        <v>150000</v>
      </c>
      <c r="G522" s="2">
        <v>24</v>
      </c>
      <c r="H522" s="2">
        <v>16.440000000000001</v>
      </c>
      <c r="I522" s="2" t="s">
        <v>66</v>
      </c>
      <c r="J522" s="2">
        <v>703</v>
      </c>
      <c r="K522" s="30">
        <v>44221</v>
      </c>
      <c r="L522" s="30" t="s">
        <v>910</v>
      </c>
      <c r="M522" s="2" t="s">
        <v>33</v>
      </c>
      <c r="N522" s="2">
        <v>7376.04</v>
      </c>
      <c r="O522" s="2" t="s">
        <v>105</v>
      </c>
      <c r="P522" s="2" t="s">
        <v>114</v>
      </c>
      <c r="Q522" s="2" t="s">
        <v>27</v>
      </c>
      <c r="R522" s="2">
        <v>0</v>
      </c>
      <c r="S522" s="2">
        <v>90254.080000000002</v>
      </c>
      <c r="T522" s="38" t="s">
        <v>2871</v>
      </c>
      <c r="U522" s="13"/>
    </row>
    <row r="523" spans="1:21" x14ac:dyDescent="0.3">
      <c r="A523" s="3" t="s">
        <v>1431</v>
      </c>
      <c r="B523" s="3" t="s">
        <v>277</v>
      </c>
      <c r="C523" s="3">
        <v>50</v>
      </c>
      <c r="D523" s="3" t="s">
        <v>72</v>
      </c>
      <c r="E523" s="3">
        <v>91419</v>
      </c>
      <c r="F523" s="3">
        <v>150000</v>
      </c>
      <c r="G523" s="3">
        <v>24</v>
      </c>
      <c r="H523" s="3">
        <v>7.82</v>
      </c>
      <c r="I523" s="3" t="s">
        <v>83</v>
      </c>
      <c r="J523" s="3">
        <v>832</v>
      </c>
      <c r="K523" s="29">
        <v>44865</v>
      </c>
      <c r="L523" s="29" t="s">
        <v>1432</v>
      </c>
      <c r="M523" s="3" t="s">
        <v>24</v>
      </c>
      <c r="N523" s="3">
        <v>6771.79</v>
      </c>
      <c r="O523" s="3" t="s">
        <v>48</v>
      </c>
      <c r="P523" s="3" t="s">
        <v>80</v>
      </c>
      <c r="Q523" s="3" t="s">
        <v>35</v>
      </c>
      <c r="R523" s="3">
        <v>9</v>
      </c>
      <c r="S523" s="3">
        <v>89053.89</v>
      </c>
      <c r="T523" s="38" t="s">
        <v>2867</v>
      </c>
      <c r="U523" s="13"/>
    </row>
    <row r="524" spans="1:21" x14ac:dyDescent="0.3">
      <c r="A524" s="2" t="s">
        <v>2410</v>
      </c>
      <c r="B524" s="2" t="s">
        <v>2411</v>
      </c>
      <c r="C524" s="2">
        <v>22</v>
      </c>
      <c r="D524" s="2" t="s">
        <v>45</v>
      </c>
      <c r="E524" s="2">
        <v>232113</v>
      </c>
      <c r="F524" s="2">
        <v>300000</v>
      </c>
      <c r="G524" s="2">
        <v>12</v>
      </c>
      <c r="H524" s="2">
        <v>7.62</v>
      </c>
      <c r="I524" s="2" t="s">
        <v>38</v>
      </c>
      <c r="J524" s="2" t="s">
        <v>2882</v>
      </c>
      <c r="K524" s="30">
        <v>44865</v>
      </c>
      <c r="L524" s="30" t="s">
        <v>1164</v>
      </c>
      <c r="M524" s="2" t="s">
        <v>33</v>
      </c>
      <c r="N524" s="2">
        <v>26043.85</v>
      </c>
      <c r="O524" s="2" t="s">
        <v>105</v>
      </c>
      <c r="P524" s="2" t="s">
        <v>130</v>
      </c>
      <c r="Q524" s="2" t="s">
        <v>42</v>
      </c>
      <c r="R524" s="2">
        <v>0</v>
      </c>
      <c r="S524" s="2">
        <v>89044.82</v>
      </c>
      <c r="T524" s="38" t="s">
        <v>2883</v>
      </c>
      <c r="U524" s="13"/>
    </row>
    <row r="525" spans="1:21" x14ac:dyDescent="0.3">
      <c r="A525" s="2" t="s">
        <v>823</v>
      </c>
      <c r="B525" s="2" t="s">
        <v>824</v>
      </c>
      <c r="C525" s="2">
        <v>25</v>
      </c>
      <c r="D525" s="2" t="s">
        <v>30</v>
      </c>
      <c r="E525" s="2">
        <v>172722</v>
      </c>
      <c r="F525" s="2">
        <v>150000</v>
      </c>
      <c r="G525" s="2">
        <v>12</v>
      </c>
      <c r="H525" s="2">
        <v>15.13</v>
      </c>
      <c r="I525" s="2" t="s">
        <v>46</v>
      </c>
      <c r="J525" s="2">
        <v>639</v>
      </c>
      <c r="K525" s="30">
        <v>44560</v>
      </c>
      <c r="L525" s="30" t="s">
        <v>826</v>
      </c>
      <c r="M525" s="2" t="s">
        <v>122</v>
      </c>
      <c r="N525" s="2">
        <v>13547.95</v>
      </c>
      <c r="O525" s="2" t="s">
        <v>54</v>
      </c>
      <c r="P525" s="2" t="s">
        <v>2996</v>
      </c>
      <c r="Q525" s="2" t="s">
        <v>42</v>
      </c>
      <c r="R525" s="2">
        <v>0</v>
      </c>
      <c r="S525" s="2">
        <v>89034.23</v>
      </c>
      <c r="T525" s="38" t="s">
        <v>2875</v>
      </c>
      <c r="U525" s="13"/>
    </row>
    <row r="526" spans="1:21" x14ac:dyDescent="0.3">
      <c r="A526" s="2" t="s">
        <v>1810</v>
      </c>
      <c r="B526" s="2" t="s">
        <v>1811</v>
      </c>
      <c r="C526" s="2">
        <v>34</v>
      </c>
      <c r="D526" s="2" t="s">
        <v>72</v>
      </c>
      <c r="E526" s="2">
        <v>181295</v>
      </c>
      <c r="F526" s="2">
        <v>100000</v>
      </c>
      <c r="G526" s="2">
        <v>48</v>
      </c>
      <c r="H526" s="2">
        <v>9.32</v>
      </c>
      <c r="I526" s="2" t="s">
        <v>251</v>
      </c>
      <c r="J526" s="2">
        <v>862</v>
      </c>
      <c r="K526" s="30">
        <v>45069</v>
      </c>
      <c r="L526" s="30" t="s">
        <v>1717</v>
      </c>
      <c r="M526" s="2" t="s">
        <v>24</v>
      </c>
      <c r="N526" s="2">
        <v>2503.73</v>
      </c>
      <c r="O526" s="2" t="s">
        <v>105</v>
      </c>
      <c r="P526" s="2" t="s">
        <v>159</v>
      </c>
      <c r="Q526" s="2" t="s">
        <v>42</v>
      </c>
      <c r="R526" s="2">
        <v>2</v>
      </c>
      <c r="S526" s="2">
        <v>88733.21</v>
      </c>
      <c r="T526" s="38" t="s">
        <v>2867</v>
      </c>
      <c r="U526" s="13"/>
    </row>
    <row r="527" spans="1:21" x14ac:dyDescent="0.3">
      <c r="A527" s="3" t="s">
        <v>1370</v>
      </c>
      <c r="B527" s="3" t="s">
        <v>1371</v>
      </c>
      <c r="C527" s="3">
        <v>63</v>
      </c>
      <c r="D527" s="3" t="s">
        <v>65</v>
      </c>
      <c r="E527" s="3">
        <v>43424</v>
      </c>
      <c r="F527" s="3">
        <v>100000</v>
      </c>
      <c r="G527" s="3">
        <v>240</v>
      </c>
      <c r="H527" s="3">
        <v>18.649999999999999</v>
      </c>
      <c r="I527" s="3" t="s">
        <v>83</v>
      </c>
      <c r="J527" s="3">
        <v>408</v>
      </c>
      <c r="K527" s="29">
        <v>44346</v>
      </c>
      <c r="L527" s="29" t="s">
        <v>145</v>
      </c>
      <c r="M527" s="3" t="s">
        <v>24</v>
      </c>
      <c r="N527" s="3">
        <v>1593.51</v>
      </c>
      <c r="O527" s="3" t="s">
        <v>60</v>
      </c>
      <c r="P527" s="3" t="s">
        <v>61</v>
      </c>
      <c r="Q527" s="3" t="s">
        <v>42</v>
      </c>
      <c r="R527" s="3">
        <v>0</v>
      </c>
      <c r="S527" s="3">
        <v>88526.73</v>
      </c>
      <c r="T527" s="38" t="s">
        <v>2879</v>
      </c>
      <c r="U527" s="13"/>
    </row>
    <row r="528" spans="1:21" x14ac:dyDescent="0.3">
      <c r="A528" s="2" t="s">
        <v>2574</v>
      </c>
      <c r="B528" s="2" t="s">
        <v>2575</v>
      </c>
      <c r="C528" s="2">
        <v>42</v>
      </c>
      <c r="D528" s="2" t="s">
        <v>65</v>
      </c>
      <c r="E528" s="2">
        <v>174335</v>
      </c>
      <c r="F528" s="2">
        <v>200000</v>
      </c>
      <c r="G528" s="2">
        <v>36</v>
      </c>
      <c r="H528" s="2">
        <v>10.91</v>
      </c>
      <c r="I528" s="2" t="s">
        <v>31</v>
      </c>
      <c r="J528" s="2">
        <v>521</v>
      </c>
      <c r="K528" s="30">
        <v>44521</v>
      </c>
      <c r="L528" s="30" t="s">
        <v>2464</v>
      </c>
      <c r="M528" s="2" t="s">
        <v>33</v>
      </c>
      <c r="N528" s="2">
        <v>6539.22</v>
      </c>
      <c r="O528" s="2" t="s">
        <v>60</v>
      </c>
      <c r="P528" s="2" t="s">
        <v>2997</v>
      </c>
      <c r="Q528" s="2" t="s">
        <v>35</v>
      </c>
      <c r="R528" s="2">
        <v>0</v>
      </c>
      <c r="S528" s="2">
        <v>88179.34</v>
      </c>
      <c r="T528" s="38" t="s">
        <v>2879</v>
      </c>
      <c r="U528" s="13"/>
    </row>
    <row r="529" spans="1:21" x14ac:dyDescent="0.3">
      <c r="A529" s="2" t="s">
        <v>2677</v>
      </c>
      <c r="B529" s="2" t="s">
        <v>940</v>
      </c>
      <c r="C529" s="2">
        <v>50</v>
      </c>
      <c r="D529" s="2" t="s">
        <v>45</v>
      </c>
      <c r="E529" s="2">
        <v>68862</v>
      </c>
      <c r="F529" s="2">
        <v>250000</v>
      </c>
      <c r="G529" s="2">
        <v>36</v>
      </c>
      <c r="H529" s="2">
        <v>17.7</v>
      </c>
      <c r="I529" s="2" t="s">
        <v>73</v>
      </c>
      <c r="J529" s="2">
        <v>472</v>
      </c>
      <c r="K529" s="30">
        <v>44920</v>
      </c>
      <c r="L529" s="30" t="s">
        <v>874</v>
      </c>
      <c r="M529" s="2" t="s">
        <v>24</v>
      </c>
      <c r="N529" s="2">
        <v>9000.52</v>
      </c>
      <c r="O529" s="2" t="s">
        <v>60</v>
      </c>
      <c r="P529" s="2" t="s">
        <v>192</v>
      </c>
      <c r="Q529" s="2" t="s">
        <v>42</v>
      </c>
      <c r="R529" s="2">
        <v>0</v>
      </c>
      <c r="S529" s="2">
        <v>87990.64</v>
      </c>
      <c r="T529" s="38" t="s">
        <v>2879</v>
      </c>
      <c r="U529" s="13"/>
    </row>
    <row r="530" spans="1:21" x14ac:dyDescent="0.3">
      <c r="A530" s="2" t="s">
        <v>2649</v>
      </c>
      <c r="B530" s="2" t="s">
        <v>259</v>
      </c>
      <c r="C530" s="2">
        <v>30</v>
      </c>
      <c r="D530" s="2" t="s">
        <v>65</v>
      </c>
      <c r="E530" s="2">
        <v>17934</v>
      </c>
      <c r="F530" s="2">
        <v>250000</v>
      </c>
      <c r="G530" s="2">
        <v>12</v>
      </c>
      <c r="H530" s="2">
        <v>14.9</v>
      </c>
      <c r="I530" s="2" t="s">
        <v>46</v>
      </c>
      <c r="J530" s="2">
        <v>415</v>
      </c>
      <c r="K530" s="30">
        <v>44215</v>
      </c>
      <c r="L530" s="30" t="s">
        <v>2650</v>
      </c>
      <c r="M530" s="2" t="s">
        <v>24</v>
      </c>
      <c r="N530" s="2">
        <v>22552.78</v>
      </c>
      <c r="O530" s="2" t="s">
        <v>54</v>
      </c>
      <c r="P530" s="2" t="s">
        <v>183</v>
      </c>
      <c r="Q530" s="2" t="s">
        <v>35</v>
      </c>
      <c r="R530" s="2">
        <v>9</v>
      </c>
      <c r="S530" s="2">
        <v>87619.98</v>
      </c>
      <c r="T530" s="38" t="s">
        <v>2879</v>
      </c>
      <c r="U530" s="13"/>
    </row>
    <row r="531" spans="1:21" x14ac:dyDescent="0.3">
      <c r="A531" s="2" t="s">
        <v>2633</v>
      </c>
      <c r="B531" s="2" t="s">
        <v>1536</v>
      </c>
      <c r="C531" s="2">
        <v>43</v>
      </c>
      <c r="D531" s="2" t="s">
        <v>65</v>
      </c>
      <c r="E531" s="2">
        <v>113281</v>
      </c>
      <c r="F531" s="2">
        <v>150000</v>
      </c>
      <c r="G531" s="2">
        <v>60</v>
      </c>
      <c r="H531" s="2">
        <v>13.71</v>
      </c>
      <c r="I531" s="2" t="s">
        <v>31</v>
      </c>
      <c r="J531" s="2">
        <v>342</v>
      </c>
      <c r="K531" s="30">
        <v>44916</v>
      </c>
      <c r="L531" s="30" t="s">
        <v>109</v>
      </c>
      <c r="M531" s="2" t="s">
        <v>24</v>
      </c>
      <c r="N531" s="2">
        <v>3467.73</v>
      </c>
      <c r="O531" s="2" t="s">
        <v>60</v>
      </c>
      <c r="P531" s="2" t="s">
        <v>172</v>
      </c>
      <c r="Q531" s="2" t="s">
        <v>27</v>
      </c>
      <c r="R531" s="2">
        <v>1</v>
      </c>
      <c r="S531" s="2">
        <v>87580.86</v>
      </c>
      <c r="T531" s="38" t="s">
        <v>2879</v>
      </c>
      <c r="U531" s="13"/>
    </row>
    <row r="532" spans="1:21" x14ac:dyDescent="0.3">
      <c r="A532" s="3" t="s">
        <v>2850</v>
      </c>
      <c r="B532" s="3" t="s">
        <v>962</v>
      </c>
      <c r="C532" s="3">
        <v>35</v>
      </c>
      <c r="D532" s="3" t="s">
        <v>30</v>
      </c>
      <c r="E532" s="3">
        <v>184118</v>
      </c>
      <c r="F532" s="3">
        <v>250000</v>
      </c>
      <c r="G532" s="3">
        <v>24</v>
      </c>
      <c r="H532" s="3">
        <v>8.27</v>
      </c>
      <c r="I532" s="3" t="s">
        <v>38</v>
      </c>
      <c r="J532" s="3">
        <v>762</v>
      </c>
      <c r="K532" s="29">
        <v>44951</v>
      </c>
      <c r="L532" s="29" t="s">
        <v>39</v>
      </c>
      <c r="M532" s="3" t="s">
        <v>24</v>
      </c>
      <c r="N532" s="3">
        <v>11337.63</v>
      </c>
      <c r="O532" s="3" t="s">
        <v>25</v>
      </c>
      <c r="P532" s="3" t="s">
        <v>123</v>
      </c>
      <c r="Q532" s="3" t="s">
        <v>35</v>
      </c>
      <c r="R532" s="3">
        <v>0</v>
      </c>
      <c r="S532" s="3">
        <v>86738.13</v>
      </c>
      <c r="T532" s="38" t="s">
        <v>2867</v>
      </c>
      <c r="U532" s="13"/>
    </row>
    <row r="533" spans="1:21" x14ac:dyDescent="0.3">
      <c r="A533" s="3" t="s">
        <v>143</v>
      </c>
      <c r="B533" s="3" t="s">
        <v>144</v>
      </c>
      <c r="C533" s="3">
        <v>22</v>
      </c>
      <c r="D533" s="3" t="s">
        <v>21</v>
      </c>
      <c r="E533" s="3">
        <v>217144</v>
      </c>
      <c r="F533" s="3">
        <v>100000</v>
      </c>
      <c r="G533" s="3">
        <v>60</v>
      </c>
      <c r="H533" s="3">
        <v>9.84</v>
      </c>
      <c r="I533" s="3" t="s">
        <v>31</v>
      </c>
      <c r="J533" s="3">
        <v>864</v>
      </c>
      <c r="K533" s="29">
        <v>44351</v>
      </c>
      <c r="L533" s="29" t="s">
        <v>146</v>
      </c>
      <c r="M533" s="3" t="s">
        <v>24</v>
      </c>
      <c r="N533" s="3">
        <v>2116.84</v>
      </c>
      <c r="O533" s="3" t="s">
        <v>60</v>
      </c>
      <c r="P533" s="3" t="s">
        <v>69</v>
      </c>
      <c r="Q533" s="3" t="s">
        <v>35</v>
      </c>
      <c r="R533" s="3">
        <v>0</v>
      </c>
      <c r="S533" s="3">
        <v>86663.91</v>
      </c>
      <c r="T533" s="38" t="s">
        <v>2867</v>
      </c>
      <c r="U533" s="13"/>
    </row>
    <row r="534" spans="1:21" x14ac:dyDescent="0.3">
      <c r="A534" s="3" t="s">
        <v>1470</v>
      </c>
      <c r="B534" s="3" t="s">
        <v>1471</v>
      </c>
      <c r="C534" s="3">
        <v>30</v>
      </c>
      <c r="D534" s="3" t="s">
        <v>45</v>
      </c>
      <c r="E534" s="3">
        <v>88771</v>
      </c>
      <c r="F534" s="3">
        <v>250000</v>
      </c>
      <c r="G534" s="3">
        <v>180</v>
      </c>
      <c r="H534" s="3">
        <v>13.47</v>
      </c>
      <c r="I534" s="3" t="s">
        <v>251</v>
      </c>
      <c r="J534" s="3">
        <v>404</v>
      </c>
      <c r="K534" s="29">
        <v>44582</v>
      </c>
      <c r="L534" s="29" t="s">
        <v>1473</v>
      </c>
      <c r="M534" s="3" t="s">
        <v>24</v>
      </c>
      <c r="N534" s="3">
        <v>3240.81</v>
      </c>
      <c r="O534" s="3" t="s">
        <v>105</v>
      </c>
      <c r="P534" s="3" t="s">
        <v>159</v>
      </c>
      <c r="Q534" s="3" t="s">
        <v>35</v>
      </c>
      <c r="R534" s="3">
        <v>8</v>
      </c>
      <c r="S534" s="3">
        <v>86663.18</v>
      </c>
      <c r="T534" s="38" t="s">
        <v>2879</v>
      </c>
      <c r="U534" s="13"/>
    </row>
    <row r="535" spans="1:21" x14ac:dyDescent="0.3">
      <c r="A535" s="2" t="s">
        <v>2684</v>
      </c>
      <c r="B535" s="2" t="s">
        <v>649</v>
      </c>
      <c r="C535" s="2">
        <v>61</v>
      </c>
      <c r="D535" s="2" t="s">
        <v>45</v>
      </c>
      <c r="E535" s="2">
        <v>28124</v>
      </c>
      <c r="F535" s="2">
        <v>200000</v>
      </c>
      <c r="G535" s="2">
        <v>24</v>
      </c>
      <c r="H535" s="2">
        <v>15.12</v>
      </c>
      <c r="I535" s="2" t="s">
        <v>66</v>
      </c>
      <c r="J535" s="2">
        <v>763</v>
      </c>
      <c r="K535" s="30">
        <v>44767</v>
      </c>
      <c r="L535" s="30" t="s">
        <v>307</v>
      </c>
      <c r="M535" s="2" t="s">
        <v>24</v>
      </c>
      <c r="N535" s="2">
        <v>9708.74</v>
      </c>
      <c r="O535" s="2" t="s">
        <v>105</v>
      </c>
      <c r="P535" s="2" t="s">
        <v>130</v>
      </c>
      <c r="Q535" s="2" t="s">
        <v>35</v>
      </c>
      <c r="R535" s="2">
        <v>2</v>
      </c>
      <c r="S535" s="2">
        <v>86407.74</v>
      </c>
      <c r="T535" s="38" t="s">
        <v>2867</v>
      </c>
      <c r="U535" s="13"/>
    </row>
    <row r="536" spans="1:21" x14ac:dyDescent="0.3">
      <c r="A536" s="2" t="s">
        <v>19</v>
      </c>
      <c r="B536" s="2" t="s">
        <v>20</v>
      </c>
      <c r="C536" s="2">
        <v>23</v>
      </c>
      <c r="D536" s="2" t="s">
        <v>21</v>
      </c>
      <c r="E536" s="2">
        <v>79196</v>
      </c>
      <c r="F536" s="2">
        <v>150000</v>
      </c>
      <c r="G536" s="2">
        <v>36</v>
      </c>
      <c r="H536" s="2">
        <v>18.18</v>
      </c>
      <c r="I536" s="2" t="s">
        <v>22</v>
      </c>
      <c r="J536" s="2">
        <v>732</v>
      </c>
      <c r="K536" s="30">
        <v>44673</v>
      </c>
      <c r="L536" s="30" t="s">
        <v>23</v>
      </c>
      <c r="M536" s="2" t="s">
        <v>24</v>
      </c>
      <c r="N536" s="2">
        <v>5436.41</v>
      </c>
      <c r="O536" s="2" t="s">
        <v>25</v>
      </c>
      <c r="P536" s="2" t="s">
        <v>26</v>
      </c>
      <c r="Q536" s="2" t="s">
        <v>27</v>
      </c>
      <c r="R536" s="2">
        <v>0</v>
      </c>
      <c r="S536" s="2">
        <v>86394</v>
      </c>
      <c r="T536" s="38" t="s">
        <v>2871</v>
      </c>
      <c r="U536" s="13"/>
    </row>
    <row r="537" spans="1:21" x14ac:dyDescent="0.3">
      <c r="A537" s="3" t="s">
        <v>612</v>
      </c>
      <c r="B537" s="3" t="s">
        <v>613</v>
      </c>
      <c r="C537" s="3">
        <v>48</v>
      </c>
      <c r="D537" s="3" t="s">
        <v>45</v>
      </c>
      <c r="E537" s="3">
        <v>153934</v>
      </c>
      <c r="F537" s="3">
        <v>100000</v>
      </c>
      <c r="G537" s="3">
        <v>120</v>
      </c>
      <c r="H537" s="3">
        <v>11.02</v>
      </c>
      <c r="I537" s="3" t="s">
        <v>83</v>
      </c>
      <c r="J537" s="3">
        <v>638</v>
      </c>
      <c r="K537" s="29">
        <v>44587</v>
      </c>
      <c r="L537" s="29" t="s">
        <v>615</v>
      </c>
      <c r="M537" s="3" t="s">
        <v>24</v>
      </c>
      <c r="N537" s="3">
        <v>1378.63</v>
      </c>
      <c r="O537" s="3" t="s">
        <v>25</v>
      </c>
      <c r="P537" s="3" t="s">
        <v>2998</v>
      </c>
      <c r="Q537" s="3" t="s">
        <v>42</v>
      </c>
      <c r="R537" s="3">
        <v>1</v>
      </c>
      <c r="S537" s="3">
        <v>86351.56</v>
      </c>
      <c r="T537" s="38" t="s">
        <v>2875</v>
      </c>
      <c r="U537" s="13"/>
    </row>
    <row r="538" spans="1:21" x14ac:dyDescent="0.3">
      <c r="A538" s="3" t="s">
        <v>500</v>
      </c>
      <c r="B538" s="3" t="s">
        <v>501</v>
      </c>
      <c r="C538" s="3">
        <v>30</v>
      </c>
      <c r="D538" s="3" t="s">
        <v>21</v>
      </c>
      <c r="E538" s="3">
        <v>176068</v>
      </c>
      <c r="F538" s="3">
        <v>500000</v>
      </c>
      <c r="G538" s="3">
        <v>24</v>
      </c>
      <c r="H538" s="3">
        <v>14.79</v>
      </c>
      <c r="I538" s="3" t="s">
        <v>251</v>
      </c>
      <c r="J538" s="3">
        <v>894</v>
      </c>
      <c r="K538" s="29">
        <v>44888</v>
      </c>
      <c r="L538" s="29" t="s">
        <v>503</v>
      </c>
      <c r="M538" s="3" t="s">
        <v>24</v>
      </c>
      <c r="N538" s="3">
        <v>24193.47</v>
      </c>
      <c r="O538" s="3" t="s">
        <v>105</v>
      </c>
      <c r="P538" s="3" t="s">
        <v>159</v>
      </c>
      <c r="Q538" s="3" t="s">
        <v>35</v>
      </c>
      <c r="R538" s="3">
        <v>10</v>
      </c>
      <c r="S538" s="3">
        <v>86291.66</v>
      </c>
      <c r="T538" s="38" t="s">
        <v>2867</v>
      </c>
      <c r="U538" s="13"/>
    </row>
    <row r="539" spans="1:21" x14ac:dyDescent="0.3">
      <c r="A539" s="2" t="s">
        <v>2802</v>
      </c>
      <c r="B539" s="2" t="s">
        <v>2083</v>
      </c>
      <c r="C539" s="2">
        <v>38</v>
      </c>
      <c r="D539" s="2" t="s">
        <v>21</v>
      </c>
      <c r="E539" s="2">
        <v>158892</v>
      </c>
      <c r="F539" s="2">
        <v>100000</v>
      </c>
      <c r="G539" s="2">
        <v>36</v>
      </c>
      <c r="H539" s="2">
        <v>8.14</v>
      </c>
      <c r="I539" s="2" t="s">
        <v>31</v>
      </c>
      <c r="J539" s="2">
        <v>510</v>
      </c>
      <c r="K539" s="30">
        <v>45257</v>
      </c>
      <c r="L539" s="30" t="s">
        <v>695</v>
      </c>
      <c r="M539" s="2" t="s">
        <v>24</v>
      </c>
      <c r="N539" s="2">
        <v>3140.1</v>
      </c>
      <c r="O539" s="2" t="s">
        <v>105</v>
      </c>
      <c r="P539" s="2" t="s">
        <v>159</v>
      </c>
      <c r="Q539" s="2" t="s">
        <v>42</v>
      </c>
      <c r="R539" s="2">
        <v>2</v>
      </c>
      <c r="S539" s="2">
        <v>85869.55</v>
      </c>
      <c r="T539" s="38" t="s">
        <v>2879</v>
      </c>
      <c r="U539" s="13"/>
    </row>
    <row r="540" spans="1:21" x14ac:dyDescent="0.3">
      <c r="A540" s="2" t="s">
        <v>1336</v>
      </c>
      <c r="B540" s="2" t="s">
        <v>1158</v>
      </c>
      <c r="C540" s="2">
        <v>45</v>
      </c>
      <c r="D540" s="2" t="s">
        <v>72</v>
      </c>
      <c r="E540" s="2">
        <v>167113</v>
      </c>
      <c r="F540" s="2">
        <v>400000</v>
      </c>
      <c r="G540" s="2">
        <v>24</v>
      </c>
      <c r="H540" s="2">
        <v>9.56</v>
      </c>
      <c r="I540" s="2" t="s">
        <v>66</v>
      </c>
      <c r="J540" s="2">
        <v>776</v>
      </c>
      <c r="K540" s="30">
        <v>44378</v>
      </c>
      <c r="L540" s="30" t="s">
        <v>743</v>
      </c>
      <c r="M540" s="2" t="s">
        <v>24</v>
      </c>
      <c r="N540" s="2">
        <v>18376.84</v>
      </c>
      <c r="O540" s="2" t="s">
        <v>54</v>
      </c>
      <c r="P540" s="2" t="s">
        <v>304</v>
      </c>
      <c r="Q540" s="2" t="s">
        <v>42</v>
      </c>
      <c r="R540" s="2">
        <v>2</v>
      </c>
      <c r="S540" s="2">
        <v>85756.04</v>
      </c>
      <c r="T540" s="38" t="s">
        <v>2867</v>
      </c>
      <c r="U540" s="13"/>
    </row>
    <row r="541" spans="1:21" x14ac:dyDescent="0.3">
      <c r="A541" s="2" t="s">
        <v>1340</v>
      </c>
      <c r="B541" s="2" t="s">
        <v>1341</v>
      </c>
      <c r="C541" s="2">
        <v>48</v>
      </c>
      <c r="D541" s="2" t="s">
        <v>21</v>
      </c>
      <c r="E541" s="2">
        <v>224249</v>
      </c>
      <c r="F541" s="2">
        <v>200000</v>
      </c>
      <c r="G541" s="2">
        <v>60</v>
      </c>
      <c r="H541" s="2">
        <v>9.93</v>
      </c>
      <c r="I541" s="2" t="s">
        <v>66</v>
      </c>
      <c r="J541" s="2">
        <v>877</v>
      </c>
      <c r="K541" s="30">
        <v>44543</v>
      </c>
      <c r="L541" s="30" t="s">
        <v>808</v>
      </c>
      <c r="M541" s="2" t="s">
        <v>24</v>
      </c>
      <c r="N541" s="2">
        <v>4242.5200000000004</v>
      </c>
      <c r="O541" s="2" t="s">
        <v>48</v>
      </c>
      <c r="P541" s="2" t="s">
        <v>49</v>
      </c>
      <c r="Q541" s="2" t="s">
        <v>35</v>
      </c>
      <c r="R541" s="2">
        <v>10</v>
      </c>
      <c r="S541" s="2">
        <v>85451.96</v>
      </c>
      <c r="T541" s="38" t="s">
        <v>2867</v>
      </c>
      <c r="U541" s="13"/>
    </row>
    <row r="542" spans="1:21" x14ac:dyDescent="0.3">
      <c r="A542" s="3" t="s">
        <v>2310</v>
      </c>
      <c r="B542" s="3" t="s">
        <v>2311</v>
      </c>
      <c r="C542" s="3">
        <v>30</v>
      </c>
      <c r="D542" s="3" t="s">
        <v>21</v>
      </c>
      <c r="E542" s="3">
        <v>215027</v>
      </c>
      <c r="F542" s="3">
        <v>100000</v>
      </c>
      <c r="G542" s="3">
        <v>120</v>
      </c>
      <c r="H542" s="3">
        <v>18.71</v>
      </c>
      <c r="I542" s="3" t="s">
        <v>66</v>
      </c>
      <c r="J542" s="3">
        <v>734</v>
      </c>
      <c r="K542" s="29">
        <v>44907</v>
      </c>
      <c r="L542" s="29" t="s">
        <v>2312</v>
      </c>
      <c r="M542" s="3" t="s">
        <v>24</v>
      </c>
      <c r="N542" s="3">
        <v>1847.81</v>
      </c>
      <c r="O542" s="3" t="s">
        <v>54</v>
      </c>
      <c r="P542" s="3" t="s">
        <v>164</v>
      </c>
      <c r="Q542" s="3" t="s">
        <v>42</v>
      </c>
      <c r="R542" s="3">
        <v>2</v>
      </c>
      <c r="S542" s="3">
        <v>85032.74</v>
      </c>
      <c r="T542" s="38" t="s">
        <v>2871</v>
      </c>
      <c r="U542" s="13"/>
    </row>
    <row r="543" spans="1:21" x14ac:dyDescent="0.3">
      <c r="A543" s="2" t="s">
        <v>2828</v>
      </c>
      <c r="B543" s="2" t="s">
        <v>2829</v>
      </c>
      <c r="C543" s="2">
        <v>59</v>
      </c>
      <c r="D543" s="2" t="s">
        <v>21</v>
      </c>
      <c r="E543" s="2">
        <v>246599</v>
      </c>
      <c r="F543" s="2">
        <v>1500000</v>
      </c>
      <c r="G543" s="2">
        <v>24</v>
      </c>
      <c r="H543" s="2">
        <v>13.22</v>
      </c>
      <c r="I543" s="2" t="s">
        <v>83</v>
      </c>
      <c r="J543" s="2">
        <v>444</v>
      </c>
      <c r="K543" s="30">
        <v>45128</v>
      </c>
      <c r="L543" s="30" t="s">
        <v>1054</v>
      </c>
      <c r="M543" s="2" t="s">
        <v>24</v>
      </c>
      <c r="N543" s="2">
        <v>71467.839999999997</v>
      </c>
      <c r="O543" s="2" t="s">
        <v>25</v>
      </c>
      <c r="P543" s="2" t="s">
        <v>26</v>
      </c>
      <c r="Q543" s="2" t="s">
        <v>42</v>
      </c>
      <c r="R543" s="2">
        <v>0</v>
      </c>
      <c r="S543" s="2">
        <v>84936.77</v>
      </c>
      <c r="T543" s="38" t="s">
        <v>2879</v>
      </c>
      <c r="U543" s="13"/>
    </row>
    <row r="544" spans="1:21" x14ac:dyDescent="0.3">
      <c r="A544" s="2" t="s">
        <v>504</v>
      </c>
      <c r="B544" s="2" t="s">
        <v>505</v>
      </c>
      <c r="C544" s="2">
        <v>23</v>
      </c>
      <c r="D544" s="2" t="s">
        <v>21</v>
      </c>
      <c r="E544" s="2">
        <v>26917</v>
      </c>
      <c r="F544" s="2">
        <v>1000000</v>
      </c>
      <c r="G544" s="2">
        <v>60</v>
      </c>
      <c r="H544" s="2">
        <v>16.940000000000001</v>
      </c>
      <c r="I544" s="2" t="s">
        <v>73</v>
      </c>
      <c r="J544" s="2">
        <v>331</v>
      </c>
      <c r="K544" s="30">
        <v>44815</v>
      </c>
      <c r="L544" s="30" t="s">
        <v>507</v>
      </c>
      <c r="M544" s="2" t="s">
        <v>122</v>
      </c>
      <c r="N544" s="2">
        <v>24820.33</v>
      </c>
      <c r="O544" s="2" t="s">
        <v>60</v>
      </c>
      <c r="P544" s="2" t="s">
        <v>69</v>
      </c>
      <c r="Q544" s="2" t="s">
        <v>35</v>
      </c>
      <c r="R544" s="2">
        <v>4</v>
      </c>
      <c r="S544" s="2">
        <v>84129.82</v>
      </c>
      <c r="T544" s="38" t="s">
        <v>2879</v>
      </c>
      <c r="U544" s="13"/>
    </row>
    <row r="545" spans="1:21" x14ac:dyDescent="0.3">
      <c r="A545" s="3" t="s">
        <v>414</v>
      </c>
      <c r="B545" s="3" t="s">
        <v>415</v>
      </c>
      <c r="C545" s="3">
        <v>27</v>
      </c>
      <c r="D545" s="3" t="s">
        <v>45</v>
      </c>
      <c r="E545" s="3">
        <v>184378</v>
      </c>
      <c r="F545" s="3">
        <v>100000</v>
      </c>
      <c r="G545" s="3">
        <v>12</v>
      </c>
      <c r="H545" s="3">
        <v>11.09</v>
      </c>
      <c r="I545" s="3" t="s">
        <v>31</v>
      </c>
      <c r="J545" s="3">
        <v>749</v>
      </c>
      <c r="K545" s="29">
        <v>44942</v>
      </c>
      <c r="L545" s="29" t="s">
        <v>416</v>
      </c>
      <c r="M545" s="3" t="s">
        <v>24</v>
      </c>
      <c r="N545" s="3">
        <v>8842.36</v>
      </c>
      <c r="O545" s="3" t="s">
        <v>54</v>
      </c>
      <c r="P545" s="3" t="s">
        <v>99</v>
      </c>
      <c r="Q545" s="3" t="s">
        <v>27</v>
      </c>
      <c r="R545" s="3">
        <v>2</v>
      </c>
      <c r="S545" s="3">
        <v>84083.75</v>
      </c>
      <c r="T545" s="38" t="s">
        <v>2871</v>
      </c>
      <c r="U545" s="13"/>
    </row>
    <row r="546" spans="1:21" x14ac:dyDescent="0.3">
      <c r="A546" s="2" t="s">
        <v>1768</v>
      </c>
      <c r="B546" s="2" t="s">
        <v>1769</v>
      </c>
      <c r="C546" s="2">
        <v>42</v>
      </c>
      <c r="D546" s="2" t="s">
        <v>65</v>
      </c>
      <c r="E546" s="2">
        <v>117525</v>
      </c>
      <c r="F546" s="2">
        <v>100000</v>
      </c>
      <c r="G546" s="2">
        <v>24</v>
      </c>
      <c r="H546" s="2">
        <v>9.3699999999999992</v>
      </c>
      <c r="I546" s="2" t="s">
        <v>73</v>
      </c>
      <c r="J546" s="2">
        <v>789</v>
      </c>
      <c r="K546" s="30">
        <v>44618</v>
      </c>
      <c r="L546" s="30" t="s">
        <v>618</v>
      </c>
      <c r="M546" s="2" t="s">
        <v>24</v>
      </c>
      <c r="N546" s="2">
        <v>4585.47</v>
      </c>
      <c r="O546" s="2" t="s">
        <v>25</v>
      </c>
      <c r="P546" s="2" t="s">
        <v>2998</v>
      </c>
      <c r="Q546" s="2" t="s">
        <v>35</v>
      </c>
      <c r="R546" s="2">
        <v>3</v>
      </c>
      <c r="S546" s="2">
        <v>83492.31</v>
      </c>
      <c r="T546" s="38" t="s">
        <v>2867</v>
      </c>
      <c r="U546" s="13"/>
    </row>
    <row r="547" spans="1:21" x14ac:dyDescent="0.3">
      <c r="A547" s="2" t="s">
        <v>2472</v>
      </c>
      <c r="B547" s="2" t="s">
        <v>1902</v>
      </c>
      <c r="C547" s="2">
        <v>60</v>
      </c>
      <c r="D547" s="2" t="s">
        <v>65</v>
      </c>
      <c r="E547" s="2">
        <v>238401</v>
      </c>
      <c r="F547" s="2">
        <v>200000</v>
      </c>
      <c r="G547" s="2">
        <v>36</v>
      </c>
      <c r="H547" s="2">
        <v>17.88</v>
      </c>
      <c r="I547" s="2" t="s">
        <v>38</v>
      </c>
      <c r="J547" s="2">
        <v>706</v>
      </c>
      <c r="K547" s="30">
        <v>44365</v>
      </c>
      <c r="L547" s="30" t="s">
        <v>1337</v>
      </c>
      <c r="M547" s="2" t="s">
        <v>33</v>
      </c>
      <c r="N547" s="2">
        <v>7218.45</v>
      </c>
      <c r="O547" s="2" t="s">
        <v>105</v>
      </c>
      <c r="P547" s="2" t="s">
        <v>118</v>
      </c>
      <c r="Q547" s="2" t="s">
        <v>42</v>
      </c>
      <c r="R547" s="2">
        <v>0</v>
      </c>
      <c r="S547" s="2">
        <v>83061.11</v>
      </c>
      <c r="T547" s="38" t="s">
        <v>2871</v>
      </c>
      <c r="U547" s="13"/>
    </row>
    <row r="548" spans="1:21" x14ac:dyDescent="0.3">
      <c r="A548" s="2" t="s">
        <v>1942</v>
      </c>
      <c r="B548" s="2" t="s">
        <v>1943</v>
      </c>
      <c r="C548" s="2">
        <v>40</v>
      </c>
      <c r="D548" s="2" t="s">
        <v>72</v>
      </c>
      <c r="E548" s="2">
        <v>182671</v>
      </c>
      <c r="F548" s="2">
        <v>100000</v>
      </c>
      <c r="G548" s="2">
        <v>60</v>
      </c>
      <c r="H548" s="2">
        <v>20.95</v>
      </c>
      <c r="I548" s="2" t="s">
        <v>66</v>
      </c>
      <c r="J548" s="2">
        <v>352</v>
      </c>
      <c r="K548" s="30">
        <v>44199</v>
      </c>
      <c r="L548" s="30" t="s">
        <v>1734</v>
      </c>
      <c r="M548" s="2" t="s">
        <v>24</v>
      </c>
      <c r="N548" s="2">
        <v>2702.52</v>
      </c>
      <c r="O548" s="2" t="s">
        <v>105</v>
      </c>
      <c r="P548" s="2" t="s">
        <v>159</v>
      </c>
      <c r="Q548" s="2" t="s">
        <v>42</v>
      </c>
      <c r="R548" s="2">
        <v>2</v>
      </c>
      <c r="S548" s="2">
        <v>82974.12</v>
      </c>
      <c r="T548" s="38" t="s">
        <v>2879</v>
      </c>
      <c r="U548" s="13"/>
    </row>
    <row r="549" spans="1:21" x14ac:dyDescent="0.3">
      <c r="A549" s="2" t="s">
        <v>2788</v>
      </c>
      <c r="B549" s="2" t="s">
        <v>2789</v>
      </c>
      <c r="C549" s="2">
        <v>22</v>
      </c>
      <c r="D549" s="2" t="s">
        <v>65</v>
      </c>
      <c r="E549" s="2">
        <v>197551</v>
      </c>
      <c r="F549" s="2">
        <v>250000</v>
      </c>
      <c r="G549" s="2">
        <v>84</v>
      </c>
      <c r="H549" s="2">
        <v>18.420000000000002</v>
      </c>
      <c r="I549" s="2" t="s">
        <v>251</v>
      </c>
      <c r="J549" s="2">
        <v>327</v>
      </c>
      <c r="K549" s="30">
        <v>44591</v>
      </c>
      <c r="L549" s="30" t="s">
        <v>498</v>
      </c>
      <c r="M549" s="2" t="s">
        <v>24</v>
      </c>
      <c r="N549" s="2">
        <v>5316.18</v>
      </c>
      <c r="O549" s="2" t="s">
        <v>25</v>
      </c>
      <c r="P549" s="2" t="s">
        <v>123</v>
      </c>
      <c r="Q549" s="2" t="s">
        <v>35</v>
      </c>
      <c r="R549" s="2">
        <v>0</v>
      </c>
      <c r="S549" s="2">
        <v>82540.33</v>
      </c>
      <c r="T549" s="38" t="s">
        <v>2879</v>
      </c>
      <c r="U549" s="13"/>
    </row>
    <row r="550" spans="1:21" x14ac:dyDescent="0.3">
      <c r="A550" s="3" t="s">
        <v>2298</v>
      </c>
      <c r="B550" s="3" t="s">
        <v>592</v>
      </c>
      <c r="C550" s="3">
        <v>63</v>
      </c>
      <c r="D550" s="3" t="s">
        <v>21</v>
      </c>
      <c r="E550" s="3">
        <v>69380</v>
      </c>
      <c r="F550" s="3">
        <v>250000</v>
      </c>
      <c r="G550" s="3">
        <v>240</v>
      </c>
      <c r="H550" s="3">
        <v>15.5</v>
      </c>
      <c r="I550" s="3" t="s">
        <v>66</v>
      </c>
      <c r="J550" s="3">
        <v>392</v>
      </c>
      <c r="K550" s="29">
        <v>45154</v>
      </c>
      <c r="L550" s="29" t="s">
        <v>103</v>
      </c>
      <c r="M550" s="3" t="s">
        <v>24</v>
      </c>
      <c r="N550" s="3">
        <v>3384.7</v>
      </c>
      <c r="O550" s="3" t="s">
        <v>54</v>
      </c>
      <c r="P550" s="3" t="s">
        <v>2996</v>
      </c>
      <c r="Q550" s="3" t="s">
        <v>27</v>
      </c>
      <c r="R550" s="3">
        <v>1</v>
      </c>
      <c r="S550" s="3">
        <v>82457.350000000006</v>
      </c>
      <c r="T550" s="38" t="s">
        <v>2879</v>
      </c>
      <c r="U550" s="13"/>
    </row>
    <row r="551" spans="1:21" x14ac:dyDescent="0.3">
      <c r="A551" s="3" t="s">
        <v>859</v>
      </c>
      <c r="B551" s="3" t="s">
        <v>860</v>
      </c>
      <c r="C551" s="3">
        <v>32</v>
      </c>
      <c r="D551" s="3" t="s">
        <v>30</v>
      </c>
      <c r="E551" s="3">
        <v>226933</v>
      </c>
      <c r="F551" s="3">
        <v>150000</v>
      </c>
      <c r="G551" s="3">
        <v>36</v>
      </c>
      <c r="H551" s="3">
        <v>8.1199999999999992</v>
      </c>
      <c r="I551" s="3" t="s">
        <v>22</v>
      </c>
      <c r="J551" s="3">
        <v>745</v>
      </c>
      <c r="K551" s="29">
        <v>44851</v>
      </c>
      <c r="L551" s="29" t="s">
        <v>154</v>
      </c>
      <c r="M551" s="3" t="s">
        <v>24</v>
      </c>
      <c r="N551" s="3">
        <v>4708.76</v>
      </c>
      <c r="O551" s="3" t="s">
        <v>105</v>
      </c>
      <c r="P551" s="3" t="s">
        <v>159</v>
      </c>
      <c r="Q551" s="3" t="s">
        <v>35</v>
      </c>
      <c r="R551" s="3">
        <v>9</v>
      </c>
      <c r="S551" s="3">
        <v>82193.86</v>
      </c>
      <c r="T551" s="38" t="s">
        <v>2871</v>
      </c>
      <c r="U551" s="13"/>
    </row>
    <row r="552" spans="1:21" x14ac:dyDescent="0.3">
      <c r="A552" s="2" t="s">
        <v>455</v>
      </c>
      <c r="B552" s="2" t="s">
        <v>456</v>
      </c>
      <c r="C552" s="2">
        <v>44</v>
      </c>
      <c r="D552" s="2" t="s">
        <v>72</v>
      </c>
      <c r="E552" s="2">
        <v>105387</v>
      </c>
      <c r="F552" s="2">
        <v>150000</v>
      </c>
      <c r="G552" s="2">
        <v>24</v>
      </c>
      <c r="H552" s="2">
        <v>18.690000000000001</v>
      </c>
      <c r="I552" s="2" t="s">
        <v>38</v>
      </c>
      <c r="J552" s="2" t="s">
        <v>2882</v>
      </c>
      <c r="K552" s="30">
        <v>44555</v>
      </c>
      <c r="L552" s="30" t="s">
        <v>458</v>
      </c>
      <c r="M552" s="2" t="s">
        <v>33</v>
      </c>
      <c r="N552" s="2">
        <v>7538.72</v>
      </c>
      <c r="O552" s="2" t="s">
        <v>25</v>
      </c>
      <c r="P552" s="2" t="s">
        <v>151</v>
      </c>
      <c r="Q552" s="2" t="s">
        <v>35</v>
      </c>
      <c r="R552" s="2">
        <v>8</v>
      </c>
      <c r="S552" s="2">
        <v>82151.520000000004</v>
      </c>
      <c r="T552" s="38" t="s">
        <v>2883</v>
      </c>
      <c r="U552" s="13"/>
    </row>
    <row r="553" spans="1:21" x14ac:dyDescent="0.3">
      <c r="A553" s="2" t="s">
        <v>2317</v>
      </c>
      <c r="B553" s="2" t="s">
        <v>2318</v>
      </c>
      <c r="C553" s="2">
        <v>24</v>
      </c>
      <c r="D553" s="2" t="s">
        <v>21</v>
      </c>
      <c r="E553" s="2">
        <v>125555</v>
      </c>
      <c r="F553" s="2">
        <v>100000</v>
      </c>
      <c r="G553" s="2">
        <v>36</v>
      </c>
      <c r="H553" s="2">
        <v>13.27</v>
      </c>
      <c r="I553" s="2" t="s">
        <v>22</v>
      </c>
      <c r="J553" s="2">
        <v>776</v>
      </c>
      <c r="K553" s="30">
        <v>45025</v>
      </c>
      <c r="L553" s="30" t="s">
        <v>1029</v>
      </c>
      <c r="M553" s="2" t="s">
        <v>122</v>
      </c>
      <c r="N553" s="2">
        <v>3382.41</v>
      </c>
      <c r="O553" s="2" t="s">
        <v>25</v>
      </c>
      <c r="P553" s="2" t="s">
        <v>151</v>
      </c>
      <c r="Q553" s="2" t="s">
        <v>42</v>
      </c>
      <c r="R553" s="2">
        <v>2</v>
      </c>
      <c r="S553" s="2">
        <v>81734.990000000005</v>
      </c>
      <c r="T553" s="38" t="s">
        <v>2867</v>
      </c>
      <c r="U553" s="13"/>
    </row>
    <row r="554" spans="1:21" x14ac:dyDescent="0.3">
      <c r="A554" s="2" t="s">
        <v>2480</v>
      </c>
      <c r="B554" s="2" t="s">
        <v>2481</v>
      </c>
      <c r="C554" s="2">
        <v>57</v>
      </c>
      <c r="D554" s="2" t="s">
        <v>65</v>
      </c>
      <c r="E554" s="2">
        <v>161537</v>
      </c>
      <c r="F554" s="2">
        <v>1000000</v>
      </c>
      <c r="G554" s="2">
        <v>12</v>
      </c>
      <c r="H554" s="2">
        <v>20.49</v>
      </c>
      <c r="I554" s="2" t="s">
        <v>31</v>
      </c>
      <c r="J554" s="2">
        <v>451</v>
      </c>
      <c r="K554" s="30">
        <v>44762</v>
      </c>
      <c r="L554" s="30" t="s">
        <v>1814</v>
      </c>
      <c r="M554" s="2" t="s">
        <v>24</v>
      </c>
      <c r="N554" s="2">
        <v>92869.18</v>
      </c>
      <c r="O554" s="2" t="s">
        <v>25</v>
      </c>
      <c r="P554" s="2" t="s">
        <v>151</v>
      </c>
      <c r="Q554" s="2" t="s">
        <v>100</v>
      </c>
      <c r="R554" s="2">
        <v>1</v>
      </c>
      <c r="S554" s="2">
        <v>80595.12</v>
      </c>
      <c r="T554" s="38" t="s">
        <v>2879</v>
      </c>
      <c r="U554" s="13"/>
    </row>
    <row r="555" spans="1:21" x14ac:dyDescent="0.3">
      <c r="A555" s="2" t="s">
        <v>2285</v>
      </c>
      <c r="B555" s="2" t="s">
        <v>2286</v>
      </c>
      <c r="C555" s="2">
        <v>48</v>
      </c>
      <c r="D555" s="2" t="s">
        <v>72</v>
      </c>
      <c r="E555" s="2">
        <v>29692</v>
      </c>
      <c r="F555" s="2">
        <v>400000</v>
      </c>
      <c r="G555" s="2">
        <v>12</v>
      </c>
      <c r="H555" s="2">
        <v>12.06</v>
      </c>
      <c r="I555" s="2" t="s">
        <v>66</v>
      </c>
      <c r="J555" s="2">
        <v>498</v>
      </c>
      <c r="K555" s="30">
        <v>44845</v>
      </c>
      <c r="L555" s="30" t="s">
        <v>1199</v>
      </c>
      <c r="M555" s="2" t="s">
        <v>24</v>
      </c>
      <c r="N555" s="2">
        <v>35550.74</v>
      </c>
      <c r="O555" s="2" t="s">
        <v>54</v>
      </c>
      <c r="P555" s="2" t="s">
        <v>304</v>
      </c>
      <c r="Q555" s="2" t="s">
        <v>42</v>
      </c>
      <c r="R555" s="2">
        <v>1</v>
      </c>
      <c r="S555" s="2">
        <v>80043.34</v>
      </c>
      <c r="T555" s="38" t="s">
        <v>2879</v>
      </c>
      <c r="U555" s="13"/>
    </row>
    <row r="556" spans="1:21" x14ac:dyDescent="0.3">
      <c r="A556" s="2" t="s">
        <v>345</v>
      </c>
      <c r="B556" s="2" t="s">
        <v>346</v>
      </c>
      <c r="C556" s="2">
        <v>25</v>
      </c>
      <c r="D556" s="2" t="s">
        <v>21</v>
      </c>
      <c r="E556" s="2">
        <v>78850</v>
      </c>
      <c r="F556" s="2">
        <v>100000</v>
      </c>
      <c r="G556" s="2">
        <v>48</v>
      </c>
      <c r="H556" s="2">
        <v>8.49</v>
      </c>
      <c r="I556" s="2" t="s">
        <v>83</v>
      </c>
      <c r="J556" s="2">
        <v>900</v>
      </c>
      <c r="K556" s="30">
        <v>44202</v>
      </c>
      <c r="L556" s="30" t="s">
        <v>347</v>
      </c>
      <c r="M556" s="2" t="s">
        <v>24</v>
      </c>
      <c r="N556" s="2">
        <v>2464.36</v>
      </c>
      <c r="O556" s="2" t="s">
        <v>105</v>
      </c>
      <c r="P556" s="2" t="s">
        <v>159</v>
      </c>
      <c r="Q556" s="2" t="s">
        <v>35</v>
      </c>
      <c r="R556" s="2">
        <v>5</v>
      </c>
      <c r="S556" s="2">
        <v>80038.679999999993</v>
      </c>
      <c r="T556" s="38" t="s">
        <v>2867</v>
      </c>
      <c r="U556" s="13"/>
    </row>
    <row r="557" spans="1:21" x14ac:dyDescent="0.3">
      <c r="A557" s="2" t="s">
        <v>476</v>
      </c>
      <c r="B557" s="2" t="s">
        <v>477</v>
      </c>
      <c r="C557" s="2">
        <v>37</v>
      </c>
      <c r="D557" s="2" t="s">
        <v>21</v>
      </c>
      <c r="E557" s="2">
        <v>109935</v>
      </c>
      <c r="F557" s="2">
        <v>300000</v>
      </c>
      <c r="G557" s="2">
        <v>12</v>
      </c>
      <c r="H557" s="2">
        <v>16.27</v>
      </c>
      <c r="I557" s="2" t="s">
        <v>31</v>
      </c>
      <c r="J557" s="2">
        <v>679</v>
      </c>
      <c r="K557" s="30">
        <v>44478</v>
      </c>
      <c r="L557" s="30" t="s">
        <v>479</v>
      </c>
      <c r="M557" s="2" t="s">
        <v>122</v>
      </c>
      <c r="N557" s="2">
        <v>27257.599999999999</v>
      </c>
      <c r="O557" s="2" t="s">
        <v>48</v>
      </c>
      <c r="P557" s="2" t="s">
        <v>80</v>
      </c>
      <c r="Q557" s="2" t="s">
        <v>27</v>
      </c>
      <c r="R557" s="2">
        <v>0</v>
      </c>
      <c r="S557" s="2">
        <v>79213.440000000002</v>
      </c>
      <c r="T557" s="38" t="s">
        <v>2871</v>
      </c>
      <c r="U557" s="13"/>
    </row>
    <row r="558" spans="1:21" x14ac:dyDescent="0.3">
      <c r="A558" s="3" t="s">
        <v>2561</v>
      </c>
      <c r="B558" s="3" t="s">
        <v>2353</v>
      </c>
      <c r="C558" s="3">
        <v>53</v>
      </c>
      <c r="D558" s="3" t="s">
        <v>45</v>
      </c>
      <c r="E558" s="3">
        <v>200145</v>
      </c>
      <c r="F558" s="3">
        <v>100000</v>
      </c>
      <c r="G558" s="3">
        <v>180</v>
      </c>
      <c r="H558" s="3">
        <v>11.68</v>
      </c>
      <c r="I558" s="3" t="s">
        <v>46</v>
      </c>
      <c r="J558" s="3">
        <v>753</v>
      </c>
      <c r="K558" s="29">
        <v>44557</v>
      </c>
      <c r="L558" s="29" t="s">
        <v>468</v>
      </c>
      <c r="M558" s="3" t="s">
        <v>33</v>
      </c>
      <c r="N558" s="3">
        <v>1179.6600000000001</v>
      </c>
      <c r="O558" s="3" t="s">
        <v>105</v>
      </c>
      <c r="P558" s="3" t="s">
        <v>2999</v>
      </c>
      <c r="Q558" s="3" t="s">
        <v>62</v>
      </c>
      <c r="R558" s="3">
        <v>0</v>
      </c>
      <c r="S558" s="3">
        <v>78766.12</v>
      </c>
      <c r="T558" s="38" t="s">
        <v>2867</v>
      </c>
      <c r="U558" s="13"/>
    </row>
    <row r="559" spans="1:21" x14ac:dyDescent="0.3">
      <c r="A559" s="3" t="s">
        <v>1858</v>
      </c>
      <c r="B559" s="3" t="s">
        <v>1859</v>
      </c>
      <c r="C559" s="3">
        <v>56</v>
      </c>
      <c r="D559" s="3" t="s">
        <v>65</v>
      </c>
      <c r="E559" s="3">
        <v>97818</v>
      </c>
      <c r="F559" s="3">
        <v>100000</v>
      </c>
      <c r="G559" s="3">
        <v>60</v>
      </c>
      <c r="H559" s="3">
        <v>19.64</v>
      </c>
      <c r="I559" s="3" t="s">
        <v>31</v>
      </c>
      <c r="J559" s="3">
        <v>766</v>
      </c>
      <c r="K559" s="29">
        <v>44267</v>
      </c>
      <c r="L559" s="29" t="s">
        <v>1860</v>
      </c>
      <c r="M559" s="3" t="s">
        <v>24</v>
      </c>
      <c r="N559" s="3">
        <v>2629.4</v>
      </c>
      <c r="O559" s="3" t="s">
        <v>105</v>
      </c>
      <c r="P559" s="3" t="s">
        <v>2999</v>
      </c>
      <c r="Q559" s="3" t="s">
        <v>35</v>
      </c>
      <c r="R559" s="3">
        <v>4</v>
      </c>
      <c r="S559" s="3">
        <v>78701.86</v>
      </c>
      <c r="T559" s="38" t="s">
        <v>2867</v>
      </c>
      <c r="U559" s="13"/>
    </row>
    <row r="560" spans="1:21" x14ac:dyDescent="0.3">
      <c r="A560" s="2" t="s">
        <v>2521</v>
      </c>
      <c r="B560" s="2" t="s">
        <v>2522</v>
      </c>
      <c r="C560" s="2">
        <v>40</v>
      </c>
      <c r="D560" s="2" t="s">
        <v>45</v>
      </c>
      <c r="E560" s="2">
        <v>31685</v>
      </c>
      <c r="F560" s="2">
        <v>150000</v>
      </c>
      <c r="G560" s="2">
        <v>36</v>
      </c>
      <c r="H560" s="2">
        <v>16.59</v>
      </c>
      <c r="I560" s="2" t="s">
        <v>38</v>
      </c>
      <c r="J560" s="2">
        <v>749</v>
      </c>
      <c r="K560" s="30">
        <v>45279</v>
      </c>
      <c r="L560" s="30" t="s">
        <v>75</v>
      </c>
      <c r="M560" s="2" t="s">
        <v>24</v>
      </c>
      <c r="N560" s="2">
        <v>5317.35</v>
      </c>
      <c r="O560" s="2" t="s">
        <v>25</v>
      </c>
      <c r="P560" s="2" t="s">
        <v>2998</v>
      </c>
      <c r="Q560" s="2" t="s">
        <v>100</v>
      </c>
      <c r="R560" s="2">
        <v>1</v>
      </c>
      <c r="S560" s="2">
        <v>78215.77</v>
      </c>
      <c r="T560" s="38" t="s">
        <v>2871</v>
      </c>
      <c r="U560" s="13"/>
    </row>
    <row r="561" spans="1:21" x14ac:dyDescent="0.3">
      <c r="A561" s="2" t="s">
        <v>2213</v>
      </c>
      <c r="B561" s="2" t="s">
        <v>970</v>
      </c>
      <c r="C561" s="2">
        <v>49</v>
      </c>
      <c r="D561" s="2" t="s">
        <v>45</v>
      </c>
      <c r="E561" s="2">
        <v>87943</v>
      </c>
      <c r="F561" s="2">
        <v>750000</v>
      </c>
      <c r="G561" s="2">
        <v>84</v>
      </c>
      <c r="H561" s="2">
        <v>8.94</v>
      </c>
      <c r="I561" s="2" t="s">
        <v>66</v>
      </c>
      <c r="J561" s="2">
        <v>469</v>
      </c>
      <c r="K561" s="30">
        <v>45095</v>
      </c>
      <c r="L561" s="30" t="s">
        <v>737</v>
      </c>
      <c r="M561" s="2" t="s">
        <v>33</v>
      </c>
      <c r="N561" s="2">
        <v>12043.98</v>
      </c>
      <c r="O561" s="2" t="s">
        <v>25</v>
      </c>
      <c r="P561" s="2" t="s">
        <v>151</v>
      </c>
      <c r="Q561" s="2" t="s">
        <v>35</v>
      </c>
      <c r="R561" s="2">
        <v>4</v>
      </c>
      <c r="S561" s="2">
        <v>77945.919999999998</v>
      </c>
      <c r="T561" s="38" t="s">
        <v>2879</v>
      </c>
      <c r="U561" s="13"/>
    </row>
    <row r="562" spans="1:21" x14ac:dyDescent="0.3">
      <c r="A562" s="3" t="s">
        <v>1749</v>
      </c>
      <c r="B562" s="3" t="s">
        <v>1750</v>
      </c>
      <c r="C562" s="3">
        <v>50</v>
      </c>
      <c r="D562" s="3" t="s">
        <v>45</v>
      </c>
      <c r="E562" s="3">
        <v>107163</v>
      </c>
      <c r="F562" s="3">
        <v>150000</v>
      </c>
      <c r="G562" s="3">
        <v>12</v>
      </c>
      <c r="H562" s="3">
        <v>14.25</v>
      </c>
      <c r="I562" s="3" t="s">
        <v>38</v>
      </c>
      <c r="J562" s="3">
        <v>736</v>
      </c>
      <c r="K562" s="29">
        <v>44949</v>
      </c>
      <c r="L562" s="29" t="s">
        <v>40</v>
      </c>
      <c r="M562" s="3" t="s">
        <v>33</v>
      </c>
      <c r="N562" s="3">
        <v>13485.72</v>
      </c>
      <c r="O562" s="3" t="s">
        <v>60</v>
      </c>
      <c r="P562" s="3" t="s">
        <v>2997</v>
      </c>
      <c r="Q562" s="3" t="s">
        <v>42</v>
      </c>
      <c r="R562" s="3">
        <v>1</v>
      </c>
      <c r="S562" s="3">
        <v>77177.11</v>
      </c>
      <c r="T562" s="38" t="s">
        <v>2871</v>
      </c>
      <c r="U562" s="13"/>
    </row>
    <row r="563" spans="1:21" x14ac:dyDescent="0.3">
      <c r="A563" s="2" t="s">
        <v>2215</v>
      </c>
      <c r="B563" s="2" t="s">
        <v>1076</v>
      </c>
      <c r="C563" s="2">
        <v>56</v>
      </c>
      <c r="D563" s="2" t="s">
        <v>45</v>
      </c>
      <c r="E563" s="2">
        <v>224450</v>
      </c>
      <c r="F563" s="2">
        <v>150000</v>
      </c>
      <c r="G563" s="2">
        <v>12</v>
      </c>
      <c r="H563" s="2">
        <v>14.58</v>
      </c>
      <c r="I563" s="2" t="s">
        <v>46</v>
      </c>
      <c r="J563" s="2">
        <v>678</v>
      </c>
      <c r="K563" s="30">
        <v>45108</v>
      </c>
      <c r="L563" s="30" t="s">
        <v>513</v>
      </c>
      <c r="M563" s="2" t="s">
        <v>24</v>
      </c>
      <c r="N563" s="2">
        <v>13509.04</v>
      </c>
      <c r="O563" s="2" t="s">
        <v>105</v>
      </c>
      <c r="P563" s="2" t="s">
        <v>130</v>
      </c>
      <c r="Q563" s="2" t="s">
        <v>42</v>
      </c>
      <c r="R563" s="2">
        <v>2</v>
      </c>
      <c r="S563" s="2">
        <v>77051.179999999993</v>
      </c>
      <c r="T563" s="38" t="s">
        <v>2871</v>
      </c>
      <c r="U563" s="13"/>
    </row>
    <row r="564" spans="1:21" x14ac:dyDescent="0.3">
      <c r="A564" s="3" t="s">
        <v>1509</v>
      </c>
      <c r="B564" s="3" t="s">
        <v>277</v>
      </c>
      <c r="C564" s="3">
        <v>44</v>
      </c>
      <c r="D564" s="3" t="s">
        <v>72</v>
      </c>
      <c r="E564" s="3">
        <v>188340</v>
      </c>
      <c r="F564" s="3">
        <v>150000</v>
      </c>
      <c r="G564" s="3">
        <v>48</v>
      </c>
      <c r="H564" s="3">
        <v>10.9</v>
      </c>
      <c r="I564" s="3" t="s">
        <v>66</v>
      </c>
      <c r="J564" s="3">
        <v>386</v>
      </c>
      <c r="K564" s="29">
        <v>44544</v>
      </c>
      <c r="L564" s="29" t="s">
        <v>1511</v>
      </c>
      <c r="M564" s="3" t="s">
        <v>24</v>
      </c>
      <c r="N564" s="3">
        <v>3869.55</v>
      </c>
      <c r="O564" s="3" t="s">
        <v>25</v>
      </c>
      <c r="P564" s="3" t="s">
        <v>151</v>
      </c>
      <c r="Q564" s="3" t="s">
        <v>42</v>
      </c>
      <c r="R564" s="3">
        <v>0</v>
      </c>
      <c r="S564" s="3">
        <v>76865.5</v>
      </c>
      <c r="T564" s="38" t="s">
        <v>2879</v>
      </c>
      <c r="U564" s="13"/>
    </row>
    <row r="565" spans="1:21" x14ac:dyDescent="0.3">
      <c r="A565" s="2" t="s">
        <v>2582</v>
      </c>
      <c r="B565" s="2" t="s">
        <v>2522</v>
      </c>
      <c r="C565" s="2">
        <v>61</v>
      </c>
      <c r="D565" s="2" t="s">
        <v>21</v>
      </c>
      <c r="E565" s="2">
        <v>36314</v>
      </c>
      <c r="F565" s="2">
        <v>500000</v>
      </c>
      <c r="G565" s="2">
        <v>180</v>
      </c>
      <c r="H565" s="2">
        <v>14.21</v>
      </c>
      <c r="I565" s="2" t="s">
        <v>66</v>
      </c>
      <c r="J565" s="2">
        <v>368</v>
      </c>
      <c r="K565" s="30">
        <v>44490</v>
      </c>
      <c r="L565" s="30" t="s">
        <v>510</v>
      </c>
      <c r="M565" s="2" t="s">
        <v>24</v>
      </c>
      <c r="N565" s="2">
        <v>6729.4</v>
      </c>
      <c r="O565" s="2" t="s">
        <v>60</v>
      </c>
      <c r="P565" s="2" t="s">
        <v>2997</v>
      </c>
      <c r="Q565" s="2" t="s">
        <v>27</v>
      </c>
      <c r="R565" s="2">
        <v>0</v>
      </c>
      <c r="S565" s="2">
        <v>76047.8</v>
      </c>
      <c r="T565" s="38" t="s">
        <v>2879</v>
      </c>
      <c r="U565" s="13"/>
    </row>
    <row r="566" spans="1:21" x14ac:dyDescent="0.3">
      <c r="A566" s="2" t="s">
        <v>923</v>
      </c>
      <c r="B566" s="2" t="s">
        <v>924</v>
      </c>
      <c r="C566" s="2">
        <v>61</v>
      </c>
      <c r="D566" s="2" t="s">
        <v>45</v>
      </c>
      <c r="E566" s="2">
        <v>198691</v>
      </c>
      <c r="F566" s="2">
        <v>100000</v>
      </c>
      <c r="G566" s="2">
        <v>120</v>
      </c>
      <c r="H566" s="2">
        <v>19.54</v>
      </c>
      <c r="I566" s="2" t="s">
        <v>22</v>
      </c>
      <c r="J566" s="2">
        <v>823</v>
      </c>
      <c r="K566" s="30">
        <v>44414</v>
      </c>
      <c r="L566" s="30" t="s">
        <v>925</v>
      </c>
      <c r="M566" s="2" t="s">
        <v>33</v>
      </c>
      <c r="N566" s="2">
        <v>1902.16</v>
      </c>
      <c r="O566" s="2" t="s">
        <v>54</v>
      </c>
      <c r="P566" s="2" t="s">
        <v>304</v>
      </c>
      <c r="Q566" s="2" t="s">
        <v>42</v>
      </c>
      <c r="R566" s="2">
        <v>1</v>
      </c>
      <c r="S566" s="2">
        <v>76032.78</v>
      </c>
      <c r="T566" s="38" t="s">
        <v>2867</v>
      </c>
      <c r="U566" s="13"/>
    </row>
    <row r="567" spans="1:21" x14ac:dyDescent="0.3">
      <c r="A567" s="3" t="s">
        <v>2531</v>
      </c>
      <c r="B567" s="3" t="s">
        <v>382</v>
      </c>
      <c r="C567" s="3">
        <v>23</v>
      </c>
      <c r="D567" s="3" t="s">
        <v>65</v>
      </c>
      <c r="E567" s="3">
        <v>226144</v>
      </c>
      <c r="F567" s="3">
        <v>200000</v>
      </c>
      <c r="G567" s="3">
        <v>36</v>
      </c>
      <c r="H567" s="3">
        <v>8.1199999999999992</v>
      </c>
      <c r="I567" s="3" t="s">
        <v>73</v>
      </c>
      <c r="J567" s="3">
        <v>854</v>
      </c>
      <c r="K567" s="29">
        <v>44623</v>
      </c>
      <c r="L567" s="29" t="s">
        <v>2238</v>
      </c>
      <c r="M567" s="3" t="s">
        <v>33</v>
      </c>
      <c r="N567" s="3">
        <v>6278.35</v>
      </c>
      <c r="O567" s="3" t="s">
        <v>105</v>
      </c>
      <c r="P567" s="3" t="s">
        <v>118</v>
      </c>
      <c r="Q567" s="3" t="s">
        <v>42</v>
      </c>
      <c r="R567" s="3">
        <v>0</v>
      </c>
      <c r="S567" s="3">
        <v>75688.67</v>
      </c>
      <c r="T567" s="38" t="s">
        <v>2867</v>
      </c>
      <c r="U567" s="13"/>
    </row>
    <row r="568" spans="1:21" x14ac:dyDescent="0.3">
      <c r="A568" s="3" t="s">
        <v>2667</v>
      </c>
      <c r="B568" s="3" t="s">
        <v>1166</v>
      </c>
      <c r="C568" s="3">
        <v>54</v>
      </c>
      <c r="D568" s="3" t="s">
        <v>45</v>
      </c>
      <c r="E568" s="3">
        <v>125229</v>
      </c>
      <c r="F568" s="3">
        <v>150000</v>
      </c>
      <c r="G568" s="3">
        <v>60</v>
      </c>
      <c r="H568" s="3">
        <v>8.24</v>
      </c>
      <c r="I568" s="3" t="s">
        <v>73</v>
      </c>
      <c r="J568" s="3">
        <v>801</v>
      </c>
      <c r="K568" s="29">
        <v>44989</v>
      </c>
      <c r="L568" s="29" t="s">
        <v>1241</v>
      </c>
      <c r="M568" s="3" t="s">
        <v>24</v>
      </c>
      <c r="N568" s="3">
        <v>3058.72</v>
      </c>
      <c r="O568" s="3" t="s">
        <v>54</v>
      </c>
      <c r="P568" s="3" t="s">
        <v>304</v>
      </c>
      <c r="Q568" s="3" t="s">
        <v>42</v>
      </c>
      <c r="R568" s="3">
        <v>1</v>
      </c>
      <c r="S568" s="3">
        <v>75673.100000000006</v>
      </c>
      <c r="T568" s="38" t="s">
        <v>2867</v>
      </c>
      <c r="U568" s="13"/>
    </row>
    <row r="569" spans="1:21" x14ac:dyDescent="0.3">
      <c r="A569" s="2" t="s">
        <v>2414</v>
      </c>
      <c r="B569" s="2" t="s">
        <v>1391</v>
      </c>
      <c r="C569" s="2">
        <v>56</v>
      </c>
      <c r="D569" s="2" t="s">
        <v>21</v>
      </c>
      <c r="E569" s="2">
        <v>33157</v>
      </c>
      <c r="F569" s="2">
        <v>250000</v>
      </c>
      <c r="G569" s="2">
        <v>84</v>
      </c>
      <c r="H569" s="2">
        <v>20.96</v>
      </c>
      <c r="I569" s="2" t="s">
        <v>83</v>
      </c>
      <c r="J569" s="2">
        <v>506</v>
      </c>
      <c r="K569" s="30">
        <v>44674</v>
      </c>
      <c r="L569" s="30" t="s">
        <v>1970</v>
      </c>
      <c r="M569" s="2" t="s">
        <v>33</v>
      </c>
      <c r="N569" s="2">
        <v>5696.96</v>
      </c>
      <c r="O569" s="2" t="s">
        <v>48</v>
      </c>
      <c r="P569" s="2" t="s">
        <v>86</v>
      </c>
      <c r="Q569" s="2" t="s">
        <v>35</v>
      </c>
      <c r="R569" s="2">
        <v>6</v>
      </c>
      <c r="S569" s="2">
        <v>75673.02</v>
      </c>
      <c r="T569" s="38" t="s">
        <v>2879</v>
      </c>
      <c r="U569" s="13"/>
    </row>
    <row r="570" spans="1:21" x14ac:dyDescent="0.3">
      <c r="A570" s="3" t="s">
        <v>1880</v>
      </c>
      <c r="B570" s="3" t="s">
        <v>1881</v>
      </c>
      <c r="C570" s="3">
        <v>33</v>
      </c>
      <c r="D570" s="3" t="s">
        <v>45</v>
      </c>
      <c r="E570" s="3">
        <v>197246</v>
      </c>
      <c r="F570" s="3">
        <v>100000</v>
      </c>
      <c r="G570" s="3">
        <v>12</v>
      </c>
      <c r="H570" s="3">
        <v>15.54</v>
      </c>
      <c r="I570" s="3" t="s">
        <v>38</v>
      </c>
      <c r="J570" s="3">
        <v>425</v>
      </c>
      <c r="K570" s="29">
        <v>44527</v>
      </c>
      <c r="L570" s="29" t="s">
        <v>771</v>
      </c>
      <c r="M570" s="3" t="s">
        <v>24</v>
      </c>
      <c r="N570" s="3">
        <v>9051.33</v>
      </c>
      <c r="O570" s="3" t="s">
        <v>25</v>
      </c>
      <c r="P570" s="3" t="s">
        <v>34</v>
      </c>
      <c r="Q570" s="3" t="s">
        <v>42</v>
      </c>
      <c r="R570" s="3">
        <v>2</v>
      </c>
      <c r="S570" s="3">
        <v>75561.41</v>
      </c>
      <c r="T570" s="38" t="s">
        <v>2879</v>
      </c>
      <c r="U570" s="13"/>
    </row>
    <row r="571" spans="1:21" x14ac:dyDescent="0.3">
      <c r="A571" s="2" t="s">
        <v>1165</v>
      </c>
      <c r="B571" s="2" t="s">
        <v>1166</v>
      </c>
      <c r="C571" s="2">
        <v>60</v>
      </c>
      <c r="D571" s="2" t="s">
        <v>45</v>
      </c>
      <c r="E571" s="2">
        <v>57033</v>
      </c>
      <c r="F571" s="2">
        <v>75000</v>
      </c>
      <c r="G571" s="2">
        <v>240</v>
      </c>
      <c r="H571" s="2">
        <v>9.75</v>
      </c>
      <c r="I571" s="2" t="s">
        <v>66</v>
      </c>
      <c r="J571" s="2">
        <v>569</v>
      </c>
      <c r="K571" s="30">
        <v>45233</v>
      </c>
      <c r="L571" s="30" t="s">
        <v>436</v>
      </c>
      <c r="M571" s="2" t="s">
        <v>24</v>
      </c>
      <c r="N571" s="2">
        <v>711.39</v>
      </c>
      <c r="O571" s="2" t="s">
        <v>54</v>
      </c>
      <c r="P571" s="2" t="s">
        <v>183</v>
      </c>
      <c r="Q571" s="2" t="s">
        <v>42</v>
      </c>
      <c r="R571" s="2">
        <v>1</v>
      </c>
      <c r="S571" s="2">
        <v>75000</v>
      </c>
      <c r="T571" s="38" t="s">
        <v>2875</v>
      </c>
      <c r="U571" s="13"/>
    </row>
    <row r="572" spans="1:21" x14ac:dyDescent="0.3">
      <c r="A572" s="2" t="s">
        <v>1272</v>
      </c>
      <c r="B572" s="2" t="s">
        <v>1273</v>
      </c>
      <c r="C572" s="2">
        <v>40</v>
      </c>
      <c r="D572" s="2" t="s">
        <v>30</v>
      </c>
      <c r="E572" s="2">
        <v>15414</v>
      </c>
      <c r="F572" s="2">
        <v>75000</v>
      </c>
      <c r="G572" s="2">
        <v>12</v>
      </c>
      <c r="H572" s="2">
        <v>14.24</v>
      </c>
      <c r="I572" s="2" t="s">
        <v>22</v>
      </c>
      <c r="J572" s="2">
        <v>512</v>
      </c>
      <c r="K572" s="30">
        <v>44880</v>
      </c>
      <c r="L572" s="30" t="s">
        <v>1274</v>
      </c>
      <c r="M572" s="2" t="s">
        <v>122</v>
      </c>
      <c r="N572" s="2">
        <v>6742.51</v>
      </c>
      <c r="O572" s="2" t="s">
        <v>54</v>
      </c>
      <c r="P572" s="2" t="s">
        <v>164</v>
      </c>
      <c r="Q572" s="2" t="s">
        <v>35</v>
      </c>
      <c r="R572" s="2">
        <v>6</v>
      </c>
      <c r="S572" s="2">
        <v>75000</v>
      </c>
      <c r="T572" s="38" t="s">
        <v>2879</v>
      </c>
      <c r="U572" s="13"/>
    </row>
    <row r="573" spans="1:21" x14ac:dyDescent="0.3">
      <c r="A573" s="3" t="s">
        <v>1650</v>
      </c>
      <c r="B573" s="3" t="s">
        <v>746</v>
      </c>
      <c r="C573" s="3">
        <v>62</v>
      </c>
      <c r="D573" s="3" t="s">
        <v>45</v>
      </c>
      <c r="E573" s="3">
        <v>107923</v>
      </c>
      <c r="F573" s="3">
        <v>75000</v>
      </c>
      <c r="G573" s="3">
        <v>12</v>
      </c>
      <c r="H573" s="3">
        <v>18.47</v>
      </c>
      <c r="I573" s="3" t="s">
        <v>22</v>
      </c>
      <c r="J573" s="3">
        <v>759</v>
      </c>
      <c r="K573" s="29">
        <v>45125</v>
      </c>
      <c r="L573" s="29" t="s">
        <v>392</v>
      </c>
      <c r="M573" s="3" t="s">
        <v>33</v>
      </c>
      <c r="N573" s="3">
        <v>6892.79</v>
      </c>
      <c r="O573" s="3" t="s">
        <v>48</v>
      </c>
      <c r="P573" s="3" t="s">
        <v>375</v>
      </c>
      <c r="Q573" s="3" t="s">
        <v>42</v>
      </c>
      <c r="R573" s="3">
        <v>2</v>
      </c>
      <c r="S573" s="3">
        <v>75000</v>
      </c>
      <c r="T573" s="38" t="s">
        <v>2867</v>
      </c>
      <c r="U573" s="13"/>
    </row>
    <row r="574" spans="1:21" x14ac:dyDescent="0.3">
      <c r="A574" s="3" t="s">
        <v>2146</v>
      </c>
      <c r="B574" s="3" t="s">
        <v>494</v>
      </c>
      <c r="C574" s="3">
        <v>25</v>
      </c>
      <c r="D574" s="3" t="s">
        <v>45</v>
      </c>
      <c r="E574" s="3">
        <v>80662</v>
      </c>
      <c r="F574" s="3">
        <v>75000</v>
      </c>
      <c r="G574" s="3">
        <v>12</v>
      </c>
      <c r="H574" s="3">
        <v>19.78</v>
      </c>
      <c r="I574" s="3" t="s">
        <v>22</v>
      </c>
      <c r="J574" s="3">
        <v>752</v>
      </c>
      <c r="K574" s="29">
        <v>44553</v>
      </c>
      <c r="L574" s="29" t="s">
        <v>468</v>
      </c>
      <c r="M574" s="3" t="s">
        <v>24</v>
      </c>
      <c r="N574" s="3">
        <v>6939.69</v>
      </c>
      <c r="O574" s="3" t="s">
        <v>48</v>
      </c>
      <c r="P574" s="3" t="s">
        <v>375</v>
      </c>
      <c r="Q574" s="3" t="s">
        <v>35</v>
      </c>
      <c r="R574" s="3">
        <v>10</v>
      </c>
      <c r="S574" s="3">
        <v>75000</v>
      </c>
      <c r="T574" s="38" t="s">
        <v>2867</v>
      </c>
      <c r="U574" s="13"/>
    </row>
    <row r="575" spans="1:21" x14ac:dyDescent="0.3">
      <c r="A575" s="3" t="s">
        <v>2291</v>
      </c>
      <c r="B575" s="3" t="s">
        <v>2292</v>
      </c>
      <c r="C575" s="3">
        <v>58</v>
      </c>
      <c r="D575" s="3" t="s">
        <v>65</v>
      </c>
      <c r="E575" s="3">
        <v>38111</v>
      </c>
      <c r="F575" s="3">
        <v>75000</v>
      </c>
      <c r="G575" s="3">
        <v>24</v>
      </c>
      <c r="H575" s="3">
        <v>10.15</v>
      </c>
      <c r="I575" s="3" t="s">
        <v>22</v>
      </c>
      <c r="J575" s="3">
        <v>490</v>
      </c>
      <c r="K575" s="29">
        <v>44543</v>
      </c>
      <c r="L575" s="29" t="s">
        <v>831</v>
      </c>
      <c r="M575" s="3" t="s">
        <v>24</v>
      </c>
      <c r="N575" s="3">
        <v>3466.06</v>
      </c>
      <c r="O575" s="3" t="s">
        <v>48</v>
      </c>
      <c r="P575" s="3" t="s">
        <v>375</v>
      </c>
      <c r="Q575" s="3" t="s">
        <v>62</v>
      </c>
      <c r="R575" s="3">
        <v>2</v>
      </c>
      <c r="S575" s="3">
        <v>75000</v>
      </c>
      <c r="T575" s="38" t="s">
        <v>2879</v>
      </c>
      <c r="U575" s="13"/>
    </row>
    <row r="576" spans="1:21" x14ac:dyDescent="0.3">
      <c r="A576" s="3" t="s">
        <v>2614</v>
      </c>
      <c r="B576" s="3" t="s">
        <v>346</v>
      </c>
      <c r="C576" s="3">
        <v>52</v>
      </c>
      <c r="D576" s="3" t="s">
        <v>30</v>
      </c>
      <c r="E576" s="3">
        <v>18760</v>
      </c>
      <c r="F576" s="3">
        <v>75000</v>
      </c>
      <c r="G576" s="3">
        <v>24</v>
      </c>
      <c r="H576" s="3">
        <v>18.010000000000002</v>
      </c>
      <c r="I576" s="3" t="s">
        <v>31</v>
      </c>
      <c r="J576" s="3">
        <v>893</v>
      </c>
      <c r="K576" s="29">
        <v>45179</v>
      </c>
      <c r="L576" s="29" t="s">
        <v>1045</v>
      </c>
      <c r="M576" s="3"/>
      <c r="N576" s="3">
        <v>3744.67</v>
      </c>
      <c r="O576" s="3" t="s">
        <v>54</v>
      </c>
      <c r="P576" s="3" t="s">
        <v>183</v>
      </c>
      <c r="Q576" s="3" t="s">
        <v>62</v>
      </c>
      <c r="R576" s="3">
        <v>1</v>
      </c>
      <c r="S576" s="3">
        <v>75000</v>
      </c>
      <c r="T576" s="38" t="s">
        <v>2867</v>
      </c>
      <c r="U576" s="13"/>
    </row>
    <row r="577" spans="1:21" x14ac:dyDescent="0.3">
      <c r="A577" s="2" t="s">
        <v>845</v>
      </c>
      <c r="B577" s="2" t="s">
        <v>846</v>
      </c>
      <c r="C577" s="2">
        <v>48</v>
      </c>
      <c r="D577" s="2" t="s">
        <v>45</v>
      </c>
      <c r="E577" s="2">
        <v>204277</v>
      </c>
      <c r="F577" s="2">
        <v>1500000</v>
      </c>
      <c r="G577" s="2">
        <v>240</v>
      </c>
      <c r="H577" s="2">
        <v>11.35</v>
      </c>
      <c r="I577" s="2" t="s">
        <v>66</v>
      </c>
      <c r="J577" s="2">
        <v>604</v>
      </c>
      <c r="K577" s="30">
        <v>45202</v>
      </c>
      <c r="L577" s="30" t="s">
        <v>848</v>
      </c>
      <c r="M577" s="2" t="s">
        <v>24</v>
      </c>
      <c r="N577" s="2">
        <v>15841.69</v>
      </c>
      <c r="O577" s="2" t="s">
        <v>105</v>
      </c>
      <c r="P577" s="2" t="s">
        <v>114</v>
      </c>
      <c r="Q577" s="2" t="s">
        <v>35</v>
      </c>
      <c r="R577" s="2">
        <v>0</v>
      </c>
      <c r="S577" s="2">
        <v>74247.899999999994</v>
      </c>
      <c r="T577" s="38" t="s">
        <v>2875</v>
      </c>
      <c r="U577" s="13"/>
    </row>
    <row r="578" spans="1:21" x14ac:dyDescent="0.3">
      <c r="A578" s="2" t="s">
        <v>1004</v>
      </c>
      <c r="B578" s="2" t="s">
        <v>1005</v>
      </c>
      <c r="C578" s="2">
        <v>23</v>
      </c>
      <c r="D578" s="2" t="s">
        <v>65</v>
      </c>
      <c r="E578" s="2">
        <v>202922</v>
      </c>
      <c r="F578" s="2">
        <v>250000</v>
      </c>
      <c r="G578" s="2">
        <v>12</v>
      </c>
      <c r="H578" s="2">
        <v>8.77</v>
      </c>
      <c r="I578" s="2" t="s">
        <v>46</v>
      </c>
      <c r="J578" s="2">
        <v>482</v>
      </c>
      <c r="K578" s="30">
        <v>44663</v>
      </c>
      <c r="L578" s="30" t="s">
        <v>1006</v>
      </c>
      <c r="M578" s="2" t="s">
        <v>24</v>
      </c>
      <c r="N578" s="2">
        <v>21836.21</v>
      </c>
      <c r="O578" s="2" t="s">
        <v>48</v>
      </c>
      <c r="P578" s="2" t="s">
        <v>375</v>
      </c>
      <c r="Q578" s="2" t="s">
        <v>42</v>
      </c>
      <c r="R578" s="2">
        <v>0</v>
      </c>
      <c r="S578" s="2">
        <v>73126.7</v>
      </c>
      <c r="T578" s="38" t="s">
        <v>2879</v>
      </c>
      <c r="U578" s="13"/>
    </row>
    <row r="579" spans="1:21" x14ac:dyDescent="0.3">
      <c r="A579" s="3" t="s">
        <v>459</v>
      </c>
      <c r="B579" s="3" t="s">
        <v>460</v>
      </c>
      <c r="C579" s="3">
        <v>52</v>
      </c>
      <c r="D579" s="3" t="s">
        <v>30</v>
      </c>
      <c r="E579" s="3">
        <v>227729</v>
      </c>
      <c r="F579" s="3">
        <v>100000</v>
      </c>
      <c r="G579" s="3">
        <v>24</v>
      </c>
      <c r="H579" s="3">
        <v>17.88</v>
      </c>
      <c r="I579" s="3" t="s">
        <v>31</v>
      </c>
      <c r="J579" s="3">
        <v>337</v>
      </c>
      <c r="K579" s="29">
        <v>44282</v>
      </c>
      <c r="L579" s="29" t="s">
        <v>462</v>
      </c>
      <c r="M579" s="3" t="s">
        <v>33</v>
      </c>
      <c r="N579" s="3">
        <v>4986.6099999999997</v>
      </c>
      <c r="O579" s="3" t="s">
        <v>48</v>
      </c>
      <c r="P579" s="3" t="s">
        <v>86</v>
      </c>
      <c r="Q579" s="3" t="s">
        <v>42</v>
      </c>
      <c r="R579" s="3">
        <v>0</v>
      </c>
      <c r="S579" s="3">
        <v>73072.31</v>
      </c>
      <c r="T579" s="38" t="s">
        <v>2879</v>
      </c>
      <c r="U579" s="13"/>
    </row>
    <row r="580" spans="1:21" x14ac:dyDescent="0.3">
      <c r="A580" s="3" t="s">
        <v>1269</v>
      </c>
      <c r="B580" s="3" t="s">
        <v>1270</v>
      </c>
      <c r="C580" s="3">
        <v>49</v>
      </c>
      <c r="D580" s="3" t="s">
        <v>45</v>
      </c>
      <c r="E580" s="3">
        <v>237245</v>
      </c>
      <c r="F580" s="3">
        <v>250000</v>
      </c>
      <c r="G580" s="3">
        <v>60</v>
      </c>
      <c r="H580" s="3">
        <v>15.12</v>
      </c>
      <c r="I580" s="3" t="s">
        <v>38</v>
      </c>
      <c r="J580" s="3">
        <v>432</v>
      </c>
      <c r="K580" s="29">
        <v>45216</v>
      </c>
      <c r="L580" s="29" t="s">
        <v>1271</v>
      </c>
      <c r="M580" s="3" t="s">
        <v>24</v>
      </c>
      <c r="N580" s="3">
        <v>5963.24</v>
      </c>
      <c r="O580" s="3" t="s">
        <v>54</v>
      </c>
      <c r="P580" s="3" t="s">
        <v>99</v>
      </c>
      <c r="Q580" s="3" t="s">
        <v>27</v>
      </c>
      <c r="R580" s="3">
        <v>1</v>
      </c>
      <c r="S580" s="3">
        <v>72891.77</v>
      </c>
      <c r="T580" s="38" t="s">
        <v>2879</v>
      </c>
      <c r="U580" s="13"/>
    </row>
    <row r="581" spans="1:21" x14ac:dyDescent="0.3">
      <c r="A581" s="2" t="s">
        <v>2495</v>
      </c>
      <c r="B581" s="2" t="s">
        <v>2496</v>
      </c>
      <c r="C581" s="2">
        <v>54</v>
      </c>
      <c r="D581" s="2" t="s">
        <v>30</v>
      </c>
      <c r="E581" s="2">
        <v>228479</v>
      </c>
      <c r="F581" s="2">
        <v>400000</v>
      </c>
      <c r="G581" s="2">
        <v>12</v>
      </c>
      <c r="H581" s="2">
        <v>16.52</v>
      </c>
      <c r="I581" s="2" t="s">
        <v>22</v>
      </c>
      <c r="J581" s="2">
        <v>619</v>
      </c>
      <c r="K581" s="30">
        <v>44566</v>
      </c>
      <c r="L581" s="30" t="s">
        <v>614</v>
      </c>
      <c r="M581" s="2" t="s">
        <v>24</v>
      </c>
      <c r="N581" s="2">
        <v>36390.85</v>
      </c>
      <c r="O581" s="2" t="s">
        <v>48</v>
      </c>
      <c r="P581" s="2" t="s">
        <v>49</v>
      </c>
      <c r="Q581" s="2" t="s">
        <v>35</v>
      </c>
      <c r="R581" s="2">
        <v>5</v>
      </c>
      <c r="S581" s="2">
        <v>72482.350000000006</v>
      </c>
      <c r="T581" s="38" t="s">
        <v>2875</v>
      </c>
      <c r="U581" s="13"/>
    </row>
    <row r="582" spans="1:21" x14ac:dyDescent="0.3">
      <c r="A582" s="3" t="s">
        <v>2683</v>
      </c>
      <c r="B582" s="3" t="s">
        <v>2470</v>
      </c>
      <c r="C582" s="3">
        <v>36</v>
      </c>
      <c r="D582" s="3" t="s">
        <v>45</v>
      </c>
      <c r="E582" s="3">
        <v>184085</v>
      </c>
      <c r="F582" s="3">
        <v>500000</v>
      </c>
      <c r="G582" s="3">
        <v>240</v>
      </c>
      <c r="H582" s="3">
        <v>19.25</v>
      </c>
      <c r="I582" s="3" t="s">
        <v>46</v>
      </c>
      <c r="J582" s="3">
        <v>690</v>
      </c>
      <c r="K582" s="29">
        <v>44381</v>
      </c>
      <c r="L582" s="29" t="s">
        <v>885</v>
      </c>
      <c r="M582" s="3" t="s">
        <v>24</v>
      </c>
      <c r="N582" s="3">
        <v>8200.76</v>
      </c>
      <c r="O582" s="3" t="s">
        <v>48</v>
      </c>
      <c r="P582" s="3" t="s">
        <v>49</v>
      </c>
      <c r="Q582" s="3" t="s">
        <v>100</v>
      </c>
      <c r="R582" s="3">
        <v>12</v>
      </c>
      <c r="S582" s="3">
        <v>71920.33</v>
      </c>
      <c r="T582" s="38" t="s">
        <v>2871</v>
      </c>
      <c r="U582" s="13"/>
    </row>
    <row r="583" spans="1:21" x14ac:dyDescent="0.3">
      <c r="A583" s="2" t="s">
        <v>305</v>
      </c>
      <c r="B583" s="2" t="s">
        <v>306</v>
      </c>
      <c r="C583" s="2">
        <v>36</v>
      </c>
      <c r="D583" s="2" t="s">
        <v>72</v>
      </c>
      <c r="E583" s="2">
        <v>128763</v>
      </c>
      <c r="F583" s="2">
        <v>75000</v>
      </c>
      <c r="G583" s="2">
        <v>24</v>
      </c>
      <c r="H583" s="2">
        <v>13.93</v>
      </c>
      <c r="I583" s="2" t="s">
        <v>66</v>
      </c>
      <c r="J583" s="2">
        <v>329</v>
      </c>
      <c r="K583" s="30">
        <v>44797</v>
      </c>
      <c r="L583" s="30" t="s">
        <v>308</v>
      </c>
      <c r="M583" s="2" t="s">
        <v>24</v>
      </c>
      <c r="N583" s="2">
        <v>3598.49</v>
      </c>
      <c r="O583" s="2" t="s">
        <v>25</v>
      </c>
      <c r="P583" s="2" t="s">
        <v>151</v>
      </c>
      <c r="Q583" s="2" t="s">
        <v>35</v>
      </c>
      <c r="R583" s="2">
        <v>12</v>
      </c>
      <c r="S583" s="2">
        <v>71761.36</v>
      </c>
      <c r="T583" s="38" t="s">
        <v>2879</v>
      </c>
      <c r="U583" s="13"/>
    </row>
    <row r="584" spans="1:21" x14ac:dyDescent="0.3">
      <c r="A584" s="3" t="s">
        <v>2454</v>
      </c>
      <c r="B584" s="3" t="s">
        <v>1836</v>
      </c>
      <c r="C584" s="3">
        <v>40</v>
      </c>
      <c r="D584" s="3" t="s">
        <v>30</v>
      </c>
      <c r="E584" s="3">
        <v>152059</v>
      </c>
      <c r="F584" s="3">
        <v>75000</v>
      </c>
      <c r="G584" s="3">
        <v>24</v>
      </c>
      <c r="H584" s="3">
        <v>21.97</v>
      </c>
      <c r="I584" s="3" t="s">
        <v>38</v>
      </c>
      <c r="J584" s="3">
        <v>547</v>
      </c>
      <c r="K584" s="29">
        <v>44412</v>
      </c>
      <c r="L584" s="29" t="s">
        <v>334</v>
      </c>
      <c r="M584" s="3" t="s">
        <v>122</v>
      </c>
      <c r="N584" s="3">
        <v>3889.75</v>
      </c>
      <c r="O584" s="3" t="s">
        <v>60</v>
      </c>
      <c r="P584" s="3" t="s">
        <v>2997</v>
      </c>
      <c r="Q584" s="3" t="s">
        <v>42</v>
      </c>
      <c r="R584" s="3">
        <v>1</v>
      </c>
      <c r="S584" s="3">
        <v>71499.23</v>
      </c>
      <c r="T584" s="38" t="s">
        <v>2879</v>
      </c>
      <c r="U584" s="13"/>
    </row>
    <row r="585" spans="1:21" x14ac:dyDescent="0.3">
      <c r="A585" s="3" t="s">
        <v>2641</v>
      </c>
      <c r="B585" s="3" t="s">
        <v>1550</v>
      </c>
      <c r="C585" s="3">
        <v>29</v>
      </c>
      <c r="D585" s="3" t="s">
        <v>30</v>
      </c>
      <c r="E585" s="3">
        <v>234512</v>
      </c>
      <c r="F585" s="3">
        <v>75000</v>
      </c>
      <c r="G585" s="3">
        <v>48</v>
      </c>
      <c r="H585" s="3">
        <v>14.49</v>
      </c>
      <c r="I585" s="3" t="s">
        <v>83</v>
      </c>
      <c r="J585" s="3">
        <v>305</v>
      </c>
      <c r="K585" s="29">
        <v>44816</v>
      </c>
      <c r="L585" s="29" t="s">
        <v>1288</v>
      </c>
      <c r="M585" s="3" t="s">
        <v>122</v>
      </c>
      <c r="N585" s="3">
        <v>2067.9699999999998</v>
      </c>
      <c r="O585" s="3" t="s">
        <v>60</v>
      </c>
      <c r="P585" s="3" t="s">
        <v>192</v>
      </c>
      <c r="Q585" s="3" t="s">
        <v>42</v>
      </c>
      <c r="R585" s="3">
        <v>1</v>
      </c>
      <c r="S585" s="3">
        <v>71277.649999999994</v>
      </c>
      <c r="T585" s="38" t="s">
        <v>2879</v>
      </c>
      <c r="U585" s="13"/>
    </row>
    <row r="586" spans="1:21" x14ac:dyDescent="0.3">
      <c r="A586" s="2" t="s">
        <v>1197</v>
      </c>
      <c r="B586" s="2" t="s">
        <v>1198</v>
      </c>
      <c r="C586" s="2">
        <v>49</v>
      </c>
      <c r="D586" s="2" t="s">
        <v>65</v>
      </c>
      <c r="E586" s="2">
        <v>242496</v>
      </c>
      <c r="F586" s="2">
        <v>75000</v>
      </c>
      <c r="G586" s="2">
        <v>48</v>
      </c>
      <c r="H586" s="2">
        <v>18.34</v>
      </c>
      <c r="I586" s="2" t="s">
        <v>46</v>
      </c>
      <c r="J586" s="2">
        <v>691</v>
      </c>
      <c r="K586" s="30">
        <v>44850</v>
      </c>
      <c r="L586" s="30" t="s">
        <v>1199</v>
      </c>
      <c r="M586" s="2" t="s">
        <v>24</v>
      </c>
      <c r="N586" s="2">
        <v>2216.4699999999998</v>
      </c>
      <c r="O586" s="2" t="s">
        <v>25</v>
      </c>
      <c r="P586" s="2" t="s">
        <v>151</v>
      </c>
      <c r="Q586" s="2" t="s">
        <v>100</v>
      </c>
      <c r="R586" s="2">
        <v>8</v>
      </c>
      <c r="S586" s="2">
        <v>71010.350000000006</v>
      </c>
      <c r="T586" s="38" t="s">
        <v>2871</v>
      </c>
      <c r="U586" s="13"/>
    </row>
    <row r="587" spans="1:21" x14ac:dyDescent="0.3">
      <c r="A587" s="2" t="s">
        <v>2113</v>
      </c>
      <c r="B587" s="2" t="s">
        <v>2114</v>
      </c>
      <c r="C587" s="2">
        <v>41</v>
      </c>
      <c r="D587" s="2" t="s">
        <v>65</v>
      </c>
      <c r="E587" s="2">
        <v>90565</v>
      </c>
      <c r="F587" s="2">
        <v>75000</v>
      </c>
      <c r="G587" s="2">
        <v>60</v>
      </c>
      <c r="H587" s="2">
        <v>7.73</v>
      </c>
      <c r="I587" s="2" t="s">
        <v>46</v>
      </c>
      <c r="J587" s="2">
        <v>522</v>
      </c>
      <c r="K587" s="30">
        <v>45197</v>
      </c>
      <c r="L587" s="30" t="s">
        <v>848</v>
      </c>
      <c r="M587" s="2" t="s">
        <v>122</v>
      </c>
      <c r="N587" s="2">
        <v>1511.06</v>
      </c>
      <c r="O587" s="2" t="s">
        <v>48</v>
      </c>
      <c r="P587" s="2" t="s">
        <v>375</v>
      </c>
      <c r="Q587" s="2" t="s">
        <v>42</v>
      </c>
      <c r="R587" s="2">
        <v>0</v>
      </c>
      <c r="S587" s="2">
        <v>70920.14</v>
      </c>
      <c r="T587" s="38" t="s">
        <v>2879</v>
      </c>
      <c r="U587" s="13"/>
    </row>
    <row r="588" spans="1:21" x14ac:dyDescent="0.3">
      <c r="A588" s="3" t="s">
        <v>1678</v>
      </c>
      <c r="B588" s="3" t="s">
        <v>1679</v>
      </c>
      <c r="C588" s="3">
        <v>56</v>
      </c>
      <c r="D588" s="3" t="s">
        <v>30</v>
      </c>
      <c r="E588" s="3">
        <v>89803</v>
      </c>
      <c r="F588" s="3">
        <v>100000</v>
      </c>
      <c r="G588" s="3">
        <v>36</v>
      </c>
      <c r="H588" s="3">
        <v>11.21</v>
      </c>
      <c r="I588" s="3" t="s">
        <v>22</v>
      </c>
      <c r="J588" s="3">
        <v>457</v>
      </c>
      <c r="K588" s="29">
        <v>44317</v>
      </c>
      <c r="L588" s="29" t="s">
        <v>1680</v>
      </c>
      <c r="M588" s="3" t="s">
        <v>24</v>
      </c>
      <c r="N588" s="3">
        <v>3283.83</v>
      </c>
      <c r="O588" s="3" t="s">
        <v>48</v>
      </c>
      <c r="P588" s="3" t="s">
        <v>80</v>
      </c>
      <c r="Q588" s="3" t="s">
        <v>42</v>
      </c>
      <c r="R588" s="3">
        <v>2</v>
      </c>
      <c r="S588" s="3">
        <v>70445.53</v>
      </c>
      <c r="T588" s="38" t="s">
        <v>2879</v>
      </c>
      <c r="U588" s="13"/>
    </row>
    <row r="589" spans="1:21" x14ac:dyDescent="0.3">
      <c r="A589" s="3" t="s">
        <v>2706</v>
      </c>
      <c r="B589" s="3" t="s">
        <v>2707</v>
      </c>
      <c r="C589" s="3">
        <v>55</v>
      </c>
      <c r="D589" s="3" t="s">
        <v>30</v>
      </c>
      <c r="E589" s="3">
        <v>190047</v>
      </c>
      <c r="F589" s="3">
        <v>1000000</v>
      </c>
      <c r="G589" s="3">
        <v>240</v>
      </c>
      <c r="H589" s="3">
        <v>17.399999999999999</v>
      </c>
      <c r="I589" s="3" t="s">
        <v>83</v>
      </c>
      <c r="J589" s="3">
        <v>531</v>
      </c>
      <c r="K589" s="29">
        <v>44869</v>
      </c>
      <c r="L589" s="29" t="s">
        <v>502</v>
      </c>
      <c r="M589" s="3" t="s">
        <v>33</v>
      </c>
      <c r="N589" s="3">
        <v>14972.95</v>
      </c>
      <c r="O589" s="3" t="s">
        <v>25</v>
      </c>
      <c r="P589" s="3" t="s">
        <v>2998</v>
      </c>
      <c r="Q589" s="3" t="s">
        <v>100</v>
      </c>
      <c r="R589" s="3">
        <v>7</v>
      </c>
      <c r="S589" s="3">
        <v>70179.8</v>
      </c>
      <c r="T589" s="38" t="s">
        <v>2879</v>
      </c>
      <c r="U589" s="13"/>
    </row>
    <row r="590" spans="1:21" x14ac:dyDescent="0.3">
      <c r="A590" s="2" t="s">
        <v>1397</v>
      </c>
      <c r="B590" s="2" t="s">
        <v>1398</v>
      </c>
      <c r="C590" s="2">
        <v>39</v>
      </c>
      <c r="D590" s="2" t="s">
        <v>72</v>
      </c>
      <c r="E590" s="2">
        <v>65782</v>
      </c>
      <c r="F590" s="2">
        <v>75000</v>
      </c>
      <c r="G590" s="2">
        <v>36</v>
      </c>
      <c r="H590" s="2">
        <v>17.440000000000001</v>
      </c>
      <c r="I590" s="2" t="s">
        <v>31</v>
      </c>
      <c r="J590" s="2">
        <v>809</v>
      </c>
      <c r="K590" s="30">
        <v>44307</v>
      </c>
      <c r="L590" s="30" t="s">
        <v>1399</v>
      </c>
      <c r="M590" s="2" t="s">
        <v>24</v>
      </c>
      <c r="N590" s="2">
        <v>2690.41</v>
      </c>
      <c r="O590" s="2" t="s">
        <v>105</v>
      </c>
      <c r="P590" s="2" t="s">
        <v>159</v>
      </c>
      <c r="Q590" s="2" t="s">
        <v>27</v>
      </c>
      <c r="R590" s="2">
        <v>2</v>
      </c>
      <c r="S590" s="2">
        <v>70157.259999999995</v>
      </c>
      <c r="T590" s="38" t="s">
        <v>2867</v>
      </c>
      <c r="U590" s="13"/>
    </row>
    <row r="591" spans="1:21" x14ac:dyDescent="0.3">
      <c r="A591" s="2" t="s">
        <v>2442</v>
      </c>
      <c r="B591" s="2" t="s">
        <v>2258</v>
      </c>
      <c r="C591" s="2">
        <v>54</v>
      </c>
      <c r="D591" s="2" t="s">
        <v>30</v>
      </c>
      <c r="E591" s="2">
        <v>119217</v>
      </c>
      <c r="F591" s="2">
        <v>500000</v>
      </c>
      <c r="G591" s="2">
        <v>48</v>
      </c>
      <c r="H591" s="2">
        <v>9.5500000000000007</v>
      </c>
      <c r="I591" s="2" t="s">
        <v>83</v>
      </c>
      <c r="J591" s="2">
        <v>317</v>
      </c>
      <c r="K591" s="30">
        <v>44507</v>
      </c>
      <c r="L591" s="30" t="s">
        <v>1983</v>
      </c>
      <c r="M591" s="2" t="s">
        <v>33</v>
      </c>
      <c r="N591" s="2">
        <v>12573.51</v>
      </c>
      <c r="O591" s="2" t="s">
        <v>105</v>
      </c>
      <c r="P591" s="2" t="s">
        <v>130</v>
      </c>
      <c r="Q591" s="2" t="s">
        <v>42</v>
      </c>
      <c r="R591" s="2">
        <v>2</v>
      </c>
      <c r="S591" s="2">
        <v>69985.960000000006</v>
      </c>
      <c r="T591" s="38" t="s">
        <v>2879</v>
      </c>
      <c r="U591" s="13"/>
    </row>
    <row r="592" spans="1:21" x14ac:dyDescent="0.3">
      <c r="A592" s="2" t="s">
        <v>1909</v>
      </c>
      <c r="B592" s="2" t="s">
        <v>445</v>
      </c>
      <c r="C592" s="2">
        <v>22</v>
      </c>
      <c r="D592" s="2" t="s">
        <v>45</v>
      </c>
      <c r="E592" s="2">
        <v>118185</v>
      </c>
      <c r="F592" s="2">
        <v>150000</v>
      </c>
      <c r="G592" s="2">
        <v>60</v>
      </c>
      <c r="H592" s="2">
        <v>20.97</v>
      </c>
      <c r="I592" s="2" t="s">
        <v>46</v>
      </c>
      <c r="J592" s="2">
        <v>774</v>
      </c>
      <c r="K592" s="30">
        <v>44209</v>
      </c>
      <c r="L592" s="30" t="s">
        <v>1910</v>
      </c>
      <c r="M592" s="2" t="s">
        <v>122</v>
      </c>
      <c r="N592" s="2">
        <v>4055.47</v>
      </c>
      <c r="O592" s="2" t="s">
        <v>54</v>
      </c>
      <c r="P592" s="2" t="s">
        <v>164</v>
      </c>
      <c r="Q592" s="2" t="s">
        <v>42</v>
      </c>
      <c r="R592" s="2">
        <v>0</v>
      </c>
      <c r="S592" s="2">
        <v>69701.69</v>
      </c>
      <c r="T592" s="38" t="s">
        <v>2867</v>
      </c>
      <c r="U592" s="13"/>
    </row>
    <row r="593" spans="1:21" x14ac:dyDescent="0.3">
      <c r="A593" s="3" t="s">
        <v>2505</v>
      </c>
      <c r="B593" s="3" t="s">
        <v>2506</v>
      </c>
      <c r="C593" s="3">
        <v>55</v>
      </c>
      <c r="D593" s="3" t="s">
        <v>72</v>
      </c>
      <c r="E593" s="3">
        <v>64303</v>
      </c>
      <c r="F593" s="3">
        <v>75000</v>
      </c>
      <c r="G593" s="3">
        <v>60</v>
      </c>
      <c r="H593" s="3">
        <v>20.440000000000001</v>
      </c>
      <c r="I593" s="3" t="s">
        <v>251</v>
      </c>
      <c r="J593" s="3">
        <v>621</v>
      </c>
      <c r="K593" s="29">
        <v>44817</v>
      </c>
      <c r="L593" s="29" t="s">
        <v>181</v>
      </c>
      <c r="M593" s="3" t="s">
        <v>33</v>
      </c>
      <c r="N593" s="3">
        <v>2005.45</v>
      </c>
      <c r="O593" s="3" t="s">
        <v>25</v>
      </c>
      <c r="P593" s="3" t="s">
        <v>123</v>
      </c>
      <c r="Q593" s="3" t="s">
        <v>42</v>
      </c>
      <c r="R593" s="3">
        <v>0</v>
      </c>
      <c r="S593" s="3">
        <v>69585.289999999994</v>
      </c>
      <c r="T593" s="38" t="s">
        <v>2875</v>
      </c>
      <c r="U593" s="13"/>
    </row>
    <row r="594" spans="1:21" x14ac:dyDescent="0.3">
      <c r="A594" s="3" t="s">
        <v>1184</v>
      </c>
      <c r="B594" s="3" t="s">
        <v>1185</v>
      </c>
      <c r="C594" s="3">
        <v>56</v>
      </c>
      <c r="D594" s="3" t="s">
        <v>45</v>
      </c>
      <c r="E594" s="3">
        <v>131132</v>
      </c>
      <c r="F594" s="3">
        <v>250000</v>
      </c>
      <c r="G594" s="3">
        <v>84</v>
      </c>
      <c r="H594" s="3">
        <v>15.48</v>
      </c>
      <c r="I594" s="3" t="s">
        <v>38</v>
      </c>
      <c r="J594" s="3">
        <v>680</v>
      </c>
      <c r="K594" s="29">
        <v>44689</v>
      </c>
      <c r="L594" s="29" t="s">
        <v>341</v>
      </c>
      <c r="M594" s="3" t="s">
        <v>24</v>
      </c>
      <c r="N594" s="3">
        <v>4891.76</v>
      </c>
      <c r="O594" s="3" t="s">
        <v>60</v>
      </c>
      <c r="P594" s="3" t="s">
        <v>2997</v>
      </c>
      <c r="Q594" s="3" t="s">
        <v>100</v>
      </c>
      <c r="R594" s="3">
        <v>11</v>
      </c>
      <c r="S594" s="3">
        <v>69494.06</v>
      </c>
      <c r="T594" s="38" t="s">
        <v>2871</v>
      </c>
      <c r="U594" s="13"/>
    </row>
    <row r="595" spans="1:21" x14ac:dyDescent="0.3">
      <c r="A595" s="3" t="s">
        <v>348</v>
      </c>
      <c r="B595" s="3" t="s">
        <v>349</v>
      </c>
      <c r="C595" s="3">
        <v>56</v>
      </c>
      <c r="D595" s="3" t="s">
        <v>21</v>
      </c>
      <c r="E595" s="3">
        <v>224325</v>
      </c>
      <c r="F595" s="3">
        <v>100000</v>
      </c>
      <c r="G595" s="3">
        <v>24</v>
      </c>
      <c r="H595" s="3">
        <v>17.09</v>
      </c>
      <c r="I595" s="3" t="s">
        <v>46</v>
      </c>
      <c r="J595" s="3">
        <v>434</v>
      </c>
      <c r="K595" s="29">
        <v>44860</v>
      </c>
      <c r="L595" s="29" t="s">
        <v>350</v>
      </c>
      <c r="M595" s="3" t="s">
        <v>24</v>
      </c>
      <c r="N595" s="3">
        <v>4948.55</v>
      </c>
      <c r="O595" s="3" t="s">
        <v>25</v>
      </c>
      <c r="P595" s="3" t="s">
        <v>151</v>
      </c>
      <c r="Q595" s="3" t="s">
        <v>35</v>
      </c>
      <c r="R595" s="3">
        <v>12</v>
      </c>
      <c r="S595" s="3">
        <v>68824.14</v>
      </c>
      <c r="T595" s="38" t="s">
        <v>2879</v>
      </c>
      <c r="U595" s="13"/>
    </row>
    <row r="596" spans="1:21" x14ac:dyDescent="0.3">
      <c r="A596" s="2" t="s">
        <v>1126</v>
      </c>
      <c r="B596" s="2" t="s">
        <v>1127</v>
      </c>
      <c r="C596" s="2">
        <v>30</v>
      </c>
      <c r="D596" s="2" t="s">
        <v>45</v>
      </c>
      <c r="E596" s="2">
        <v>234812</v>
      </c>
      <c r="F596" s="2">
        <v>100000</v>
      </c>
      <c r="G596" s="2">
        <v>12</v>
      </c>
      <c r="H596" s="2">
        <v>8.01</v>
      </c>
      <c r="I596" s="2" t="s">
        <v>38</v>
      </c>
      <c r="J596" s="2">
        <v>633</v>
      </c>
      <c r="K596" s="30">
        <v>45108</v>
      </c>
      <c r="L596" s="30" t="s">
        <v>593</v>
      </c>
      <c r="M596" s="2" t="s">
        <v>122</v>
      </c>
      <c r="N596" s="2">
        <v>8699.31</v>
      </c>
      <c r="O596" s="2" t="s">
        <v>60</v>
      </c>
      <c r="P596" s="2" t="s">
        <v>2997</v>
      </c>
      <c r="Q596" s="2" t="s">
        <v>35</v>
      </c>
      <c r="R596" s="2">
        <v>8</v>
      </c>
      <c r="S596" s="2">
        <v>68682.48</v>
      </c>
      <c r="T596" s="38" t="s">
        <v>2875</v>
      </c>
      <c r="U596" s="13"/>
    </row>
    <row r="597" spans="1:21" x14ac:dyDescent="0.3">
      <c r="A597" s="3" t="s">
        <v>1051</v>
      </c>
      <c r="B597" s="3" t="s">
        <v>1052</v>
      </c>
      <c r="C597" s="3">
        <v>58</v>
      </c>
      <c r="D597" s="3" t="s">
        <v>30</v>
      </c>
      <c r="E597" s="3">
        <v>29656</v>
      </c>
      <c r="F597" s="3">
        <v>100000</v>
      </c>
      <c r="G597" s="3">
        <v>60</v>
      </c>
      <c r="H597" s="3">
        <v>20.88</v>
      </c>
      <c r="I597" s="3" t="s">
        <v>73</v>
      </c>
      <c r="J597" s="3">
        <v>877</v>
      </c>
      <c r="K597" s="29">
        <v>45116</v>
      </c>
      <c r="L597" s="29" t="s">
        <v>392</v>
      </c>
      <c r="M597" s="3" t="s">
        <v>24</v>
      </c>
      <c r="N597" s="3">
        <v>2698.59</v>
      </c>
      <c r="O597" s="3" t="s">
        <v>25</v>
      </c>
      <c r="P597" s="3" t="s">
        <v>151</v>
      </c>
      <c r="Q597" s="3" t="s">
        <v>100</v>
      </c>
      <c r="R597" s="3">
        <v>1</v>
      </c>
      <c r="S597" s="3">
        <v>68426.5</v>
      </c>
      <c r="T597" s="38" t="s">
        <v>2867</v>
      </c>
      <c r="U597" s="13"/>
    </row>
    <row r="598" spans="1:21" x14ac:dyDescent="0.3">
      <c r="A598" s="3" t="s">
        <v>1766</v>
      </c>
      <c r="B598" s="3" t="s">
        <v>1767</v>
      </c>
      <c r="C598" s="3">
        <v>23</v>
      </c>
      <c r="D598" s="3" t="s">
        <v>30</v>
      </c>
      <c r="E598" s="3">
        <v>67166</v>
      </c>
      <c r="F598" s="3">
        <v>75000</v>
      </c>
      <c r="G598" s="3">
        <v>120</v>
      </c>
      <c r="H598" s="3">
        <v>11.62</v>
      </c>
      <c r="I598" s="3" t="s">
        <v>83</v>
      </c>
      <c r="J598" s="3">
        <v>598</v>
      </c>
      <c r="K598" s="29">
        <v>44951</v>
      </c>
      <c r="L598" s="29" t="s">
        <v>1514</v>
      </c>
      <c r="M598" s="3" t="s">
        <v>24</v>
      </c>
      <c r="N598" s="3">
        <v>1059.6199999999999</v>
      </c>
      <c r="O598" s="3" t="s">
        <v>54</v>
      </c>
      <c r="P598" s="3" t="s">
        <v>304</v>
      </c>
      <c r="Q598" s="3" t="s">
        <v>42</v>
      </c>
      <c r="R598" s="3">
        <v>1</v>
      </c>
      <c r="S598" s="3">
        <v>68324.39</v>
      </c>
      <c r="T598" s="38" t="s">
        <v>2875</v>
      </c>
      <c r="U598" s="13"/>
    </row>
    <row r="599" spans="1:21" x14ac:dyDescent="0.3">
      <c r="A599" s="3" t="s">
        <v>1482</v>
      </c>
      <c r="B599" s="3" t="s">
        <v>634</v>
      </c>
      <c r="C599" s="3">
        <v>41</v>
      </c>
      <c r="D599" s="3" t="s">
        <v>72</v>
      </c>
      <c r="E599" s="3">
        <v>212800</v>
      </c>
      <c r="F599" s="3">
        <v>75000</v>
      </c>
      <c r="G599" s="3">
        <v>24</v>
      </c>
      <c r="H599" s="3">
        <v>20.84</v>
      </c>
      <c r="I599" s="3" t="s">
        <v>83</v>
      </c>
      <c r="J599" s="3">
        <v>504</v>
      </c>
      <c r="K599" s="29">
        <v>44495</v>
      </c>
      <c r="L599" s="29" t="s">
        <v>1483</v>
      </c>
      <c r="M599" s="3" t="s">
        <v>24</v>
      </c>
      <c r="N599" s="3">
        <v>3848.03</v>
      </c>
      <c r="O599" s="3" t="s">
        <v>105</v>
      </c>
      <c r="P599" s="3" t="s">
        <v>130</v>
      </c>
      <c r="Q599" s="3" t="s">
        <v>42</v>
      </c>
      <c r="R599" s="3">
        <v>0</v>
      </c>
      <c r="S599" s="3">
        <v>68073.55</v>
      </c>
      <c r="T599" s="38" t="s">
        <v>2879</v>
      </c>
      <c r="U599" s="13"/>
    </row>
    <row r="600" spans="1:21" x14ac:dyDescent="0.3">
      <c r="A600" s="3" t="s">
        <v>898</v>
      </c>
      <c r="B600" s="3" t="s">
        <v>899</v>
      </c>
      <c r="C600" s="3">
        <v>40</v>
      </c>
      <c r="D600" s="3" t="s">
        <v>72</v>
      </c>
      <c r="E600" s="3">
        <v>138412</v>
      </c>
      <c r="F600" s="3">
        <v>100000</v>
      </c>
      <c r="G600" s="3">
        <v>60</v>
      </c>
      <c r="H600" s="3">
        <v>18.02</v>
      </c>
      <c r="I600" s="3" t="s">
        <v>251</v>
      </c>
      <c r="J600" s="3">
        <v>643</v>
      </c>
      <c r="K600" s="29">
        <v>44825</v>
      </c>
      <c r="L600" s="29" t="s">
        <v>58</v>
      </c>
      <c r="M600" s="3" t="s">
        <v>122</v>
      </c>
      <c r="N600" s="3">
        <v>2540.4299999999998</v>
      </c>
      <c r="O600" s="3" t="s">
        <v>25</v>
      </c>
      <c r="P600" s="3" t="s">
        <v>34</v>
      </c>
      <c r="Q600" s="3" t="s">
        <v>42</v>
      </c>
      <c r="R600" s="3">
        <v>1</v>
      </c>
      <c r="S600" s="3">
        <v>67990.58</v>
      </c>
      <c r="T600" s="38" t="s">
        <v>2875</v>
      </c>
      <c r="U600" s="13"/>
    </row>
    <row r="601" spans="1:21" x14ac:dyDescent="0.3">
      <c r="A601" s="2" t="s">
        <v>773</v>
      </c>
      <c r="B601" s="2" t="s">
        <v>774</v>
      </c>
      <c r="C601" s="2">
        <v>53</v>
      </c>
      <c r="D601" s="2" t="s">
        <v>65</v>
      </c>
      <c r="E601" s="2">
        <v>148898</v>
      </c>
      <c r="F601" s="2">
        <v>250000</v>
      </c>
      <c r="G601" s="2">
        <v>12</v>
      </c>
      <c r="H601" s="2">
        <v>14.74</v>
      </c>
      <c r="I601" s="2" t="s">
        <v>251</v>
      </c>
      <c r="J601" s="2">
        <v>676</v>
      </c>
      <c r="K601" s="30">
        <v>44433</v>
      </c>
      <c r="L601" s="30" t="s">
        <v>775</v>
      </c>
      <c r="M601" s="2" t="s">
        <v>24</v>
      </c>
      <c r="N601" s="2">
        <v>22533.919999999998</v>
      </c>
      <c r="O601" s="2" t="s">
        <v>105</v>
      </c>
      <c r="P601" s="2" t="s">
        <v>130</v>
      </c>
      <c r="Q601" s="2" t="s">
        <v>42</v>
      </c>
      <c r="R601" s="2">
        <v>0</v>
      </c>
      <c r="S601" s="2">
        <v>67475.25</v>
      </c>
      <c r="T601" s="38" t="s">
        <v>2871</v>
      </c>
      <c r="U601" s="13"/>
    </row>
    <row r="602" spans="1:21" x14ac:dyDescent="0.3">
      <c r="A602" s="2" t="s">
        <v>2330</v>
      </c>
      <c r="B602" s="2" t="s">
        <v>2331</v>
      </c>
      <c r="C602" s="2">
        <v>34</v>
      </c>
      <c r="D602" s="2" t="s">
        <v>45</v>
      </c>
      <c r="E602" s="2">
        <v>83413</v>
      </c>
      <c r="F602" s="2">
        <v>200000</v>
      </c>
      <c r="G602" s="2">
        <v>240</v>
      </c>
      <c r="H602" s="2">
        <v>15.32</v>
      </c>
      <c r="I602" s="2" t="s">
        <v>83</v>
      </c>
      <c r="J602" s="2">
        <v>350</v>
      </c>
      <c r="K602" s="30">
        <v>45091</v>
      </c>
      <c r="L602" s="30" t="s">
        <v>406</v>
      </c>
      <c r="M602" s="2" t="s">
        <v>33</v>
      </c>
      <c r="N602" s="2">
        <v>2680.99</v>
      </c>
      <c r="O602" s="2" t="s">
        <v>48</v>
      </c>
      <c r="P602" s="2" t="s">
        <v>375</v>
      </c>
      <c r="Q602" s="2" t="s">
        <v>27</v>
      </c>
      <c r="R602" s="2">
        <v>1</v>
      </c>
      <c r="S602" s="2">
        <v>67291</v>
      </c>
      <c r="T602" s="38" t="s">
        <v>2879</v>
      </c>
      <c r="U602" s="13"/>
    </row>
    <row r="603" spans="1:21" x14ac:dyDescent="0.3">
      <c r="A603" s="3" t="s">
        <v>2737</v>
      </c>
      <c r="B603" s="3" t="s">
        <v>599</v>
      </c>
      <c r="C603" s="3">
        <v>27</v>
      </c>
      <c r="D603" s="3" t="s">
        <v>21</v>
      </c>
      <c r="E603" s="3">
        <v>184566</v>
      </c>
      <c r="F603" s="3">
        <v>150000</v>
      </c>
      <c r="G603" s="3">
        <v>180</v>
      </c>
      <c r="H603" s="3">
        <v>7.8</v>
      </c>
      <c r="I603" s="3" t="s">
        <v>251</v>
      </c>
      <c r="J603" s="3">
        <v>564</v>
      </c>
      <c r="K603" s="29">
        <v>45048</v>
      </c>
      <c r="L603" s="29" t="s">
        <v>446</v>
      </c>
      <c r="M603" s="3" t="s">
        <v>24</v>
      </c>
      <c r="N603" s="3">
        <v>1416.21</v>
      </c>
      <c r="O603" s="3" t="s">
        <v>105</v>
      </c>
      <c r="P603" s="3" t="s">
        <v>130</v>
      </c>
      <c r="Q603" s="3" t="s">
        <v>27</v>
      </c>
      <c r="R603" s="3">
        <v>2</v>
      </c>
      <c r="S603" s="3">
        <v>67151.710000000006</v>
      </c>
      <c r="T603" s="38" t="s">
        <v>2875</v>
      </c>
      <c r="U603" s="13"/>
    </row>
    <row r="604" spans="1:21" x14ac:dyDescent="0.3">
      <c r="A604" s="2" t="s">
        <v>2055</v>
      </c>
      <c r="B604" s="2" t="s">
        <v>2056</v>
      </c>
      <c r="C604" s="2">
        <v>35</v>
      </c>
      <c r="D604" s="2" t="s">
        <v>21</v>
      </c>
      <c r="E604" s="2">
        <v>45091</v>
      </c>
      <c r="F604" s="2">
        <v>150000</v>
      </c>
      <c r="G604" s="2">
        <v>12</v>
      </c>
      <c r="H604" s="2">
        <v>12.25</v>
      </c>
      <c r="I604" s="2" t="s">
        <v>83</v>
      </c>
      <c r="J604" s="2">
        <v>385</v>
      </c>
      <c r="K604" s="30">
        <v>44605</v>
      </c>
      <c r="L604" s="30" t="s">
        <v>1473</v>
      </c>
      <c r="M604" s="2" t="s">
        <v>24</v>
      </c>
      <c r="N604" s="2">
        <v>13344.87</v>
      </c>
      <c r="O604" s="2" t="s">
        <v>105</v>
      </c>
      <c r="P604" s="2" t="s">
        <v>130</v>
      </c>
      <c r="Q604" s="2" t="s">
        <v>42</v>
      </c>
      <c r="R604" s="2">
        <v>1</v>
      </c>
      <c r="S604" s="2">
        <v>65927.320000000007</v>
      </c>
      <c r="T604" s="38" t="s">
        <v>2879</v>
      </c>
      <c r="U604" s="13"/>
    </row>
    <row r="605" spans="1:21" x14ac:dyDescent="0.3">
      <c r="A605" s="3" t="s">
        <v>1133</v>
      </c>
      <c r="B605" s="3" t="s">
        <v>1134</v>
      </c>
      <c r="C605" s="3">
        <v>22</v>
      </c>
      <c r="D605" s="3" t="s">
        <v>65</v>
      </c>
      <c r="E605" s="3">
        <v>224181</v>
      </c>
      <c r="F605" s="3">
        <v>200000</v>
      </c>
      <c r="G605" s="3">
        <v>48</v>
      </c>
      <c r="H605" s="3">
        <v>19.05</v>
      </c>
      <c r="I605" s="3" t="s">
        <v>38</v>
      </c>
      <c r="J605" s="3">
        <v>493</v>
      </c>
      <c r="K605" s="29">
        <v>44708</v>
      </c>
      <c r="L605" s="29" t="s">
        <v>1135</v>
      </c>
      <c r="M605" s="3" t="s">
        <v>24</v>
      </c>
      <c r="N605" s="3">
        <v>5985.3</v>
      </c>
      <c r="O605" s="3" t="s">
        <v>60</v>
      </c>
      <c r="P605" s="3" t="s">
        <v>69</v>
      </c>
      <c r="Q605" s="3" t="s">
        <v>42</v>
      </c>
      <c r="R605" s="3">
        <v>1</v>
      </c>
      <c r="S605" s="3">
        <v>65330.75</v>
      </c>
      <c r="T605" s="38" t="s">
        <v>2879</v>
      </c>
      <c r="U605" s="13"/>
    </row>
    <row r="606" spans="1:21" x14ac:dyDescent="0.3">
      <c r="A606" s="2" t="s">
        <v>63</v>
      </c>
      <c r="B606" s="2" t="s">
        <v>64</v>
      </c>
      <c r="C606" s="2">
        <v>47</v>
      </c>
      <c r="D606" s="2" t="s">
        <v>65</v>
      </c>
      <c r="E606" s="2">
        <v>52452</v>
      </c>
      <c r="F606" s="2">
        <v>200000</v>
      </c>
      <c r="G606" s="2">
        <v>36</v>
      </c>
      <c r="H606" s="2">
        <v>11.08</v>
      </c>
      <c r="I606" s="2" t="s">
        <v>66</v>
      </c>
      <c r="J606" s="2">
        <v>898</v>
      </c>
      <c r="K606" s="30">
        <v>44646</v>
      </c>
      <c r="L606" s="30" t="s">
        <v>68</v>
      </c>
      <c r="M606" s="2" t="s">
        <v>33</v>
      </c>
      <c r="N606" s="2">
        <v>6555.32</v>
      </c>
      <c r="O606" s="2" t="s">
        <v>60</v>
      </c>
      <c r="P606" s="2" t="s">
        <v>69</v>
      </c>
      <c r="Q606" s="2" t="s">
        <v>42</v>
      </c>
      <c r="R606" s="2">
        <v>1</v>
      </c>
      <c r="S606" s="2">
        <v>64304.88</v>
      </c>
      <c r="T606" s="38" t="s">
        <v>2867</v>
      </c>
      <c r="U606" s="13"/>
    </row>
    <row r="607" spans="1:21" x14ac:dyDescent="0.3">
      <c r="A607" s="3" t="s">
        <v>1866</v>
      </c>
      <c r="B607" s="3" t="s">
        <v>1867</v>
      </c>
      <c r="C607" s="3">
        <v>41</v>
      </c>
      <c r="D607" s="3" t="s">
        <v>65</v>
      </c>
      <c r="E607" s="3">
        <v>186608</v>
      </c>
      <c r="F607" s="3">
        <v>100000</v>
      </c>
      <c r="G607" s="3">
        <v>36</v>
      </c>
      <c r="H607" s="3">
        <v>13.91</v>
      </c>
      <c r="I607" s="3" t="s">
        <v>31</v>
      </c>
      <c r="J607" s="3">
        <v>598</v>
      </c>
      <c r="K607" s="29">
        <v>44215</v>
      </c>
      <c r="L607" s="29" t="s">
        <v>79</v>
      </c>
      <c r="M607" s="3" t="s">
        <v>24</v>
      </c>
      <c r="N607" s="3">
        <v>3413.39</v>
      </c>
      <c r="O607" s="3" t="s">
        <v>105</v>
      </c>
      <c r="P607" s="3" t="s">
        <v>159</v>
      </c>
      <c r="Q607" s="3" t="s">
        <v>100</v>
      </c>
      <c r="R607" s="3">
        <v>3</v>
      </c>
      <c r="S607" s="3">
        <v>63135.39</v>
      </c>
      <c r="T607" s="38" t="s">
        <v>2875</v>
      </c>
      <c r="U607" s="13"/>
    </row>
    <row r="608" spans="1:21" x14ac:dyDescent="0.3">
      <c r="A608" s="3" t="s">
        <v>1978</v>
      </c>
      <c r="B608" s="3" t="s">
        <v>1979</v>
      </c>
      <c r="C608" s="3">
        <v>31</v>
      </c>
      <c r="D608" s="3" t="s">
        <v>72</v>
      </c>
      <c r="E608" s="3">
        <v>79237</v>
      </c>
      <c r="F608" s="3">
        <v>75000</v>
      </c>
      <c r="G608" s="3">
        <v>12</v>
      </c>
      <c r="H608" s="3">
        <v>15.75</v>
      </c>
      <c r="I608" s="3" t="s">
        <v>73</v>
      </c>
      <c r="J608" s="3">
        <v>453</v>
      </c>
      <c r="K608" s="29">
        <v>45277</v>
      </c>
      <c r="L608" s="29" t="s">
        <v>1980</v>
      </c>
      <c r="M608" s="3" t="s">
        <v>24</v>
      </c>
      <c r="N608" s="3">
        <v>6795.94</v>
      </c>
      <c r="O608" s="3" t="s">
        <v>105</v>
      </c>
      <c r="P608" s="3" t="s">
        <v>118</v>
      </c>
      <c r="Q608" s="3" t="s">
        <v>27</v>
      </c>
      <c r="R608" s="3">
        <v>2</v>
      </c>
      <c r="S608" s="3">
        <v>62767.31</v>
      </c>
      <c r="T608" s="38" t="s">
        <v>2879</v>
      </c>
      <c r="U608" s="13"/>
    </row>
    <row r="609" spans="1:21" x14ac:dyDescent="0.3">
      <c r="A609" s="3" t="s">
        <v>2639</v>
      </c>
      <c r="B609" s="3" t="s">
        <v>359</v>
      </c>
      <c r="C609" s="3">
        <v>35</v>
      </c>
      <c r="D609" s="3" t="s">
        <v>45</v>
      </c>
      <c r="E609" s="3">
        <v>122638</v>
      </c>
      <c r="F609" s="3">
        <v>75000</v>
      </c>
      <c r="G609" s="3">
        <v>12</v>
      </c>
      <c r="H609" s="3">
        <v>17.420000000000002</v>
      </c>
      <c r="I609" s="3" t="s">
        <v>46</v>
      </c>
      <c r="J609" s="3">
        <v>818</v>
      </c>
      <c r="K609" s="29">
        <v>45145</v>
      </c>
      <c r="L609" s="29" t="s">
        <v>913</v>
      </c>
      <c r="M609" s="3" t="s">
        <v>24</v>
      </c>
      <c r="N609" s="3">
        <v>6855.31</v>
      </c>
      <c r="O609" s="3" t="s">
        <v>60</v>
      </c>
      <c r="P609" s="3" t="s">
        <v>172</v>
      </c>
      <c r="Q609" s="3" t="s">
        <v>27</v>
      </c>
      <c r="R609" s="3">
        <v>2</v>
      </c>
      <c r="S609" s="3">
        <v>62660.44</v>
      </c>
      <c r="T609" s="38" t="s">
        <v>2867</v>
      </c>
      <c r="U609" s="13"/>
    </row>
    <row r="610" spans="1:21" x14ac:dyDescent="0.3">
      <c r="A610" s="2" t="s">
        <v>911</v>
      </c>
      <c r="B610" s="2" t="s">
        <v>912</v>
      </c>
      <c r="C610" s="2">
        <v>36</v>
      </c>
      <c r="D610" s="2" t="s">
        <v>21</v>
      </c>
      <c r="E610" s="2">
        <v>96813</v>
      </c>
      <c r="F610" s="2">
        <v>100000</v>
      </c>
      <c r="G610" s="2">
        <v>24</v>
      </c>
      <c r="H610" s="2">
        <v>13.06</v>
      </c>
      <c r="I610" s="2" t="s">
        <v>66</v>
      </c>
      <c r="J610" s="2">
        <v>471</v>
      </c>
      <c r="K610" s="30">
        <v>45130</v>
      </c>
      <c r="L610" s="30" t="s">
        <v>913</v>
      </c>
      <c r="M610" s="2" t="s">
        <v>24</v>
      </c>
      <c r="N610" s="2">
        <v>4757</v>
      </c>
      <c r="O610" s="2" t="s">
        <v>25</v>
      </c>
      <c r="P610" s="2" t="s">
        <v>26</v>
      </c>
      <c r="Q610" s="2" t="s">
        <v>27</v>
      </c>
      <c r="R610" s="2">
        <v>1</v>
      </c>
      <c r="S610" s="2">
        <v>61468.3</v>
      </c>
      <c r="T610" s="38" t="s">
        <v>2879</v>
      </c>
      <c r="U610" s="13"/>
    </row>
    <row r="611" spans="1:21" x14ac:dyDescent="0.3">
      <c r="A611" s="3" t="s">
        <v>1477</v>
      </c>
      <c r="B611" s="3" t="s">
        <v>1360</v>
      </c>
      <c r="C611" s="3">
        <v>41</v>
      </c>
      <c r="D611" s="3" t="s">
        <v>72</v>
      </c>
      <c r="E611" s="3">
        <v>210155</v>
      </c>
      <c r="F611" s="3">
        <v>75000</v>
      </c>
      <c r="G611" s="3">
        <v>48</v>
      </c>
      <c r="H611" s="3">
        <v>9.3699999999999992</v>
      </c>
      <c r="I611" s="3" t="s">
        <v>251</v>
      </c>
      <c r="J611" s="3">
        <v>532</v>
      </c>
      <c r="K611" s="29">
        <v>44357</v>
      </c>
      <c r="L611" s="29" t="s">
        <v>1466</v>
      </c>
      <c r="M611" s="3" t="s">
        <v>24</v>
      </c>
      <c r="N611" s="3">
        <v>1879.58</v>
      </c>
      <c r="O611" s="3" t="s">
        <v>48</v>
      </c>
      <c r="P611" s="3" t="s">
        <v>86</v>
      </c>
      <c r="Q611" s="3" t="s">
        <v>42</v>
      </c>
      <c r="R611" s="3">
        <v>0</v>
      </c>
      <c r="S611" s="3">
        <v>61467.02</v>
      </c>
      <c r="T611" s="38" t="s">
        <v>2879</v>
      </c>
      <c r="U611" s="13"/>
    </row>
    <row r="612" spans="1:21" x14ac:dyDescent="0.3">
      <c r="A612" s="3" t="s">
        <v>1770</v>
      </c>
      <c r="B612" s="3" t="s">
        <v>1542</v>
      </c>
      <c r="C612" s="3">
        <v>32</v>
      </c>
      <c r="D612" s="3" t="s">
        <v>45</v>
      </c>
      <c r="E612" s="3">
        <v>165756</v>
      </c>
      <c r="F612" s="3">
        <v>200000</v>
      </c>
      <c r="G612" s="3">
        <v>48</v>
      </c>
      <c r="H612" s="3">
        <v>14.79</v>
      </c>
      <c r="I612" s="3" t="s">
        <v>31</v>
      </c>
      <c r="J612" s="3">
        <v>582</v>
      </c>
      <c r="K612" s="29">
        <v>44328</v>
      </c>
      <c r="L612" s="29" t="s">
        <v>1478</v>
      </c>
      <c r="M612" s="3" t="s">
        <v>24</v>
      </c>
      <c r="N612" s="3">
        <v>5544.88</v>
      </c>
      <c r="O612" s="3" t="s">
        <v>105</v>
      </c>
      <c r="P612" s="3" t="s">
        <v>114</v>
      </c>
      <c r="Q612" s="3" t="s">
        <v>42</v>
      </c>
      <c r="R612" s="3">
        <v>0</v>
      </c>
      <c r="S612" s="3">
        <v>60269.02</v>
      </c>
      <c r="T612" s="38" t="s">
        <v>2875</v>
      </c>
      <c r="U612" s="13"/>
    </row>
    <row r="613" spans="1:21" x14ac:dyDescent="0.3">
      <c r="A613" s="2" t="s">
        <v>2430</v>
      </c>
      <c r="B613" s="2" t="s">
        <v>2431</v>
      </c>
      <c r="C613" s="2">
        <v>32</v>
      </c>
      <c r="D613" s="2" t="s">
        <v>72</v>
      </c>
      <c r="E613" s="2">
        <v>18916</v>
      </c>
      <c r="F613" s="2">
        <v>250000</v>
      </c>
      <c r="G613" s="2">
        <v>48</v>
      </c>
      <c r="H613" s="2">
        <v>8.84</v>
      </c>
      <c r="I613" s="2" t="s">
        <v>22</v>
      </c>
      <c r="J613" s="2">
        <v>415</v>
      </c>
      <c r="K613" s="30">
        <v>45098</v>
      </c>
      <c r="L613" s="30" t="s">
        <v>737</v>
      </c>
      <c r="M613" s="2" t="s">
        <v>24</v>
      </c>
      <c r="N613" s="2">
        <v>6202.28</v>
      </c>
      <c r="O613" s="2" t="s">
        <v>60</v>
      </c>
      <c r="P613" s="2" t="s">
        <v>2997</v>
      </c>
      <c r="Q613" s="2" t="s">
        <v>42</v>
      </c>
      <c r="R613" s="2">
        <v>1</v>
      </c>
      <c r="S613" s="2">
        <v>60210.23</v>
      </c>
      <c r="T613" s="38" t="s">
        <v>2879</v>
      </c>
      <c r="U613" s="13"/>
    </row>
    <row r="614" spans="1:21" x14ac:dyDescent="0.3">
      <c r="A614" s="2" t="s">
        <v>2084</v>
      </c>
      <c r="B614" s="2" t="s">
        <v>2085</v>
      </c>
      <c r="C614" s="2">
        <v>46</v>
      </c>
      <c r="D614" s="2" t="s">
        <v>30</v>
      </c>
      <c r="E614" s="2">
        <v>142833</v>
      </c>
      <c r="F614" s="2">
        <v>75000</v>
      </c>
      <c r="G614" s="2">
        <v>84</v>
      </c>
      <c r="H614" s="2">
        <v>10.53</v>
      </c>
      <c r="I614" s="2" t="s">
        <v>38</v>
      </c>
      <c r="J614" s="2">
        <v>619</v>
      </c>
      <c r="K614" s="30">
        <v>44463</v>
      </c>
      <c r="L614" s="30" t="s">
        <v>2086</v>
      </c>
      <c r="M614" s="2" t="s">
        <v>24</v>
      </c>
      <c r="N614" s="2">
        <v>1265.72</v>
      </c>
      <c r="O614" s="2" t="s">
        <v>60</v>
      </c>
      <c r="P614" s="2" t="s">
        <v>192</v>
      </c>
      <c r="Q614" s="2" t="s">
        <v>27</v>
      </c>
      <c r="R614" s="2">
        <v>2</v>
      </c>
      <c r="S614" s="2">
        <v>60191.08</v>
      </c>
      <c r="T614" s="38" t="s">
        <v>2875</v>
      </c>
      <c r="U614" s="13"/>
    </row>
    <row r="615" spans="1:21" x14ac:dyDescent="0.3">
      <c r="A615" s="3" t="s">
        <v>1299</v>
      </c>
      <c r="B615" s="3" t="s">
        <v>1300</v>
      </c>
      <c r="C615" s="3">
        <v>34</v>
      </c>
      <c r="D615" s="3" t="s">
        <v>30</v>
      </c>
      <c r="E615" s="3">
        <v>90121</v>
      </c>
      <c r="F615" s="3">
        <v>200000</v>
      </c>
      <c r="G615" s="3">
        <v>240</v>
      </c>
      <c r="H615" s="3">
        <v>12.13</v>
      </c>
      <c r="I615" s="3" t="s">
        <v>31</v>
      </c>
      <c r="J615" s="3">
        <v>420</v>
      </c>
      <c r="K615" s="29">
        <v>44431</v>
      </c>
      <c r="L615" s="29" t="s">
        <v>1172</v>
      </c>
      <c r="M615" s="3" t="s">
        <v>33</v>
      </c>
      <c r="N615" s="3">
        <v>2220.33</v>
      </c>
      <c r="O615" s="3" t="s">
        <v>48</v>
      </c>
      <c r="P615" s="3" t="s">
        <v>86</v>
      </c>
      <c r="Q615" s="3" t="s">
        <v>42</v>
      </c>
      <c r="R615" s="3">
        <v>0</v>
      </c>
      <c r="S615" s="3">
        <v>60119.21</v>
      </c>
      <c r="T615" s="38" t="s">
        <v>2879</v>
      </c>
      <c r="U615" s="13"/>
    </row>
    <row r="616" spans="1:21" x14ac:dyDescent="0.3">
      <c r="A616" s="2" t="s">
        <v>1830</v>
      </c>
      <c r="B616" s="2" t="s">
        <v>1831</v>
      </c>
      <c r="C616" s="2">
        <v>63</v>
      </c>
      <c r="D616" s="2" t="s">
        <v>65</v>
      </c>
      <c r="E616" s="2">
        <v>119245</v>
      </c>
      <c r="F616" s="2">
        <v>1500000</v>
      </c>
      <c r="G616" s="2">
        <v>24</v>
      </c>
      <c r="H616" s="2">
        <v>15.02</v>
      </c>
      <c r="I616" s="2" t="s">
        <v>83</v>
      </c>
      <c r="J616" s="2">
        <v>733</v>
      </c>
      <c r="K616" s="30">
        <v>44815</v>
      </c>
      <c r="L616" s="30" t="s">
        <v>1521</v>
      </c>
      <c r="M616" s="2" t="s">
        <v>24</v>
      </c>
      <c r="N616" s="2">
        <v>72744.23</v>
      </c>
      <c r="O616" s="2" t="s">
        <v>105</v>
      </c>
      <c r="P616" s="2" t="s">
        <v>118</v>
      </c>
      <c r="Q616" s="2" t="s">
        <v>42</v>
      </c>
      <c r="R616" s="2">
        <v>1</v>
      </c>
      <c r="S616" s="2">
        <v>59664.25</v>
      </c>
      <c r="T616" s="38" t="s">
        <v>2871</v>
      </c>
      <c r="U616" s="13"/>
    </row>
    <row r="617" spans="1:21" x14ac:dyDescent="0.3">
      <c r="A617" s="3" t="s">
        <v>91</v>
      </c>
      <c r="B617" s="3" t="s">
        <v>92</v>
      </c>
      <c r="C617" s="3">
        <v>30</v>
      </c>
      <c r="D617" s="3" t="s">
        <v>65</v>
      </c>
      <c r="E617" s="3">
        <v>159127</v>
      </c>
      <c r="F617" s="3">
        <v>100000</v>
      </c>
      <c r="G617" s="3">
        <v>60</v>
      </c>
      <c r="H617" s="3">
        <v>15.15</v>
      </c>
      <c r="I617" s="3" t="s">
        <v>73</v>
      </c>
      <c r="J617" s="3">
        <v>516</v>
      </c>
      <c r="K617" s="29">
        <v>45014</v>
      </c>
      <c r="L617" s="29" t="s">
        <v>94</v>
      </c>
      <c r="M617" s="3" t="s">
        <v>24</v>
      </c>
      <c r="N617" s="3">
        <v>2386.87</v>
      </c>
      <c r="O617" s="3" t="s">
        <v>54</v>
      </c>
      <c r="P617" s="3" t="s">
        <v>2996</v>
      </c>
      <c r="Q617" s="3" t="s">
        <v>42</v>
      </c>
      <c r="R617" s="3">
        <v>2</v>
      </c>
      <c r="S617" s="3">
        <v>59184.52</v>
      </c>
      <c r="T617" s="38" t="s">
        <v>2879</v>
      </c>
      <c r="U617" s="13"/>
    </row>
    <row r="618" spans="1:21" x14ac:dyDescent="0.3">
      <c r="A618" s="3" t="s">
        <v>2075</v>
      </c>
      <c r="B618" s="3" t="s">
        <v>2076</v>
      </c>
      <c r="C618" s="3">
        <v>61</v>
      </c>
      <c r="D618" s="3" t="s">
        <v>72</v>
      </c>
      <c r="E618" s="3">
        <v>118108</v>
      </c>
      <c r="F618" s="3">
        <v>200000</v>
      </c>
      <c r="G618" s="3">
        <v>180</v>
      </c>
      <c r="H618" s="3">
        <v>14.65</v>
      </c>
      <c r="I618" s="3" t="s">
        <v>22</v>
      </c>
      <c r="J618" s="3">
        <v>682</v>
      </c>
      <c r="K618" s="29">
        <v>44294</v>
      </c>
      <c r="L618" s="29" t="s">
        <v>539</v>
      </c>
      <c r="M618" s="3" t="s">
        <v>24</v>
      </c>
      <c r="N618" s="3">
        <v>2751.39</v>
      </c>
      <c r="O618" s="3" t="s">
        <v>54</v>
      </c>
      <c r="P618" s="3" t="s">
        <v>304</v>
      </c>
      <c r="Q618" s="3" t="s">
        <v>35</v>
      </c>
      <c r="R618" s="3">
        <v>0</v>
      </c>
      <c r="S618" s="3">
        <v>58853.69</v>
      </c>
      <c r="T618" s="38" t="s">
        <v>2871</v>
      </c>
      <c r="U618" s="13"/>
    </row>
    <row r="619" spans="1:21" x14ac:dyDescent="0.3">
      <c r="A619" s="2" t="s">
        <v>1735</v>
      </c>
      <c r="B619" s="2" t="s">
        <v>694</v>
      </c>
      <c r="C619" s="2">
        <v>57</v>
      </c>
      <c r="D619" s="2" t="s">
        <v>72</v>
      </c>
      <c r="E619" s="2">
        <v>52329</v>
      </c>
      <c r="F619" s="2">
        <v>200000</v>
      </c>
      <c r="G619" s="2">
        <v>180</v>
      </c>
      <c r="H619" s="2">
        <v>10.32</v>
      </c>
      <c r="I619" s="2" t="s">
        <v>38</v>
      </c>
      <c r="J619" s="2">
        <v>344</v>
      </c>
      <c r="K619" s="30">
        <v>44553</v>
      </c>
      <c r="L619" s="30" t="s">
        <v>1068</v>
      </c>
      <c r="M619" s="2" t="s">
        <v>24</v>
      </c>
      <c r="N619" s="2">
        <v>2188.5300000000002</v>
      </c>
      <c r="O619" s="2" t="s">
        <v>25</v>
      </c>
      <c r="P619" s="2" t="s">
        <v>34</v>
      </c>
      <c r="Q619" s="2" t="s">
        <v>27</v>
      </c>
      <c r="R619" s="2">
        <v>0</v>
      </c>
      <c r="S619" s="2">
        <v>58183.26</v>
      </c>
      <c r="T619" s="38" t="s">
        <v>2879</v>
      </c>
      <c r="U619" s="13"/>
    </row>
    <row r="620" spans="1:21" x14ac:dyDescent="0.3">
      <c r="A620" s="2" t="s">
        <v>2433</v>
      </c>
      <c r="B620" s="2" t="s">
        <v>427</v>
      </c>
      <c r="C620" s="2">
        <v>31</v>
      </c>
      <c r="D620" s="2" t="s">
        <v>30</v>
      </c>
      <c r="E620" s="2">
        <v>187807</v>
      </c>
      <c r="F620" s="2">
        <v>75000</v>
      </c>
      <c r="G620" s="2">
        <v>24</v>
      </c>
      <c r="H620" s="2">
        <v>17.899999999999999</v>
      </c>
      <c r="I620" s="2" t="s">
        <v>66</v>
      </c>
      <c r="J620" s="2">
        <v>407</v>
      </c>
      <c r="K620" s="30">
        <v>44813</v>
      </c>
      <c r="L620" s="30" t="s">
        <v>2246</v>
      </c>
      <c r="M620" s="2" t="s">
        <v>24</v>
      </c>
      <c r="N620" s="2">
        <v>3740.68</v>
      </c>
      <c r="O620" s="2" t="s">
        <v>105</v>
      </c>
      <c r="P620" s="2" t="s">
        <v>159</v>
      </c>
      <c r="Q620" s="2" t="s">
        <v>27</v>
      </c>
      <c r="R620" s="2">
        <v>1</v>
      </c>
      <c r="S620" s="2">
        <v>58166.94</v>
      </c>
      <c r="T620" s="38" t="s">
        <v>2879</v>
      </c>
      <c r="U620" s="13"/>
    </row>
    <row r="621" spans="1:21" x14ac:dyDescent="0.3">
      <c r="A621" s="3" t="s">
        <v>2852</v>
      </c>
      <c r="B621" s="3" t="s">
        <v>940</v>
      </c>
      <c r="C621" s="3">
        <v>64</v>
      </c>
      <c r="D621" s="3" t="s">
        <v>21</v>
      </c>
      <c r="E621" s="3">
        <v>232653</v>
      </c>
      <c r="F621" s="3">
        <v>500000</v>
      </c>
      <c r="G621" s="3">
        <v>180</v>
      </c>
      <c r="H621" s="3">
        <v>8.8000000000000007</v>
      </c>
      <c r="I621" s="3" t="s">
        <v>66</v>
      </c>
      <c r="J621" s="3">
        <v>448</v>
      </c>
      <c r="K621" s="29">
        <v>44705</v>
      </c>
      <c r="L621" s="29" t="s">
        <v>2093</v>
      </c>
      <c r="M621" s="3" t="s">
        <v>24</v>
      </c>
      <c r="N621" s="3">
        <v>5012.0200000000004</v>
      </c>
      <c r="O621" s="3" t="s">
        <v>54</v>
      </c>
      <c r="P621" s="3" t="s">
        <v>183</v>
      </c>
      <c r="Q621" s="3" t="s">
        <v>42</v>
      </c>
      <c r="R621" s="3">
        <v>2</v>
      </c>
      <c r="S621" s="3">
        <v>57939.839999999997</v>
      </c>
      <c r="T621" s="38" t="s">
        <v>2879</v>
      </c>
      <c r="U621" s="13"/>
    </row>
    <row r="622" spans="1:21" x14ac:dyDescent="0.3">
      <c r="A622" s="3" t="s">
        <v>2327</v>
      </c>
      <c r="B622" s="3" t="s">
        <v>2195</v>
      </c>
      <c r="C622" s="3">
        <v>41</v>
      </c>
      <c r="D622" s="3" t="s">
        <v>72</v>
      </c>
      <c r="E622" s="3">
        <v>171179</v>
      </c>
      <c r="F622" s="3">
        <v>75000</v>
      </c>
      <c r="G622" s="3">
        <v>84</v>
      </c>
      <c r="H622" s="3">
        <v>18.11</v>
      </c>
      <c r="I622" s="3" t="s">
        <v>73</v>
      </c>
      <c r="J622" s="3">
        <v>554</v>
      </c>
      <c r="K622" s="29">
        <v>44455</v>
      </c>
      <c r="L622" s="29" t="s">
        <v>487</v>
      </c>
      <c r="M622" s="3"/>
      <c r="N622" s="3">
        <v>1581.18</v>
      </c>
      <c r="O622" s="3" t="s">
        <v>105</v>
      </c>
      <c r="P622" s="3" t="s">
        <v>114</v>
      </c>
      <c r="Q622" s="3" t="s">
        <v>42</v>
      </c>
      <c r="R622" s="3">
        <v>2</v>
      </c>
      <c r="S622" s="3">
        <v>57923.26</v>
      </c>
      <c r="T622" s="38" t="s">
        <v>2875</v>
      </c>
      <c r="U622" s="13"/>
    </row>
    <row r="623" spans="1:21" x14ac:dyDescent="0.3">
      <c r="A623" s="2" t="s">
        <v>1712</v>
      </c>
      <c r="B623" s="2" t="s">
        <v>1713</v>
      </c>
      <c r="C623" s="2">
        <v>36</v>
      </c>
      <c r="D623" s="2" t="s">
        <v>65</v>
      </c>
      <c r="E623" s="2">
        <v>34514</v>
      </c>
      <c r="F623" s="2">
        <v>150000</v>
      </c>
      <c r="G623" s="2">
        <v>48</v>
      </c>
      <c r="H623" s="2">
        <v>9.8800000000000008</v>
      </c>
      <c r="I623" s="2" t="s">
        <v>66</v>
      </c>
      <c r="J623" s="2">
        <v>364</v>
      </c>
      <c r="K623" s="30">
        <v>44246</v>
      </c>
      <c r="L623" s="30" t="s">
        <v>1714</v>
      </c>
      <c r="M623" s="2" t="s">
        <v>24</v>
      </c>
      <c r="N623" s="2">
        <v>3795.75</v>
      </c>
      <c r="O623" s="2" t="s">
        <v>25</v>
      </c>
      <c r="P623" s="2" t="s">
        <v>26</v>
      </c>
      <c r="Q623" s="2" t="s">
        <v>100</v>
      </c>
      <c r="R623" s="2">
        <v>7</v>
      </c>
      <c r="S623" s="2">
        <v>57763.27</v>
      </c>
      <c r="T623" s="38" t="s">
        <v>2879</v>
      </c>
      <c r="U623" s="13"/>
    </row>
    <row r="624" spans="1:21" x14ac:dyDescent="0.3">
      <c r="A624" s="3" t="s">
        <v>2341</v>
      </c>
      <c r="B624" s="3" t="s">
        <v>2342</v>
      </c>
      <c r="C624" s="3">
        <v>29</v>
      </c>
      <c r="D624" s="3" t="s">
        <v>45</v>
      </c>
      <c r="E624" s="3">
        <v>90851</v>
      </c>
      <c r="F624" s="3">
        <v>100000</v>
      </c>
      <c r="G624" s="3">
        <v>36</v>
      </c>
      <c r="H624" s="3">
        <v>18.62</v>
      </c>
      <c r="I624" s="3" t="s">
        <v>73</v>
      </c>
      <c r="J624" s="3">
        <v>863</v>
      </c>
      <c r="K624" s="29">
        <v>45053</v>
      </c>
      <c r="L624" s="29" t="s">
        <v>260</v>
      </c>
      <c r="M624" s="3" t="s">
        <v>24</v>
      </c>
      <c r="N624" s="3">
        <v>3646.42</v>
      </c>
      <c r="O624" s="3" t="s">
        <v>60</v>
      </c>
      <c r="P624" s="3" t="s">
        <v>61</v>
      </c>
      <c r="Q624" s="3" t="s">
        <v>35</v>
      </c>
      <c r="R624" s="3">
        <v>12</v>
      </c>
      <c r="S624" s="3">
        <v>57336.89</v>
      </c>
      <c r="T624" s="38" t="s">
        <v>2867</v>
      </c>
      <c r="U624" s="13"/>
    </row>
    <row r="625" spans="1:21" x14ac:dyDescent="0.3">
      <c r="A625" s="2" t="s">
        <v>2596</v>
      </c>
      <c r="B625" s="2" t="s">
        <v>2597</v>
      </c>
      <c r="C625" s="2">
        <v>47</v>
      </c>
      <c r="D625" s="2" t="s">
        <v>45</v>
      </c>
      <c r="E625" s="2">
        <v>31292</v>
      </c>
      <c r="F625" s="2">
        <v>500000</v>
      </c>
      <c r="G625" s="2">
        <v>120</v>
      </c>
      <c r="H625" s="2">
        <v>16.809999999999999</v>
      </c>
      <c r="I625" s="2" t="s">
        <v>73</v>
      </c>
      <c r="J625" s="2">
        <v>458</v>
      </c>
      <c r="K625" s="30">
        <v>44522</v>
      </c>
      <c r="L625" s="30" t="s">
        <v>1983</v>
      </c>
      <c r="M625" s="2" t="s">
        <v>24</v>
      </c>
      <c r="N625" s="2">
        <v>8629.7800000000007</v>
      </c>
      <c r="O625" s="2" t="s">
        <v>54</v>
      </c>
      <c r="P625" s="2" t="s">
        <v>304</v>
      </c>
      <c r="Q625" s="2" t="s">
        <v>42</v>
      </c>
      <c r="R625" s="2">
        <v>0</v>
      </c>
      <c r="S625" s="2">
        <v>57292.29</v>
      </c>
      <c r="T625" s="38" t="s">
        <v>2879</v>
      </c>
      <c r="U625" s="13"/>
    </row>
    <row r="626" spans="1:21" x14ac:dyDescent="0.3">
      <c r="A626" s="2" t="s">
        <v>2352</v>
      </c>
      <c r="B626" s="2" t="s">
        <v>2353</v>
      </c>
      <c r="C626" s="2">
        <v>42</v>
      </c>
      <c r="D626" s="2" t="s">
        <v>30</v>
      </c>
      <c r="E626" s="2">
        <v>91803</v>
      </c>
      <c r="F626" s="2">
        <v>75000</v>
      </c>
      <c r="G626" s="2">
        <v>12</v>
      </c>
      <c r="H626" s="2">
        <v>10.5</v>
      </c>
      <c r="I626" s="2" t="s">
        <v>31</v>
      </c>
      <c r="J626" s="2">
        <v>770</v>
      </c>
      <c r="K626" s="30">
        <v>44559</v>
      </c>
      <c r="L626" s="30" t="s">
        <v>1487</v>
      </c>
      <c r="M626" s="2" t="s">
        <v>24</v>
      </c>
      <c r="N626" s="2">
        <v>6611.15</v>
      </c>
      <c r="O626" s="2" t="s">
        <v>105</v>
      </c>
      <c r="P626" s="2" t="s">
        <v>2999</v>
      </c>
      <c r="Q626" s="2" t="s">
        <v>42</v>
      </c>
      <c r="R626" s="2">
        <v>1</v>
      </c>
      <c r="S626" s="2">
        <v>57149.9</v>
      </c>
      <c r="T626" s="38" t="s">
        <v>2867</v>
      </c>
      <c r="U626" s="13"/>
    </row>
    <row r="627" spans="1:21" x14ac:dyDescent="0.3">
      <c r="A627" s="3" t="s">
        <v>2660</v>
      </c>
      <c r="B627" s="3" t="s">
        <v>2661</v>
      </c>
      <c r="C627" s="3">
        <v>38</v>
      </c>
      <c r="D627" s="3" t="s">
        <v>21</v>
      </c>
      <c r="E627" s="3">
        <v>86106</v>
      </c>
      <c r="F627" s="3">
        <v>200000</v>
      </c>
      <c r="G627" s="3">
        <v>240</v>
      </c>
      <c r="H627" s="3">
        <v>10.8</v>
      </c>
      <c r="I627" s="3" t="s">
        <v>38</v>
      </c>
      <c r="J627" s="3">
        <v>545</v>
      </c>
      <c r="K627" s="29">
        <v>44589</v>
      </c>
      <c r="L627" s="29" t="s">
        <v>268</v>
      </c>
      <c r="M627" s="3" t="s">
        <v>24</v>
      </c>
      <c r="N627" s="3">
        <v>2037.22</v>
      </c>
      <c r="O627" s="3" t="s">
        <v>54</v>
      </c>
      <c r="P627" s="3" t="s">
        <v>2996</v>
      </c>
      <c r="Q627" s="3" t="s">
        <v>42</v>
      </c>
      <c r="R627" s="3">
        <v>1</v>
      </c>
      <c r="S627" s="3">
        <v>56987.16</v>
      </c>
      <c r="T627" s="38" t="s">
        <v>2879</v>
      </c>
      <c r="U627" s="13"/>
    </row>
    <row r="628" spans="1:21" x14ac:dyDescent="0.3">
      <c r="A628" s="3" t="s">
        <v>1580</v>
      </c>
      <c r="B628" s="3" t="s">
        <v>1581</v>
      </c>
      <c r="C628" s="3">
        <v>32</v>
      </c>
      <c r="D628" s="3" t="s">
        <v>65</v>
      </c>
      <c r="E628" s="3">
        <v>129407</v>
      </c>
      <c r="F628" s="3">
        <v>75000</v>
      </c>
      <c r="G628" s="3">
        <v>180</v>
      </c>
      <c r="H628" s="3">
        <v>8.09</v>
      </c>
      <c r="I628" s="3" t="s">
        <v>38</v>
      </c>
      <c r="J628" s="3">
        <v>874</v>
      </c>
      <c r="K628" s="29">
        <v>44500</v>
      </c>
      <c r="L628" s="29" t="s">
        <v>1582</v>
      </c>
      <c r="M628" s="3" t="s">
        <v>33</v>
      </c>
      <c r="N628" s="3">
        <v>720.64</v>
      </c>
      <c r="O628" s="3" t="s">
        <v>60</v>
      </c>
      <c r="P628" s="3" t="s">
        <v>2997</v>
      </c>
      <c r="Q628" s="3" t="s">
        <v>35</v>
      </c>
      <c r="R628" s="3">
        <v>7</v>
      </c>
      <c r="S628" s="3">
        <v>56839.87</v>
      </c>
      <c r="T628" s="38" t="s">
        <v>2867</v>
      </c>
      <c r="U628" s="13"/>
    </row>
    <row r="629" spans="1:21" x14ac:dyDescent="0.3">
      <c r="A629" s="3" t="s">
        <v>2651</v>
      </c>
      <c r="B629" s="3" t="s">
        <v>2601</v>
      </c>
      <c r="C629" s="3">
        <v>37</v>
      </c>
      <c r="D629" s="3" t="s">
        <v>65</v>
      </c>
      <c r="E629" s="3">
        <v>225036</v>
      </c>
      <c r="F629" s="3">
        <v>150000</v>
      </c>
      <c r="G629" s="3">
        <v>48</v>
      </c>
      <c r="H629" s="3">
        <v>17.13</v>
      </c>
      <c r="I629" s="3" t="s">
        <v>31</v>
      </c>
      <c r="J629" s="3">
        <v>790</v>
      </c>
      <c r="K629" s="29">
        <v>44342</v>
      </c>
      <c r="L629" s="29" t="s">
        <v>1686</v>
      </c>
      <c r="M629" s="3" t="s">
        <v>24</v>
      </c>
      <c r="N629" s="3">
        <v>4338.3500000000004</v>
      </c>
      <c r="O629" s="3" t="s">
        <v>105</v>
      </c>
      <c r="P629" s="3" t="s">
        <v>114</v>
      </c>
      <c r="Q629" s="3" t="s">
        <v>27</v>
      </c>
      <c r="R629" s="3">
        <v>0</v>
      </c>
      <c r="S629" s="3">
        <v>56291.64</v>
      </c>
      <c r="T629" s="38" t="s">
        <v>2867</v>
      </c>
      <c r="U629" s="13"/>
    </row>
    <row r="630" spans="1:21" x14ac:dyDescent="0.3">
      <c r="A630" s="3" t="s">
        <v>2664</v>
      </c>
      <c r="B630" s="3" t="s">
        <v>1951</v>
      </c>
      <c r="C630" s="3">
        <v>29</v>
      </c>
      <c r="D630" s="3" t="s">
        <v>21</v>
      </c>
      <c r="E630" s="3">
        <v>182403</v>
      </c>
      <c r="F630" s="3">
        <v>150000</v>
      </c>
      <c r="G630" s="3">
        <v>48</v>
      </c>
      <c r="H630" s="3">
        <v>16.170000000000002</v>
      </c>
      <c r="I630" s="3" t="s">
        <v>38</v>
      </c>
      <c r="J630" s="3">
        <v>487</v>
      </c>
      <c r="K630" s="29">
        <v>45188</v>
      </c>
      <c r="L630" s="29" t="s">
        <v>1292</v>
      </c>
      <c r="M630" s="3" t="s">
        <v>24</v>
      </c>
      <c r="N630" s="3">
        <v>4264.1099999999997</v>
      </c>
      <c r="O630" s="3" t="s">
        <v>60</v>
      </c>
      <c r="P630" s="3" t="s">
        <v>61</v>
      </c>
      <c r="Q630" s="3" t="s">
        <v>42</v>
      </c>
      <c r="R630" s="3">
        <v>0</v>
      </c>
      <c r="S630" s="3">
        <v>54057.53</v>
      </c>
      <c r="T630" s="38" t="s">
        <v>2879</v>
      </c>
      <c r="U630" s="13"/>
    </row>
    <row r="631" spans="1:21" x14ac:dyDescent="0.3">
      <c r="A631" s="3" t="s">
        <v>2687</v>
      </c>
      <c r="B631" s="3" t="s">
        <v>1423</v>
      </c>
      <c r="C631" s="3">
        <v>31</v>
      </c>
      <c r="D631" s="3" t="s">
        <v>45</v>
      </c>
      <c r="E631" s="3">
        <v>63970</v>
      </c>
      <c r="F631" s="3">
        <v>150000</v>
      </c>
      <c r="G631" s="3">
        <v>12</v>
      </c>
      <c r="H631" s="3">
        <v>12.22</v>
      </c>
      <c r="I631" s="3" t="s">
        <v>251</v>
      </c>
      <c r="J631" s="3">
        <v>578</v>
      </c>
      <c r="K631" s="29">
        <v>44313</v>
      </c>
      <c r="L631" s="29" t="s">
        <v>1771</v>
      </c>
      <c r="M631" s="3" t="s">
        <v>24</v>
      </c>
      <c r="N631" s="3">
        <v>13342.76</v>
      </c>
      <c r="O631" s="3" t="s">
        <v>54</v>
      </c>
      <c r="P631" s="3" t="s">
        <v>304</v>
      </c>
      <c r="Q631" s="3" t="s">
        <v>42</v>
      </c>
      <c r="R631" s="3">
        <v>2</v>
      </c>
      <c r="S631" s="3">
        <v>53932.13</v>
      </c>
      <c r="T631" s="38" t="s">
        <v>2875</v>
      </c>
      <c r="U631" s="13"/>
    </row>
    <row r="632" spans="1:21" x14ac:dyDescent="0.3">
      <c r="A632" s="2" t="s">
        <v>1063</v>
      </c>
      <c r="B632" s="2" t="s">
        <v>1064</v>
      </c>
      <c r="C632" s="2">
        <v>22</v>
      </c>
      <c r="D632" s="2" t="s">
        <v>45</v>
      </c>
      <c r="E632" s="2">
        <v>151980</v>
      </c>
      <c r="F632" s="2">
        <v>75000</v>
      </c>
      <c r="G632" s="2">
        <v>240</v>
      </c>
      <c r="H632" s="2">
        <v>7.6</v>
      </c>
      <c r="I632" s="2" t="s">
        <v>83</v>
      </c>
      <c r="J632" s="2">
        <v>623</v>
      </c>
      <c r="K632" s="30">
        <v>45069</v>
      </c>
      <c r="L632" s="30" t="s">
        <v>656</v>
      </c>
      <c r="M632" s="2" t="s">
        <v>24</v>
      </c>
      <c r="N632" s="2">
        <v>608.79</v>
      </c>
      <c r="O632" s="2" t="s">
        <v>60</v>
      </c>
      <c r="P632" s="2" t="s">
        <v>61</v>
      </c>
      <c r="Q632" s="2" t="s">
        <v>42</v>
      </c>
      <c r="R632" s="2">
        <v>0</v>
      </c>
      <c r="S632" s="2">
        <v>53631.47</v>
      </c>
      <c r="T632" s="38" t="s">
        <v>2875</v>
      </c>
      <c r="U632" s="13"/>
    </row>
    <row r="633" spans="1:21" x14ac:dyDescent="0.3">
      <c r="A633" s="2" t="s">
        <v>2257</v>
      </c>
      <c r="B633" s="2" t="s">
        <v>2258</v>
      </c>
      <c r="C633" s="2">
        <v>28</v>
      </c>
      <c r="D633" s="2" t="s">
        <v>65</v>
      </c>
      <c r="E633" s="2">
        <v>198305</v>
      </c>
      <c r="F633" s="2">
        <v>75000</v>
      </c>
      <c r="G633" s="2">
        <v>120</v>
      </c>
      <c r="H633" s="2">
        <v>9.35</v>
      </c>
      <c r="I633" s="2" t="s">
        <v>46</v>
      </c>
      <c r="J633" s="2">
        <v>465</v>
      </c>
      <c r="K633" s="30">
        <v>45093</v>
      </c>
      <c r="L633" s="30" t="s">
        <v>1667</v>
      </c>
      <c r="M633" s="2" t="s">
        <v>24</v>
      </c>
      <c r="N633" s="2">
        <v>964.33</v>
      </c>
      <c r="O633" s="2" t="s">
        <v>54</v>
      </c>
      <c r="P633" s="2" t="s">
        <v>304</v>
      </c>
      <c r="Q633" s="2" t="s">
        <v>42</v>
      </c>
      <c r="R633" s="2">
        <v>0</v>
      </c>
      <c r="S633" s="2">
        <v>53302.57</v>
      </c>
      <c r="T633" s="38" t="s">
        <v>2879</v>
      </c>
      <c r="U633" s="13"/>
    </row>
    <row r="634" spans="1:21" x14ac:dyDescent="0.3">
      <c r="A634" s="3" t="s">
        <v>2795</v>
      </c>
      <c r="B634" s="3" t="s">
        <v>1879</v>
      </c>
      <c r="C634" s="3">
        <v>65</v>
      </c>
      <c r="D634" s="3" t="s">
        <v>65</v>
      </c>
      <c r="E634" s="3">
        <v>43449</v>
      </c>
      <c r="F634" s="3">
        <v>75000</v>
      </c>
      <c r="G634" s="3">
        <v>36</v>
      </c>
      <c r="H634" s="3">
        <v>10.57</v>
      </c>
      <c r="I634" s="3" t="s">
        <v>251</v>
      </c>
      <c r="J634" s="3">
        <v>725</v>
      </c>
      <c r="K634" s="29">
        <v>44742</v>
      </c>
      <c r="L634" s="29" t="s">
        <v>373</v>
      </c>
      <c r="M634" s="3" t="s">
        <v>24</v>
      </c>
      <c r="N634" s="3">
        <v>2440.16</v>
      </c>
      <c r="O634" s="3" t="s">
        <v>25</v>
      </c>
      <c r="P634" s="3" t="s">
        <v>2998</v>
      </c>
      <c r="Q634" s="3" t="s">
        <v>42</v>
      </c>
      <c r="R634" s="3">
        <v>0</v>
      </c>
      <c r="S634" s="3">
        <v>53038.559999999998</v>
      </c>
      <c r="T634" s="38" t="s">
        <v>2871</v>
      </c>
      <c r="U634" s="13"/>
    </row>
    <row r="635" spans="1:21" x14ac:dyDescent="0.3">
      <c r="A635" s="3" t="s">
        <v>1161</v>
      </c>
      <c r="B635" s="3" t="s">
        <v>1162</v>
      </c>
      <c r="C635" s="3">
        <v>24</v>
      </c>
      <c r="D635" s="3" t="s">
        <v>65</v>
      </c>
      <c r="E635" s="3">
        <v>200237</v>
      </c>
      <c r="F635" s="3">
        <v>400000</v>
      </c>
      <c r="G635" s="3">
        <v>240</v>
      </c>
      <c r="H635" s="3">
        <v>11.77</v>
      </c>
      <c r="I635" s="3" t="s">
        <v>31</v>
      </c>
      <c r="J635" s="3">
        <v>494</v>
      </c>
      <c r="K635" s="29">
        <v>44859</v>
      </c>
      <c r="L635" s="29" t="s">
        <v>1164</v>
      </c>
      <c r="M635" s="3" t="s">
        <v>33</v>
      </c>
      <c r="N635" s="3">
        <v>4340.37</v>
      </c>
      <c r="O635" s="3" t="s">
        <v>54</v>
      </c>
      <c r="P635" s="3" t="s">
        <v>2996</v>
      </c>
      <c r="Q635" s="3" t="s">
        <v>35</v>
      </c>
      <c r="R635" s="3">
        <v>8</v>
      </c>
      <c r="S635" s="3">
        <v>52336.36</v>
      </c>
      <c r="T635" s="38" t="s">
        <v>2879</v>
      </c>
      <c r="U635" s="13"/>
    </row>
    <row r="636" spans="1:21" x14ac:dyDescent="0.3">
      <c r="A636" s="2" t="s">
        <v>2199</v>
      </c>
      <c r="B636" s="2" t="s">
        <v>2200</v>
      </c>
      <c r="C636" s="2">
        <v>56</v>
      </c>
      <c r="D636" s="2" t="s">
        <v>30</v>
      </c>
      <c r="E636" s="2">
        <v>218541</v>
      </c>
      <c r="F636" s="2">
        <v>300000</v>
      </c>
      <c r="G636" s="2">
        <v>36</v>
      </c>
      <c r="H636" s="2">
        <v>16.28</v>
      </c>
      <c r="I636" s="2" t="s">
        <v>66</v>
      </c>
      <c r="J636" s="2">
        <v>649</v>
      </c>
      <c r="K636" s="30">
        <v>45059</v>
      </c>
      <c r="L636" s="30" t="s">
        <v>2201</v>
      </c>
      <c r="M636" s="2" t="s">
        <v>24</v>
      </c>
      <c r="N636" s="2">
        <v>10588.63</v>
      </c>
      <c r="O636" s="2" t="s">
        <v>48</v>
      </c>
      <c r="P636" s="2" t="s">
        <v>49</v>
      </c>
      <c r="Q636" s="2" t="s">
        <v>42</v>
      </c>
      <c r="R636" s="2">
        <v>0</v>
      </c>
      <c r="S636" s="2">
        <v>52226.06</v>
      </c>
      <c r="T636" s="38" t="s">
        <v>2875</v>
      </c>
      <c r="U636" s="13"/>
    </row>
    <row r="637" spans="1:21" x14ac:dyDescent="0.3">
      <c r="A637" s="2" t="s">
        <v>496</v>
      </c>
      <c r="B637" s="2" t="s">
        <v>497</v>
      </c>
      <c r="C637" s="2">
        <v>55</v>
      </c>
      <c r="D637" s="2" t="s">
        <v>30</v>
      </c>
      <c r="E637" s="2">
        <v>94724</v>
      </c>
      <c r="F637" s="2">
        <v>100000</v>
      </c>
      <c r="G637" s="2">
        <v>36</v>
      </c>
      <c r="H637" s="2">
        <v>12.18</v>
      </c>
      <c r="I637" s="2" t="s">
        <v>83</v>
      </c>
      <c r="J637" s="2">
        <v>654</v>
      </c>
      <c r="K637" s="30">
        <v>44599</v>
      </c>
      <c r="L637" s="30" t="s">
        <v>499</v>
      </c>
      <c r="M637" s="2" t="s">
        <v>33</v>
      </c>
      <c r="N637" s="2">
        <v>3330.03</v>
      </c>
      <c r="O637" s="2" t="s">
        <v>54</v>
      </c>
      <c r="P637" s="2" t="s">
        <v>183</v>
      </c>
      <c r="Q637" s="2" t="s">
        <v>42</v>
      </c>
      <c r="R637" s="2">
        <v>0</v>
      </c>
      <c r="S637" s="2">
        <v>52047.57</v>
      </c>
      <c r="T637" s="38" t="s">
        <v>2871</v>
      </c>
      <c r="U637" s="13"/>
    </row>
    <row r="638" spans="1:21" x14ac:dyDescent="0.3">
      <c r="A638" s="3" t="s">
        <v>665</v>
      </c>
      <c r="B638" s="3" t="s">
        <v>613</v>
      </c>
      <c r="C638" s="3">
        <v>28</v>
      </c>
      <c r="D638" s="3" t="s">
        <v>72</v>
      </c>
      <c r="E638" s="3">
        <v>38493</v>
      </c>
      <c r="F638" s="3">
        <v>250000</v>
      </c>
      <c r="G638" s="3">
        <v>240</v>
      </c>
      <c r="H638" s="3">
        <v>8.85</v>
      </c>
      <c r="I638" s="3" t="s">
        <v>38</v>
      </c>
      <c r="J638" s="3">
        <v>694</v>
      </c>
      <c r="K638" s="29">
        <v>44370</v>
      </c>
      <c r="L638" s="29" t="s">
        <v>667</v>
      </c>
      <c r="M638" s="3" t="s">
        <v>24</v>
      </c>
      <c r="N638" s="3">
        <v>2225.25</v>
      </c>
      <c r="O638" s="3" t="s">
        <v>25</v>
      </c>
      <c r="P638" s="3" t="s">
        <v>151</v>
      </c>
      <c r="Q638" s="3" t="s">
        <v>35</v>
      </c>
      <c r="R638" s="3">
        <v>6</v>
      </c>
      <c r="S638" s="3">
        <v>51730.23</v>
      </c>
      <c r="T638" s="38" t="s">
        <v>2871</v>
      </c>
      <c r="U638" s="13"/>
    </row>
    <row r="639" spans="1:21" x14ac:dyDescent="0.3">
      <c r="A639" s="2" t="s">
        <v>1462</v>
      </c>
      <c r="B639" s="2" t="s">
        <v>1463</v>
      </c>
      <c r="C639" s="2">
        <v>62</v>
      </c>
      <c r="D639" s="2" t="s">
        <v>65</v>
      </c>
      <c r="E639" s="2">
        <v>196992</v>
      </c>
      <c r="F639" s="2">
        <v>75000</v>
      </c>
      <c r="G639" s="2">
        <v>84</v>
      </c>
      <c r="H639" s="2">
        <v>14.93</v>
      </c>
      <c r="I639" s="2" t="s">
        <v>46</v>
      </c>
      <c r="J639" s="2">
        <v>565</v>
      </c>
      <c r="K639" s="30">
        <v>44851</v>
      </c>
      <c r="L639" s="30" t="s">
        <v>1464</v>
      </c>
      <c r="M639" s="2" t="s">
        <v>24</v>
      </c>
      <c r="N639" s="2">
        <v>1444.31</v>
      </c>
      <c r="O639" s="2" t="s">
        <v>105</v>
      </c>
      <c r="P639" s="2" t="s">
        <v>2999</v>
      </c>
      <c r="Q639" s="2" t="s">
        <v>27</v>
      </c>
      <c r="R639" s="2">
        <v>0</v>
      </c>
      <c r="S639" s="2">
        <v>51602.18</v>
      </c>
      <c r="T639" s="38" t="s">
        <v>2875</v>
      </c>
      <c r="U639" s="13"/>
    </row>
    <row r="640" spans="1:21" x14ac:dyDescent="0.3">
      <c r="A640" s="3" t="s">
        <v>2357</v>
      </c>
      <c r="B640" s="3" t="s">
        <v>2358</v>
      </c>
      <c r="C640" s="3">
        <v>49</v>
      </c>
      <c r="D640" s="3" t="s">
        <v>72</v>
      </c>
      <c r="E640" s="3">
        <v>42164</v>
      </c>
      <c r="F640" s="3">
        <v>100000</v>
      </c>
      <c r="G640" s="3">
        <v>60</v>
      </c>
      <c r="H640" s="3">
        <v>18.489999999999998</v>
      </c>
      <c r="I640" s="3" t="s">
        <v>22</v>
      </c>
      <c r="J640" s="3">
        <v>473</v>
      </c>
      <c r="K640" s="29">
        <v>44487</v>
      </c>
      <c r="L640" s="29" t="s">
        <v>479</v>
      </c>
      <c r="M640" s="3" t="s">
        <v>24</v>
      </c>
      <c r="N640" s="3">
        <v>2566.0700000000002</v>
      </c>
      <c r="O640" s="3" t="s">
        <v>48</v>
      </c>
      <c r="P640" s="3" t="s">
        <v>80</v>
      </c>
      <c r="Q640" s="3" t="s">
        <v>42</v>
      </c>
      <c r="R640" s="3">
        <v>2</v>
      </c>
      <c r="S640" s="3">
        <v>51501.279999999999</v>
      </c>
      <c r="T640" s="38" t="s">
        <v>2879</v>
      </c>
      <c r="U640" s="13"/>
    </row>
    <row r="641" spans="1:21" x14ac:dyDescent="0.3">
      <c r="A641" s="3" t="s">
        <v>2295</v>
      </c>
      <c r="B641" s="3" t="s">
        <v>1744</v>
      </c>
      <c r="C641" s="3">
        <v>58</v>
      </c>
      <c r="D641" s="3" t="s">
        <v>21</v>
      </c>
      <c r="E641" s="3">
        <v>123523</v>
      </c>
      <c r="F641" s="3">
        <v>150000</v>
      </c>
      <c r="G641" s="3">
        <v>48</v>
      </c>
      <c r="H641" s="3">
        <v>11.46</v>
      </c>
      <c r="I641" s="3" t="s">
        <v>83</v>
      </c>
      <c r="J641" s="3">
        <v>481</v>
      </c>
      <c r="K641" s="29">
        <v>44738</v>
      </c>
      <c r="L641" s="29" t="s">
        <v>2288</v>
      </c>
      <c r="M641" s="3" t="s">
        <v>24</v>
      </c>
      <c r="N641" s="3">
        <v>3910.42</v>
      </c>
      <c r="O641" s="3" t="s">
        <v>48</v>
      </c>
      <c r="P641" s="3" t="s">
        <v>199</v>
      </c>
      <c r="Q641" s="3" t="s">
        <v>35</v>
      </c>
      <c r="R641" s="3">
        <v>11</v>
      </c>
      <c r="S641" s="3">
        <v>51457.42</v>
      </c>
      <c r="T641" s="38" t="s">
        <v>2879</v>
      </c>
      <c r="U641" s="13"/>
    </row>
    <row r="642" spans="1:21" x14ac:dyDescent="0.3">
      <c r="A642" s="3" t="s">
        <v>1178</v>
      </c>
      <c r="B642" s="3" t="s">
        <v>1179</v>
      </c>
      <c r="C642" s="3">
        <v>26</v>
      </c>
      <c r="D642" s="3" t="s">
        <v>30</v>
      </c>
      <c r="E642" s="3">
        <v>151179</v>
      </c>
      <c r="F642" s="3">
        <v>75000</v>
      </c>
      <c r="G642" s="3">
        <v>24</v>
      </c>
      <c r="H642" s="3">
        <v>18.010000000000002</v>
      </c>
      <c r="I642" s="3" t="s">
        <v>73</v>
      </c>
      <c r="J642" s="3">
        <v>494</v>
      </c>
      <c r="K642" s="29">
        <v>44563</v>
      </c>
      <c r="L642" s="29" t="s">
        <v>1180</v>
      </c>
      <c r="M642" s="3" t="s">
        <v>24</v>
      </c>
      <c r="N642" s="3">
        <v>3744.67</v>
      </c>
      <c r="O642" s="3" t="s">
        <v>105</v>
      </c>
      <c r="P642" s="3" t="s">
        <v>2999</v>
      </c>
      <c r="Q642" s="3" t="s">
        <v>100</v>
      </c>
      <c r="R642" s="3">
        <v>10</v>
      </c>
      <c r="S642" s="3">
        <v>51408.58</v>
      </c>
      <c r="T642" s="38" t="s">
        <v>2879</v>
      </c>
      <c r="U642" s="13"/>
    </row>
    <row r="643" spans="1:21" x14ac:dyDescent="0.3">
      <c r="A643" s="3" t="s">
        <v>2517</v>
      </c>
      <c r="B643" s="3" t="s">
        <v>1373</v>
      </c>
      <c r="C643" s="3">
        <v>28</v>
      </c>
      <c r="D643" s="3" t="s">
        <v>72</v>
      </c>
      <c r="E643" s="3">
        <v>118522</v>
      </c>
      <c r="F643" s="3">
        <v>150000</v>
      </c>
      <c r="G643" s="3">
        <v>24</v>
      </c>
      <c r="H643" s="3">
        <v>15.54</v>
      </c>
      <c r="I643" s="3" t="s">
        <v>31</v>
      </c>
      <c r="J643" s="3">
        <v>505</v>
      </c>
      <c r="K643" s="29">
        <v>45177</v>
      </c>
      <c r="L643" s="29" t="s">
        <v>2283</v>
      </c>
      <c r="M643" s="3" t="s">
        <v>24</v>
      </c>
      <c r="N643" s="3">
        <v>7311.54</v>
      </c>
      <c r="O643" s="3" t="s">
        <v>105</v>
      </c>
      <c r="P643" s="3" t="s">
        <v>2999</v>
      </c>
      <c r="Q643" s="3" t="s">
        <v>27</v>
      </c>
      <c r="R643" s="3">
        <v>0</v>
      </c>
      <c r="S643" s="3">
        <v>51294.21</v>
      </c>
      <c r="T643" s="38" t="s">
        <v>2879</v>
      </c>
      <c r="U643" s="13"/>
    </row>
    <row r="644" spans="1:21" x14ac:dyDescent="0.3">
      <c r="A644" s="2" t="s">
        <v>50</v>
      </c>
      <c r="B644" s="2" t="s">
        <v>51</v>
      </c>
      <c r="C644" s="2">
        <v>32</v>
      </c>
      <c r="D644" s="2" t="s">
        <v>21</v>
      </c>
      <c r="E644" s="2">
        <v>108132</v>
      </c>
      <c r="F644" s="2">
        <v>150000</v>
      </c>
      <c r="G644" s="2">
        <v>60</v>
      </c>
      <c r="H644" s="2">
        <v>17.68</v>
      </c>
      <c r="I644" s="2" t="s">
        <v>22</v>
      </c>
      <c r="J644" s="2">
        <v>475</v>
      </c>
      <c r="K644" s="30">
        <v>44974</v>
      </c>
      <c r="L644" s="30" t="s">
        <v>53</v>
      </c>
      <c r="M644" s="2" t="s">
        <v>24</v>
      </c>
      <c r="N644" s="2">
        <v>3782.95</v>
      </c>
      <c r="O644" s="2" t="s">
        <v>54</v>
      </c>
      <c r="P644" s="2" t="s">
        <v>2996</v>
      </c>
      <c r="Q644" s="2" t="s">
        <v>35</v>
      </c>
      <c r="R644" s="2">
        <v>2</v>
      </c>
      <c r="S644" s="2">
        <v>51265.01</v>
      </c>
      <c r="T644" s="38" t="s">
        <v>2879</v>
      </c>
      <c r="U644" s="13"/>
    </row>
    <row r="645" spans="1:21" x14ac:dyDescent="0.3">
      <c r="A645" s="3" t="s">
        <v>2630</v>
      </c>
      <c r="B645" s="3" t="s">
        <v>2631</v>
      </c>
      <c r="C645" s="3">
        <v>40</v>
      </c>
      <c r="D645" s="3" t="s">
        <v>72</v>
      </c>
      <c r="E645" s="3">
        <v>69286</v>
      </c>
      <c r="F645" s="3">
        <v>100000</v>
      </c>
      <c r="G645" s="3">
        <v>24</v>
      </c>
      <c r="H645" s="3">
        <v>8.4700000000000006</v>
      </c>
      <c r="I645" s="3" t="s">
        <v>31</v>
      </c>
      <c r="J645" s="3">
        <v>421</v>
      </c>
      <c r="K645" s="29">
        <v>44218</v>
      </c>
      <c r="L645" s="29" t="s">
        <v>2632</v>
      </c>
      <c r="M645" s="3" t="s">
        <v>24</v>
      </c>
      <c r="N645" s="3">
        <v>4544.2</v>
      </c>
      <c r="O645" s="3" t="s">
        <v>60</v>
      </c>
      <c r="P645" s="3" t="s">
        <v>61</v>
      </c>
      <c r="Q645" s="3" t="s">
        <v>42</v>
      </c>
      <c r="R645" s="3">
        <v>2</v>
      </c>
      <c r="S645" s="3">
        <v>50922.64</v>
      </c>
      <c r="T645" s="38" t="s">
        <v>2879</v>
      </c>
      <c r="U645" s="13"/>
    </row>
    <row r="646" spans="1:21" x14ac:dyDescent="0.3">
      <c r="A646" s="2" t="s">
        <v>131</v>
      </c>
      <c r="B646" s="2" t="s">
        <v>132</v>
      </c>
      <c r="C646" s="2">
        <v>51</v>
      </c>
      <c r="D646" s="2" t="s">
        <v>21</v>
      </c>
      <c r="E646" s="2">
        <v>212096</v>
      </c>
      <c r="F646" s="2">
        <v>75000</v>
      </c>
      <c r="G646" s="2">
        <v>12</v>
      </c>
      <c r="H646" s="2">
        <v>14.15</v>
      </c>
      <c r="I646" s="2" t="s">
        <v>22</v>
      </c>
      <c r="J646" s="2">
        <v>375</v>
      </c>
      <c r="K646" s="30">
        <v>44468</v>
      </c>
      <c r="L646" s="30" t="s">
        <v>134</v>
      </c>
      <c r="M646" s="2" t="s">
        <v>24</v>
      </c>
      <c r="N646" s="2">
        <v>6739.33</v>
      </c>
      <c r="O646" s="2" t="s">
        <v>54</v>
      </c>
      <c r="P646" s="2" t="s">
        <v>2996</v>
      </c>
      <c r="Q646" s="2" t="s">
        <v>42</v>
      </c>
      <c r="R646" s="2">
        <v>2</v>
      </c>
      <c r="S646" s="2">
        <v>50738.41</v>
      </c>
      <c r="T646" s="38" t="s">
        <v>2879</v>
      </c>
      <c r="U646" s="13"/>
    </row>
    <row r="647" spans="1:21" x14ac:dyDescent="0.3">
      <c r="A647" s="3" t="s">
        <v>2206</v>
      </c>
      <c r="B647" s="3" t="s">
        <v>2207</v>
      </c>
      <c r="C647" s="3">
        <v>43</v>
      </c>
      <c r="D647" s="3" t="s">
        <v>21</v>
      </c>
      <c r="E647" s="3">
        <v>170052</v>
      </c>
      <c r="F647" s="3">
        <v>750000</v>
      </c>
      <c r="G647" s="3">
        <v>24</v>
      </c>
      <c r="H647" s="3">
        <v>21.91</v>
      </c>
      <c r="I647" s="3" t="s">
        <v>46</v>
      </c>
      <c r="J647" s="3">
        <v>375</v>
      </c>
      <c r="K647" s="29">
        <v>45118</v>
      </c>
      <c r="L647" s="29" t="s">
        <v>636</v>
      </c>
      <c r="M647" s="3" t="s">
        <v>24</v>
      </c>
      <c r="N647" s="3">
        <v>38875.29</v>
      </c>
      <c r="O647" s="3" t="s">
        <v>48</v>
      </c>
      <c r="P647" s="3" t="s">
        <v>80</v>
      </c>
      <c r="Q647" s="3" t="s">
        <v>35</v>
      </c>
      <c r="R647" s="3">
        <v>6</v>
      </c>
      <c r="S647" s="3">
        <v>50244.78</v>
      </c>
      <c r="T647" s="38" t="s">
        <v>2879</v>
      </c>
      <c r="U647" s="13"/>
    </row>
    <row r="648" spans="1:21" x14ac:dyDescent="0.3">
      <c r="A648" s="3" t="s">
        <v>480</v>
      </c>
      <c r="B648" s="3" t="s">
        <v>481</v>
      </c>
      <c r="C648" s="3">
        <v>42</v>
      </c>
      <c r="D648" s="3" t="s">
        <v>21</v>
      </c>
      <c r="E648" s="3">
        <v>80434</v>
      </c>
      <c r="F648" s="3">
        <v>75000</v>
      </c>
      <c r="G648" s="3">
        <v>12</v>
      </c>
      <c r="H648" s="3">
        <v>18.170000000000002</v>
      </c>
      <c r="I648" s="3" t="s">
        <v>31</v>
      </c>
      <c r="J648" s="3">
        <v>830</v>
      </c>
      <c r="K648" s="29">
        <v>44730</v>
      </c>
      <c r="L648" s="29" t="s">
        <v>482</v>
      </c>
      <c r="M648" s="3" t="s">
        <v>33</v>
      </c>
      <c r="N648" s="3">
        <v>6882.07</v>
      </c>
      <c r="O648" s="3" t="s">
        <v>60</v>
      </c>
      <c r="P648" s="3" t="s">
        <v>69</v>
      </c>
      <c r="Q648" s="3" t="s">
        <v>42</v>
      </c>
      <c r="R648" s="3">
        <v>0</v>
      </c>
      <c r="S648" s="3">
        <v>50224.55</v>
      </c>
      <c r="T648" s="38" t="s">
        <v>2867</v>
      </c>
      <c r="U648" s="13"/>
    </row>
    <row r="649" spans="1:21" x14ac:dyDescent="0.3">
      <c r="A649" s="2" t="s">
        <v>616</v>
      </c>
      <c r="B649" s="2" t="s">
        <v>617</v>
      </c>
      <c r="C649" s="2">
        <v>65</v>
      </c>
      <c r="D649" s="2" t="s">
        <v>45</v>
      </c>
      <c r="E649" s="2">
        <v>173052</v>
      </c>
      <c r="F649" s="2">
        <v>50000</v>
      </c>
      <c r="G649" s="2">
        <v>24</v>
      </c>
      <c r="H649" s="2">
        <v>10.23</v>
      </c>
      <c r="I649" s="2" t="s">
        <v>83</v>
      </c>
      <c r="J649" s="2">
        <v>790</v>
      </c>
      <c r="K649" s="30">
        <v>44630</v>
      </c>
      <c r="L649" s="30" t="s">
        <v>619</v>
      </c>
      <c r="M649" s="2" t="s">
        <v>122</v>
      </c>
      <c r="N649" s="2">
        <v>2312.56</v>
      </c>
      <c r="O649" s="2" t="s">
        <v>105</v>
      </c>
      <c r="P649" s="2" t="s">
        <v>130</v>
      </c>
      <c r="Q649" s="2" t="s">
        <v>35</v>
      </c>
      <c r="R649" s="2">
        <v>4</v>
      </c>
      <c r="S649" s="2">
        <v>50000</v>
      </c>
      <c r="T649" s="38" t="s">
        <v>2867</v>
      </c>
      <c r="U649" s="13"/>
    </row>
    <row r="650" spans="1:21" x14ac:dyDescent="0.3">
      <c r="A650" s="3" t="s">
        <v>908</v>
      </c>
      <c r="B650" s="3" t="s">
        <v>909</v>
      </c>
      <c r="C650" s="3">
        <v>49</v>
      </c>
      <c r="D650" s="3" t="s">
        <v>65</v>
      </c>
      <c r="E650" s="3">
        <v>115484</v>
      </c>
      <c r="F650" s="3">
        <v>50000</v>
      </c>
      <c r="G650" s="3">
        <v>12</v>
      </c>
      <c r="H650" s="3">
        <v>15.24</v>
      </c>
      <c r="I650" s="3" t="s">
        <v>38</v>
      </c>
      <c r="J650" s="3">
        <v>314</v>
      </c>
      <c r="K650" s="29">
        <v>44205</v>
      </c>
      <c r="L650" s="29" t="s">
        <v>910</v>
      </c>
      <c r="M650" s="3" t="s">
        <v>24</v>
      </c>
      <c r="N650" s="3">
        <v>4518.58</v>
      </c>
      <c r="O650" s="3" t="s">
        <v>48</v>
      </c>
      <c r="P650" s="3" t="s">
        <v>375</v>
      </c>
      <c r="Q650" s="3" t="s">
        <v>42</v>
      </c>
      <c r="R650" s="3">
        <v>0</v>
      </c>
      <c r="S650" s="3">
        <v>50000</v>
      </c>
      <c r="T650" s="38" t="s">
        <v>2879</v>
      </c>
      <c r="U650" s="13"/>
    </row>
    <row r="651" spans="1:21" x14ac:dyDescent="0.3">
      <c r="A651" s="2" t="s">
        <v>2764</v>
      </c>
      <c r="B651" s="2" t="s">
        <v>2765</v>
      </c>
      <c r="C651" s="2">
        <v>36</v>
      </c>
      <c r="D651" s="2" t="s">
        <v>30</v>
      </c>
      <c r="E651" s="2">
        <v>210265</v>
      </c>
      <c r="F651" s="2">
        <v>50000</v>
      </c>
      <c r="G651" s="2">
        <v>24</v>
      </c>
      <c r="H651" s="2">
        <v>17.420000000000002</v>
      </c>
      <c r="I651" s="2" t="s">
        <v>251</v>
      </c>
      <c r="J651" s="2">
        <v>523</v>
      </c>
      <c r="K651" s="30">
        <v>44627</v>
      </c>
      <c r="L651" s="30" t="s">
        <v>801</v>
      </c>
      <c r="M651" s="2" t="s">
        <v>24</v>
      </c>
      <c r="N651" s="2">
        <v>2482.2199999999998</v>
      </c>
      <c r="O651" s="2" t="s">
        <v>48</v>
      </c>
      <c r="P651" s="2" t="s">
        <v>49</v>
      </c>
      <c r="Q651" s="2" t="s">
        <v>42</v>
      </c>
      <c r="R651" s="2">
        <v>2</v>
      </c>
      <c r="S651" s="2">
        <v>50000</v>
      </c>
      <c r="T651" s="38" t="s">
        <v>2879</v>
      </c>
      <c r="U651" s="13"/>
    </row>
    <row r="652" spans="1:21" x14ac:dyDescent="0.3">
      <c r="A652" s="2" t="s">
        <v>384</v>
      </c>
      <c r="B652" s="2" t="s">
        <v>385</v>
      </c>
      <c r="C652" s="2">
        <v>53</v>
      </c>
      <c r="D652" s="2" t="s">
        <v>45</v>
      </c>
      <c r="E652" s="2">
        <v>130879</v>
      </c>
      <c r="F652" s="2">
        <v>300000</v>
      </c>
      <c r="G652" s="2">
        <v>60</v>
      </c>
      <c r="H652" s="2">
        <v>10.63</v>
      </c>
      <c r="I652" s="2" t="s">
        <v>22</v>
      </c>
      <c r="J652" s="2">
        <v>653</v>
      </c>
      <c r="K652" s="30">
        <v>45193</v>
      </c>
      <c r="L652" s="30" t="s">
        <v>387</v>
      </c>
      <c r="M652" s="2" t="s">
        <v>24</v>
      </c>
      <c r="N652" s="2">
        <v>6467.51</v>
      </c>
      <c r="O652" s="2" t="s">
        <v>60</v>
      </c>
      <c r="P652" s="2" t="s">
        <v>172</v>
      </c>
      <c r="Q652" s="2" t="s">
        <v>35</v>
      </c>
      <c r="R652" s="2">
        <v>4</v>
      </c>
      <c r="S652" s="2">
        <v>49707.360000000001</v>
      </c>
      <c r="T652" s="38" t="s">
        <v>2871</v>
      </c>
      <c r="U652" s="13"/>
    </row>
    <row r="653" spans="1:21" x14ac:dyDescent="0.3">
      <c r="A653" s="2" t="s">
        <v>1789</v>
      </c>
      <c r="B653" s="2" t="s">
        <v>1790</v>
      </c>
      <c r="C653" s="2">
        <v>22</v>
      </c>
      <c r="D653" s="2" t="s">
        <v>21</v>
      </c>
      <c r="E653" s="2">
        <v>230096</v>
      </c>
      <c r="F653" s="2">
        <v>150000</v>
      </c>
      <c r="G653" s="2">
        <v>24</v>
      </c>
      <c r="H653" s="2">
        <v>10.7</v>
      </c>
      <c r="I653" s="2" t="s">
        <v>22</v>
      </c>
      <c r="J653" s="2">
        <v>471</v>
      </c>
      <c r="K653" s="30">
        <v>44417</v>
      </c>
      <c r="L653" s="30" t="s">
        <v>1791</v>
      </c>
      <c r="M653" s="2" t="s">
        <v>33</v>
      </c>
      <c r="N653" s="2">
        <v>6970.3</v>
      </c>
      <c r="O653" s="2" t="s">
        <v>105</v>
      </c>
      <c r="P653" s="2" t="s">
        <v>114</v>
      </c>
      <c r="Q653" s="2" t="s">
        <v>42</v>
      </c>
      <c r="R653" s="2">
        <v>1</v>
      </c>
      <c r="S653" s="2">
        <v>49627.68</v>
      </c>
      <c r="T653" s="38" t="s">
        <v>2879</v>
      </c>
      <c r="U653" s="13"/>
    </row>
    <row r="654" spans="1:21" x14ac:dyDescent="0.3">
      <c r="A654" s="3" t="s">
        <v>2489</v>
      </c>
      <c r="B654" s="3" t="s">
        <v>2490</v>
      </c>
      <c r="C654" s="3">
        <v>38</v>
      </c>
      <c r="D654" s="3" t="s">
        <v>65</v>
      </c>
      <c r="E654" s="3">
        <v>67587</v>
      </c>
      <c r="F654" s="3">
        <v>150000</v>
      </c>
      <c r="G654" s="3">
        <v>84</v>
      </c>
      <c r="H654" s="3">
        <v>21.79</v>
      </c>
      <c r="I654" s="3" t="s">
        <v>22</v>
      </c>
      <c r="J654" s="3">
        <v>647</v>
      </c>
      <c r="K654" s="29">
        <v>44238</v>
      </c>
      <c r="L654" s="29" t="s">
        <v>2491</v>
      </c>
      <c r="M654" s="3" t="s">
        <v>24</v>
      </c>
      <c r="N654" s="3">
        <v>3494.46</v>
      </c>
      <c r="O654" s="3" t="s">
        <v>60</v>
      </c>
      <c r="P654" s="3" t="s">
        <v>172</v>
      </c>
      <c r="Q654" s="3" t="s">
        <v>42</v>
      </c>
      <c r="R654" s="3">
        <v>2</v>
      </c>
      <c r="S654" s="3">
        <v>49359.55</v>
      </c>
      <c r="T654" s="38" t="s">
        <v>2875</v>
      </c>
      <c r="U654" s="13"/>
    </row>
    <row r="655" spans="1:21" x14ac:dyDescent="0.3">
      <c r="A655" s="3" t="s">
        <v>2065</v>
      </c>
      <c r="B655" s="3" t="s">
        <v>2066</v>
      </c>
      <c r="C655" s="3">
        <v>36</v>
      </c>
      <c r="D655" s="3" t="s">
        <v>45</v>
      </c>
      <c r="E655" s="3">
        <v>32363</v>
      </c>
      <c r="F655" s="3">
        <v>300000</v>
      </c>
      <c r="G655" s="3">
        <v>60</v>
      </c>
      <c r="H655" s="3">
        <v>16.23</v>
      </c>
      <c r="I655" s="3" t="s">
        <v>83</v>
      </c>
      <c r="J655" s="3">
        <v>405</v>
      </c>
      <c r="K655" s="29">
        <v>44350</v>
      </c>
      <c r="L655" s="29" t="s">
        <v>2067</v>
      </c>
      <c r="M655" s="3" t="s">
        <v>24</v>
      </c>
      <c r="N655" s="3">
        <v>7332.13</v>
      </c>
      <c r="O655" s="3" t="s">
        <v>54</v>
      </c>
      <c r="P655" s="3" t="s">
        <v>183</v>
      </c>
      <c r="Q655" s="3" t="s">
        <v>27</v>
      </c>
      <c r="R655" s="3">
        <v>2</v>
      </c>
      <c r="S655" s="3">
        <v>49241.15</v>
      </c>
      <c r="T655" s="38" t="s">
        <v>2879</v>
      </c>
      <c r="U655" s="13"/>
    </row>
    <row r="656" spans="1:21" x14ac:dyDescent="0.3">
      <c r="A656" s="2" t="s">
        <v>1458</v>
      </c>
      <c r="B656" s="2" t="s">
        <v>1459</v>
      </c>
      <c r="C656" s="2">
        <v>53</v>
      </c>
      <c r="D656" s="2" t="s">
        <v>45</v>
      </c>
      <c r="E656" s="2">
        <v>208948</v>
      </c>
      <c r="F656" s="2">
        <v>400000</v>
      </c>
      <c r="G656" s="2">
        <v>48</v>
      </c>
      <c r="H656" s="2">
        <v>7.89</v>
      </c>
      <c r="I656" s="2" t="s">
        <v>46</v>
      </c>
      <c r="J656" s="2">
        <v>457</v>
      </c>
      <c r="K656" s="30">
        <v>45164</v>
      </c>
      <c r="L656" s="30" t="s">
        <v>557</v>
      </c>
      <c r="M656" s="2" t="s">
        <v>33</v>
      </c>
      <c r="N656" s="2">
        <v>9744.5300000000007</v>
      </c>
      <c r="O656" s="2" t="s">
        <v>48</v>
      </c>
      <c r="P656" s="2" t="s">
        <v>199</v>
      </c>
      <c r="Q656" s="2" t="s">
        <v>35</v>
      </c>
      <c r="R656" s="2">
        <v>10</v>
      </c>
      <c r="S656" s="2">
        <v>49196.92</v>
      </c>
      <c r="T656" s="38" t="s">
        <v>2879</v>
      </c>
      <c r="U656" s="13"/>
    </row>
    <row r="657" spans="1:21" x14ac:dyDescent="0.3">
      <c r="A657" s="2" t="s">
        <v>1330</v>
      </c>
      <c r="B657" s="2" t="s">
        <v>1331</v>
      </c>
      <c r="C657" s="2">
        <v>64</v>
      </c>
      <c r="D657" s="2" t="s">
        <v>65</v>
      </c>
      <c r="E657" s="2">
        <v>50592</v>
      </c>
      <c r="F657" s="2">
        <v>75000</v>
      </c>
      <c r="G657" s="2">
        <v>36</v>
      </c>
      <c r="H657" s="2">
        <v>16.809999999999999</v>
      </c>
      <c r="I657" s="2" t="s">
        <v>73</v>
      </c>
      <c r="J657" s="2">
        <v>766</v>
      </c>
      <c r="K657" s="30">
        <v>45127</v>
      </c>
      <c r="L657" s="30" t="s">
        <v>1332</v>
      </c>
      <c r="M657" s="2" t="s">
        <v>24</v>
      </c>
      <c r="N657" s="2">
        <v>2666.87</v>
      </c>
      <c r="O657" s="2" t="s">
        <v>54</v>
      </c>
      <c r="P657" s="2" t="s">
        <v>164</v>
      </c>
      <c r="Q657" s="2" t="s">
        <v>35</v>
      </c>
      <c r="R657" s="2">
        <v>9</v>
      </c>
      <c r="S657" s="2">
        <v>48597.99</v>
      </c>
      <c r="T657" s="38" t="s">
        <v>2867</v>
      </c>
      <c r="U657" s="13"/>
    </row>
    <row r="658" spans="1:21" x14ac:dyDescent="0.3">
      <c r="A658" s="3" t="s">
        <v>2236</v>
      </c>
      <c r="B658" s="3" t="s">
        <v>2237</v>
      </c>
      <c r="C658" s="3">
        <v>56</v>
      </c>
      <c r="D658" s="3" t="s">
        <v>30</v>
      </c>
      <c r="E658" s="3">
        <v>56154</v>
      </c>
      <c r="F658" s="3">
        <v>500000</v>
      </c>
      <c r="G658" s="3">
        <v>120</v>
      </c>
      <c r="H658" s="3">
        <v>19.97</v>
      </c>
      <c r="I658" s="3" t="s">
        <v>83</v>
      </c>
      <c r="J658" s="3">
        <v>597</v>
      </c>
      <c r="K658" s="29">
        <v>44638</v>
      </c>
      <c r="L658" s="29" t="s">
        <v>2239</v>
      </c>
      <c r="M658" s="3" t="s">
        <v>33</v>
      </c>
      <c r="N658" s="3">
        <v>9652.84</v>
      </c>
      <c r="O658" s="3" t="s">
        <v>105</v>
      </c>
      <c r="P658" s="3" t="s">
        <v>130</v>
      </c>
      <c r="Q658" s="3" t="s">
        <v>42</v>
      </c>
      <c r="R658" s="3">
        <v>1</v>
      </c>
      <c r="S658" s="3">
        <v>48247.09</v>
      </c>
      <c r="T658" s="38" t="s">
        <v>2875</v>
      </c>
      <c r="U658" s="13"/>
    </row>
    <row r="659" spans="1:21" x14ac:dyDescent="0.3">
      <c r="A659" s="3" t="s">
        <v>2332</v>
      </c>
      <c r="B659" s="3" t="s">
        <v>177</v>
      </c>
      <c r="C659" s="3">
        <v>39</v>
      </c>
      <c r="D659" s="3" t="s">
        <v>45</v>
      </c>
      <c r="E659" s="3">
        <v>191013</v>
      </c>
      <c r="F659" s="3">
        <v>50000</v>
      </c>
      <c r="G659" s="3">
        <v>120</v>
      </c>
      <c r="H659" s="3">
        <v>20.69</v>
      </c>
      <c r="I659" s="3" t="s">
        <v>66</v>
      </c>
      <c r="J659" s="3">
        <v>579</v>
      </c>
      <c r="K659" s="29">
        <v>45045</v>
      </c>
      <c r="L659" s="29" t="s">
        <v>1065</v>
      </c>
      <c r="M659" s="3" t="s">
        <v>33</v>
      </c>
      <c r="N659" s="3">
        <v>989.26</v>
      </c>
      <c r="O659" s="3" t="s">
        <v>25</v>
      </c>
      <c r="P659" s="3" t="s">
        <v>2998</v>
      </c>
      <c r="Q659" s="3" t="s">
        <v>42</v>
      </c>
      <c r="R659" s="3">
        <v>0</v>
      </c>
      <c r="S659" s="3">
        <v>48219.33</v>
      </c>
      <c r="T659" s="38" t="s">
        <v>2875</v>
      </c>
      <c r="U659" s="13"/>
    </row>
    <row r="660" spans="1:21" x14ac:dyDescent="0.3">
      <c r="A660" s="2" t="s">
        <v>2359</v>
      </c>
      <c r="B660" s="2" t="s">
        <v>2360</v>
      </c>
      <c r="C660" s="2">
        <v>38</v>
      </c>
      <c r="D660" s="2" t="s">
        <v>72</v>
      </c>
      <c r="E660" s="2">
        <v>101514</v>
      </c>
      <c r="F660" s="2">
        <v>1000000</v>
      </c>
      <c r="G660" s="2">
        <v>24</v>
      </c>
      <c r="H660" s="2">
        <v>14.14</v>
      </c>
      <c r="I660" s="2" t="s">
        <v>31</v>
      </c>
      <c r="J660" s="2" t="s">
        <v>2882</v>
      </c>
      <c r="K660" s="30">
        <v>45107</v>
      </c>
      <c r="L660" s="30" t="s">
        <v>2362</v>
      </c>
      <c r="M660" s="2" t="s">
        <v>24</v>
      </c>
      <c r="N660" s="2">
        <v>48079.05</v>
      </c>
      <c r="O660" s="2" t="s">
        <v>48</v>
      </c>
      <c r="P660" s="2" t="s">
        <v>199</v>
      </c>
      <c r="Q660" s="2" t="s">
        <v>100</v>
      </c>
      <c r="R660" s="2">
        <v>4</v>
      </c>
      <c r="S660" s="2">
        <v>48034.81</v>
      </c>
      <c r="T660" s="38" t="s">
        <v>2883</v>
      </c>
      <c r="U660" s="13"/>
    </row>
    <row r="661" spans="1:21" x14ac:dyDescent="0.3">
      <c r="A661" s="3" t="s">
        <v>315</v>
      </c>
      <c r="B661" s="3" t="s">
        <v>316</v>
      </c>
      <c r="C661" s="3">
        <v>41</v>
      </c>
      <c r="D661" s="3" t="s">
        <v>30</v>
      </c>
      <c r="E661" s="3">
        <v>115845</v>
      </c>
      <c r="F661" s="3">
        <v>400000</v>
      </c>
      <c r="G661" s="3">
        <v>24</v>
      </c>
      <c r="H661" s="3">
        <v>10.94</v>
      </c>
      <c r="I661" s="3" t="s">
        <v>38</v>
      </c>
      <c r="J661" s="3">
        <v>888</v>
      </c>
      <c r="K661" s="29">
        <v>45007</v>
      </c>
      <c r="L661" s="29" t="s">
        <v>317</v>
      </c>
      <c r="M661" s="3" t="s">
        <v>24</v>
      </c>
      <c r="N661" s="3">
        <v>18631.990000000002</v>
      </c>
      <c r="O661" s="3" t="s">
        <v>48</v>
      </c>
      <c r="P661" s="3" t="s">
        <v>199</v>
      </c>
      <c r="Q661" s="3" t="s">
        <v>42</v>
      </c>
      <c r="R661" s="3">
        <v>0</v>
      </c>
      <c r="S661" s="3">
        <v>47855.39</v>
      </c>
      <c r="T661" s="38" t="s">
        <v>2867</v>
      </c>
      <c r="U661" s="13"/>
    </row>
    <row r="662" spans="1:21" x14ac:dyDescent="0.3">
      <c r="A662" s="2" t="s">
        <v>518</v>
      </c>
      <c r="B662" s="2" t="s">
        <v>519</v>
      </c>
      <c r="C662" s="2">
        <v>53</v>
      </c>
      <c r="D662" s="2" t="s">
        <v>21</v>
      </c>
      <c r="E662" s="2">
        <v>145382</v>
      </c>
      <c r="F662" s="2">
        <v>50000</v>
      </c>
      <c r="G662" s="2">
        <v>24</v>
      </c>
      <c r="H662" s="2">
        <v>21.21</v>
      </c>
      <c r="I662" s="2" t="s">
        <v>31</v>
      </c>
      <c r="J662" s="2">
        <v>546</v>
      </c>
      <c r="K662" s="30">
        <v>44300</v>
      </c>
      <c r="L662" s="30" t="s">
        <v>521</v>
      </c>
      <c r="M662" s="2" t="s">
        <v>33</v>
      </c>
      <c r="N662" s="2">
        <v>2574.44</v>
      </c>
      <c r="O662" s="2" t="s">
        <v>105</v>
      </c>
      <c r="P662" s="2" t="s">
        <v>2999</v>
      </c>
      <c r="Q662" s="2" t="s">
        <v>100</v>
      </c>
      <c r="R662" s="2">
        <v>5</v>
      </c>
      <c r="S662" s="2">
        <v>47683</v>
      </c>
      <c r="T662" s="38" t="s">
        <v>2879</v>
      </c>
      <c r="U662" s="13"/>
    </row>
    <row r="663" spans="1:21" x14ac:dyDescent="0.3">
      <c r="A663" s="3" t="s">
        <v>2591</v>
      </c>
      <c r="B663" s="3" t="s">
        <v>2592</v>
      </c>
      <c r="C663" s="3">
        <v>42</v>
      </c>
      <c r="D663" s="3" t="s">
        <v>65</v>
      </c>
      <c r="E663" s="3">
        <v>47483</v>
      </c>
      <c r="F663" s="3">
        <v>50000</v>
      </c>
      <c r="G663" s="3">
        <v>84</v>
      </c>
      <c r="H663" s="3">
        <v>15.51</v>
      </c>
      <c r="I663" s="3" t="s">
        <v>38</v>
      </c>
      <c r="J663" s="3">
        <v>445</v>
      </c>
      <c r="K663" s="29">
        <v>45086</v>
      </c>
      <c r="L663" s="29" t="s">
        <v>1447</v>
      </c>
      <c r="M663" s="3" t="s">
        <v>33</v>
      </c>
      <c r="N663" s="3">
        <v>979.2</v>
      </c>
      <c r="O663" s="3" t="s">
        <v>48</v>
      </c>
      <c r="P663" s="3" t="s">
        <v>80</v>
      </c>
      <c r="Q663" s="3" t="s">
        <v>42</v>
      </c>
      <c r="R663" s="3">
        <v>2</v>
      </c>
      <c r="S663" s="3">
        <v>47356.160000000003</v>
      </c>
      <c r="T663" s="38" t="s">
        <v>2879</v>
      </c>
      <c r="U663" s="13"/>
    </row>
    <row r="664" spans="1:21" x14ac:dyDescent="0.3">
      <c r="A664" s="2" t="s">
        <v>358</v>
      </c>
      <c r="B664" s="2" t="s">
        <v>359</v>
      </c>
      <c r="C664" s="2">
        <v>26</v>
      </c>
      <c r="D664" s="2" t="s">
        <v>72</v>
      </c>
      <c r="E664" s="2">
        <v>99439</v>
      </c>
      <c r="F664" s="2">
        <v>750000</v>
      </c>
      <c r="G664" s="2">
        <v>36</v>
      </c>
      <c r="H664" s="2">
        <v>8.4499999999999993</v>
      </c>
      <c r="I664" s="2" t="s">
        <v>66</v>
      </c>
      <c r="J664" s="2">
        <v>899</v>
      </c>
      <c r="K664" s="30">
        <v>44800</v>
      </c>
      <c r="L664" s="30" t="s">
        <v>361</v>
      </c>
      <c r="M664" s="2" t="s">
        <v>24</v>
      </c>
      <c r="N664" s="2">
        <v>23658.28</v>
      </c>
      <c r="O664" s="2" t="s">
        <v>54</v>
      </c>
      <c r="P664" s="2" t="s">
        <v>183</v>
      </c>
      <c r="Q664" s="2" t="s">
        <v>35</v>
      </c>
      <c r="R664" s="2">
        <v>6</v>
      </c>
      <c r="S664" s="2">
        <v>47349.08</v>
      </c>
      <c r="T664" s="38" t="s">
        <v>2867</v>
      </c>
      <c r="U664" s="13"/>
    </row>
    <row r="665" spans="1:21" x14ac:dyDescent="0.3">
      <c r="A665" s="2" t="s">
        <v>1136</v>
      </c>
      <c r="B665" s="2" t="s">
        <v>1137</v>
      </c>
      <c r="C665" s="2">
        <v>46</v>
      </c>
      <c r="D665" s="2" t="s">
        <v>30</v>
      </c>
      <c r="E665" s="2">
        <v>83938</v>
      </c>
      <c r="F665" s="2">
        <v>75000</v>
      </c>
      <c r="G665" s="2">
        <v>120</v>
      </c>
      <c r="H665" s="2">
        <v>16.57</v>
      </c>
      <c r="I665" s="2" t="s">
        <v>66</v>
      </c>
      <c r="J665" s="2">
        <v>591</v>
      </c>
      <c r="K665" s="30">
        <v>44337</v>
      </c>
      <c r="L665" s="30" t="s">
        <v>1020</v>
      </c>
      <c r="M665" s="2" t="s">
        <v>24</v>
      </c>
      <c r="N665" s="2">
        <v>1283.1199999999999</v>
      </c>
      <c r="O665" s="2" t="s">
        <v>54</v>
      </c>
      <c r="P665" s="2" t="s">
        <v>183</v>
      </c>
      <c r="Q665" s="2" t="s">
        <v>42</v>
      </c>
      <c r="R665" s="2">
        <v>1</v>
      </c>
      <c r="S665" s="2">
        <v>47284.61</v>
      </c>
      <c r="T665" s="38" t="s">
        <v>2875</v>
      </c>
      <c r="U665" s="13"/>
    </row>
    <row r="666" spans="1:21" x14ac:dyDescent="0.3">
      <c r="A666" s="3" t="s">
        <v>1802</v>
      </c>
      <c r="B666" s="3" t="s">
        <v>1803</v>
      </c>
      <c r="C666" s="3">
        <v>37</v>
      </c>
      <c r="D666" s="3" t="s">
        <v>45</v>
      </c>
      <c r="E666" s="3">
        <v>35811</v>
      </c>
      <c r="F666" s="3">
        <v>50000</v>
      </c>
      <c r="G666" s="3">
        <v>36</v>
      </c>
      <c r="H666" s="3">
        <v>12.93</v>
      </c>
      <c r="I666" s="3" t="s">
        <v>66</v>
      </c>
      <c r="J666" s="3">
        <v>506</v>
      </c>
      <c r="K666" s="29">
        <v>44684</v>
      </c>
      <c r="L666" s="29" t="s">
        <v>341</v>
      </c>
      <c r="M666" s="3" t="s">
        <v>24</v>
      </c>
      <c r="N666" s="3">
        <v>1683.01</v>
      </c>
      <c r="O666" s="3" t="s">
        <v>105</v>
      </c>
      <c r="P666" s="3" t="s">
        <v>118</v>
      </c>
      <c r="Q666" s="3" t="s">
        <v>42</v>
      </c>
      <c r="R666" s="3">
        <v>0</v>
      </c>
      <c r="S666" s="3">
        <v>46970.58</v>
      </c>
      <c r="T666" s="38" t="s">
        <v>2879</v>
      </c>
      <c r="U666" s="13"/>
    </row>
    <row r="667" spans="1:21" x14ac:dyDescent="0.3">
      <c r="A667" s="2" t="s">
        <v>1210</v>
      </c>
      <c r="B667" s="2" t="s">
        <v>1211</v>
      </c>
      <c r="C667" s="2">
        <v>29</v>
      </c>
      <c r="D667" s="2" t="s">
        <v>72</v>
      </c>
      <c r="E667" s="2">
        <v>78713</v>
      </c>
      <c r="F667" s="2">
        <v>750000</v>
      </c>
      <c r="G667" s="2">
        <v>36</v>
      </c>
      <c r="H667" s="2">
        <v>20.100000000000001</v>
      </c>
      <c r="I667" s="2" t="s">
        <v>66</v>
      </c>
      <c r="J667" s="2">
        <v>314</v>
      </c>
      <c r="K667" s="30">
        <v>45161</v>
      </c>
      <c r="L667" s="30" t="s">
        <v>556</v>
      </c>
      <c r="M667" s="2" t="s">
        <v>33</v>
      </c>
      <c r="N667" s="2">
        <v>27910.92</v>
      </c>
      <c r="O667" s="2" t="s">
        <v>48</v>
      </c>
      <c r="P667" s="2" t="s">
        <v>49</v>
      </c>
      <c r="Q667" s="2" t="s">
        <v>35</v>
      </c>
      <c r="R667" s="2">
        <v>4</v>
      </c>
      <c r="S667" s="2">
        <v>46644.82</v>
      </c>
      <c r="T667" s="38" t="s">
        <v>2879</v>
      </c>
      <c r="U667" s="13"/>
    </row>
    <row r="668" spans="1:21" x14ac:dyDescent="0.3">
      <c r="A668" s="3" t="s">
        <v>2714</v>
      </c>
      <c r="B668" s="3" t="s">
        <v>2124</v>
      </c>
      <c r="C668" s="3">
        <v>64</v>
      </c>
      <c r="D668" s="3" t="s">
        <v>45</v>
      </c>
      <c r="E668" s="3">
        <v>37942</v>
      </c>
      <c r="F668" s="3">
        <v>50000</v>
      </c>
      <c r="G668" s="3">
        <v>36</v>
      </c>
      <c r="H668" s="3">
        <v>20.45</v>
      </c>
      <c r="I668" s="3" t="s">
        <v>38</v>
      </c>
      <c r="J668" s="3">
        <v>402</v>
      </c>
      <c r="K668" s="29">
        <v>44197</v>
      </c>
      <c r="L668" s="29" t="s">
        <v>2029</v>
      </c>
      <c r="M668" s="3" t="s">
        <v>24</v>
      </c>
      <c r="N668" s="3">
        <v>1869.66</v>
      </c>
      <c r="O668" s="3" t="s">
        <v>25</v>
      </c>
      <c r="P668" s="3" t="s">
        <v>123</v>
      </c>
      <c r="Q668" s="3" t="s">
        <v>42</v>
      </c>
      <c r="R668" s="3">
        <v>0</v>
      </c>
      <c r="S668" s="3">
        <v>46634.61</v>
      </c>
      <c r="T668" s="38" t="s">
        <v>2879</v>
      </c>
      <c r="U668" s="13"/>
    </row>
    <row r="669" spans="1:21" x14ac:dyDescent="0.3">
      <c r="A669" s="3" t="s">
        <v>2389</v>
      </c>
      <c r="B669" s="3" t="s">
        <v>255</v>
      </c>
      <c r="C669" s="3">
        <v>62</v>
      </c>
      <c r="D669" s="3" t="s">
        <v>45</v>
      </c>
      <c r="E669" s="3">
        <v>230628</v>
      </c>
      <c r="F669" s="3">
        <v>100000</v>
      </c>
      <c r="G669" s="3">
        <v>48</v>
      </c>
      <c r="H669" s="3">
        <v>18.79</v>
      </c>
      <c r="I669" s="3" t="s">
        <v>83</v>
      </c>
      <c r="J669" s="3">
        <v>518</v>
      </c>
      <c r="K669" s="29">
        <v>45283</v>
      </c>
      <c r="L669" s="29" t="s">
        <v>2390</v>
      </c>
      <c r="M669" s="3" t="s">
        <v>122</v>
      </c>
      <c r="N669" s="3">
        <v>2978.94</v>
      </c>
      <c r="O669" s="3" t="s">
        <v>48</v>
      </c>
      <c r="P669" s="3" t="s">
        <v>375</v>
      </c>
      <c r="Q669" s="3" t="s">
        <v>35</v>
      </c>
      <c r="R669" s="3">
        <v>4</v>
      </c>
      <c r="S669" s="3">
        <v>46379.08</v>
      </c>
      <c r="T669" s="38" t="s">
        <v>2879</v>
      </c>
      <c r="U669" s="13"/>
    </row>
    <row r="670" spans="1:21" x14ac:dyDescent="0.3">
      <c r="A670" s="2" t="s">
        <v>2512</v>
      </c>
      <c r="B670" s="2" t="s">
        <v>2513</v>
      </c>
      <c r="C670" s="2">
        <v>45</v>
      </c>
      <c r="D670" s="2" t="s">
        <v>65</v>
      </c>
      <c r="E670" s="2">
        <v>26732</v>
      </c>
      <c r="F670" s="2">
        <v>100000</v>
      </c>
      <c r="G670" s="2">
        <v>36</v>
      </c>
      <c r="H670" s="2">
        <v>16.18</v>
      </c>
      <c r="I670" s="2" t="s">
        <v>66</v>
      </c>
      <c r="J670" s="2">
        <v>732</v>
      </c>
      <c r="K670" s="30">
        <v>45035</v>
      </c>
      <c r="L670" s="30" t="s">
        <v>2514</v>
      </c>
      <c r="M670" s="2" t="s">
        <v>24</v>
      </c>
      <c r="N670" s="2">
        <v>3524.6</v>
      </c>
      <c r="O670" s="2" t="s">
        <v>54</v>
      </c>
      <c r="P670" s="2" t="s">
        <v>183</v>
      </c>
      <c r="Q670" s="2" t="s">
        <v>42</v>
      </c>
      <c r="R670" s="2">
        <v>0</v>
      </c>
      <c r="S670" s="2">
        <v>46073.62</v>
      </c>
      <c r="T670" s="38" t="s">
        <v>2871</v>
      </c>
      <c r="U670" s="13"/>
    </row>
    <row r="671" spans="1:21" x14ac:dyDescent="0.3">
      <c r="A671" s="3" t="s">
        <v>2813</v>
      </c>
      <c r="B671" s="3" t="s">
        <v>1084</v>
      </c>
      <c r="C671" s="3">
        <v>42</v>
      </c>
      <c r="D671" s="3" t="s">
        <v>21</v>
      </c>
      <c r="E671" s="3">
        <v>188362</v>
      </c>
      <c r="F671" s="3">
        <v>50000</v>
      </c>
      <c r="G671" s="3">
        <v>84</v>
      </c>
      <c r="H671" s="3">
        <v>12</v>
      </c>
      <c r="I671" s="3" t="s">
        <v>251</v>
      </c>
      <c r="J671" s="3">
        <v>890</v>
      </c>
      <c r="K671" s="29">
        <v>45159</v>
      </c>
      <c r="L671" s="29" t="s">
        <v>2349</v>
      </c>
      <c r="M671" s="3" t="s">
        <v>24</v>
      </c>
      <c r="N671" s="3">
        <v>882.64</v>
      </c>
      <c r="O671" s="3" t="s">
        <v>60</v>
      </c>
      <c r="P671" s="3" t="s">
        <v>172</v>
      </c>
      <c r="Q671" s="3" t="s">
        <v>42</v>
      </c>
      <c r="R671" s="3">
        <v>2</v>
      </c>
      <c r="S671" s="3">
        <v>46028.12</v>
      </c>
      <c r="T671" s="38" t="s">
        <v>2867</v>
      </c>
      <c r="U671" s="13"/>
    </row>
    <row r="672" spans="1:21" x14ac:dyDescent="0.3">
      <c r="A672" s="2" t="s">
        <v>1492</v>
      </c>
      <c r="B672" s="2" t="s">
        <v>1493</v>
      </c>
      <c r="C672" s="2">
        <v>57</v>
      </c>
      <c r="D672" s="2" t="s">
        <v>65</v>
      </c>
      <c r="E672" s="2">
        <v>91176</v>
      </c>
      <c r="F672" s="2">
        <v>300000</v>
      </c>
      <c r="G672" s="2">
        <v>48</v>
      </c>
      <c r="H672" s="2">
        <v>19.920000000000002</v>
      </c>
      <c r="I672" s="2" t="s">
        <v>31</v>
      </c>
      <c r="J672" s="2">
        <v>676</v>
      </c>
      <c r="K672" s="30">
        <v>44412</v>
      </c>
      <c r="L672" s="30" t="s">
        <v>567</v>
      </c>
      <c r="M672" s="2" t="s">
        <v>24</v>
      </c>
      <c r="N672" s="2">
        <v>9116.33</v>
      </c>
      <c r="O672" s="2" t="s">
        <v>105</v>
      </c>
      <c r="P672" s="2" t="s">
        <v>114</v>
      </c>
      <c r="Q672" s="2" t="s">
        <v>42</v>
      </c>
      <c r="R672" s="2">
        <v>2</v>
      </c>
      <c r="S672" s="2">
        <v>45654.39</v>
      </c>
      <c r="T672" s="38" t="s">
        <v>2871</v>
      </c>
      <c r="U672" s="13"/>
    </row>
    <row r="673" spans="1:21" x14ac:dyDescent="0.3">
      <c r="A673" s="2" t="s">
        <v>2565</v>
      </c>
      <c r="B673" s="2" t="s">
        <v>1368</v>
      </c>
      <c r="C673" s="2">
        <v>25</v>
      </c>
      <c r="D673" s="2" t="s">
        <v>72</v>
      </c>
      <c r="E673" s="2">
        <v>144478</v>
      </c>
      <c r="F673" s="2">
        <v>250000</v>
      </c>
      <c r="G673" s="2">
        <v>12</v>
      </c>
      <c r="H673" s="2">
        <v>16.489999999999998</v>
      </c>
      <c r="I673" s="2" t="s">
        <v>73</v>
      </c>
      <c r="J673" s="2">
        <v>381</v>
      </c>
      <c r="K673" s="30">
        <v>44377</v>
      </c>
      <c r="L673" s="30" t="s">
        <v>279</v>
      </c>
      <c r="M673" s="2" t="s">
        <v>24</v>
      </c>
      <c r="N673" s="2">
        <v>22740.720000000001</v>
      </c>
      <c r="O673" s="2" t="s">
        <v>60</v>
      </c>
      <c r="P673" s="2" t="s">
        <v>172</v>
      </c>
      <c r="Q673" s="2" t="s">
        <v>62</v>
      </c>
      <c r="R673" s="2">
        <v>2</v>
      </c>
      <c r="S673" s="2">
        <v>45333.52</v>
      </c>
      <c r="T673" s="38" t="s">
        <v>2879</v>
      </c>
      <c r="U673" s="13"/>
    </row>
    <row r="674" spans="1:21" x14ac:dyDescent="0.3">
      <c r="A674" s="3" t="s">
        <v>1422</v>
      </c>
      <c r="B674" s="3" t="s">
        <v>1423</v>
      </c>
      <c r="C674" s="3">
        <v>63</v>
      </c>
      <c r="D674" s="3" t="s">
        <v>45</v>
      </c>
      <c r="E674" s="3">
        <v>199778</v>
      </c>
      <c r="F674" s="3">
        <v>75000</v>
      </c>
      <c r="G674" s="3">
        <v>240</v>
      </c>
      <c r="H674" s="3">
        <v>17.79</v>
      </c>
      <c r="I674" s="3" t="s">
        <v>83</v>
      </c>
      <c r="J674" s="3">
        <v>441</v>
      </c>
      <c r="K674" s="29">
        <v>45176</v>
      </c>
      <c r="L674" s="29" t="s">
        <v>847</v>
      </c>
      <c r="M674" s="3" t="s">
        <v>33</v>
      </c>
      <c r="N674" s="3">
        <v>1145.3800000000001</v>
      </c>
      <c r="O674" s="3" t="s">
        <v>48</v>
      </c>
      <c r="P674" s="3" t="s">
        <v>86</v>
      </c>
      <c r="Q674" s="3" t="s">
        <v>42</v>
      </c>
      <c r="R674" s="3">
        <v>2</v>
      </c>
      <c r="S674" s="3">
        <v>45105.58</v>
      </c>
      <c r="T674" s="38" t="s">
        <v>2879</v>
      </c>
      <c r="U674" s="13"/>
    </row>
    <row r="675" spans="1:21" x14ac:dyDescent="0.3">
      <c r="A675" s="3" t="s">
        <v>2542</v>
      </c>
      <c r="B675" s="3" t="s">
        <v>2439</v>
      </c>
      <c r="C675" s="3">
        <v>31</v>
      </c>
      <c r="D675" s="3" t="s">
        <v>30</v>
      </c>
      <c r="E675" s="3">
        <v>95625</v>
      </c>
      <c r="F675" s="3">
        <v>75000</v>
      </c>
      <c r="G675" s="3">
        <v>84</v>
      </c>
      <c r="H675" s="3">
        <v>16.54</v>
      </c>
      <c r="I675" s="3" t="s">
        <v>38</v>
      </c>
      <c r="J675" s="3">
        <v>897</v>
      </c>
      <c r="K675" s="29">
        <v>44790</v>
      </c>
      <c r="L675" s="29" t="s">
        <v>893</v>
      </c>
      <c r="M675" s="3" t="s">
        <v>33</v>
      </c>
      <c r="N675" s="3">
        <v>1512.81</v>
      </c>
      <c r="O675" s="3" t="s">
        <v>60</v>
      </c>
      <c r="P675" s="3" t="s">
        <v>2997</v>
      </c>
      <c r="Q675" s="3" t="s">
        <v>42</v>
      </c>
      <c r="R675" s="3">
        <v>1</v>
      </c>
      <c r="S675" s="3">
        <v>45046.36</v>
      </c>
      <c r="T675" s="38" t="s">
        <v>2867</v>
      </c>
      <c r="U675" s="13"/>
    </row>
    <row r="676" spans="1:21" x14ac:dyDescent="0.3">
      <c r="A676" s="3" t="s">
        <v>493</v>
      </c>
      <c r="B676" s="3" t="s">
        <v>494</v>
      </c>
      <c r="C676" s="3">
        <v>30</v>
      </c>
      <c r="D676" s="3" t="s">
        <v>21</v>
      </c>
      <c r="E676" s="3">
        <v>183385</v>
      </c>
      <c r="F676" s="3">
        <v>75000</v>
      </c>
      <c r="G676" s="3">
        <v>180</v>
      </c>
      <c r="H676" s="3">
        <v>14.25</v>
      </c>
      <c r="I676" s="3" t="s">
        <v>38</v>
      </c>
      <c r="J676" s="3">
        <v>431</v>
      </c>
      <c r="K676" s="29">
        <v>45083</v>
      </c>
      <c r="L676" s="29" t="s">
        <v>406</v>
      </c>
      <c r="M676" s="3" t="s">
        <v>24</v>
      </c>
      <c r="N676" s="3">
        <v>1011.43</v>
      </c>
      <c r="O676" s="3" t="s">
        <v>54</v>
      </c>
      <c r="P676" s="3" t="s">
        <v>99</v>
      </c>
      <c r="Q676" s="3" t="s">
        <v>42</v>
      </c>
      <c r="R676" s="3">
        <v>0</v>
      </c>
      <c r="S676" s="3">
        <v>44960.53</v>
      </c>
      <c r="T676" s="38" t="s">
        <v>2879</v>
      </c>
      <c r="U676" s="13"/>
    </row>
    <row r="677" spans="1:21" x14ac:dyDescent="0.3">
      <c r="A677" s="3" t="s">
        <v>1654</v>
      </c>
      <c r="B677" s="3" t="s">
        <v>1655</v>
      </c>
      <c r="C677" s="3">
        <v>49</v>
      </c>
      <c r="D677" s="3" t="s">
        <v>65</v>
      </c>
      <c r="E677" s="3">
        <v>36481</v>
      </c>
      <c r="F677" s="3">
        <v>75000</v>
      </c>
      <c r="G677" s="3">
        <v>12</v>
      </c>
      <c r="H677" s="3">
        <v>13.66</v>
      </c>
      <c r="I677" s="3" t="s">
        <v>251</v>
      </c>
      <c r="J677" s="3">
        <v>787</v>
      </c>
      <c r="K677" s="29">
        <v>45274</v>
      </c>
      <c r="L677" s="29" t="s">
        <v>492</v>
      </c>
      <c r="M677" s="3" t="s">
        <v>24</v>
      </c>
      <c r="N677" s="3">
        <v>6722.04</v>
      </c>
      <c r="O677" s="3" t="s">
        <v>105</v>
      </c>
      <c r="P677" s="3" t="s">
        <v>118</v>
      </c>
      <c r="Q677" s="3" t="s">
        <v>35</v>
      </c>
      <c r="R677" s="3">
        <v>1</v>
      </c>
      <c r="S677" s="3">
        <v>44750.82</v>
      </c>
      <c r="T677" s="38" t="s">
        <v>2867</v>
      </c>
      <c r="U677" s="13"/>
    </row>
    <row r="678" spans="1:21" x14ac:dyDescent="0.3">
      <c r="A678" s="2" t="s">
        <v>2559</v>
      </c>
      <c r="B678" s="2" t="s">
        <v>2560</v>
      </c>
      <c r="C678" s="2">
        <v>33</v>
      </c>
      <c r="D678" s="2" t="s">
        <v>72</v>
      </c>
      <c r="E678" s="2">
        <v>203286</v>
      </c>
      <c r="F678" s="2">
        <v>75000</v>
      </c>
      <c r="G678" s="2">
        <v>12</v>
      </c>
      <c r="H678" s="2">
        <v>13.78</v>
      </c>
      <c r="I678" s="2" t="s">
        <v>83</v>
      </c>
      <c r="J678" s="2">
        <v>515</v>
      </c>
      <c r="K678" s="30">
        <v>45281</v>
      </c>
      <c r="L678" s="30" t="s">
        <v>1785</v>
      </c>
      <c r="M678" s="2" t="s">
        <v>24</v>
      </c>
      <c r="N678" s="2">
        <v>6726.27</v>
      </c>
      <c r="O678" s="2" t="s">
        <v>25</v>
      </c>
      <c r="P678" s="2" t="s">
        <v>26</v>
      </c>
      <c r="Q678" s="2" t="s">
        <v>42</v>
      </c>
      <c r="R678" s="2">
        <v>1</v>
      </c>
      <c r="S678" s="2">
        <v>44731.78</v>
      </c>
      <c r="T678" s="38" t="s">
        <v>2879</v>
      </c>
      <c r="U678" s="13"/>
    </row>
    <row r="679" spans="1:21" x14ac:dyDescent="0.3">
      <c r="A679" s="2" t="s">
        <v>2265</v>
      </c>
      <c r="B679" s="2" t="s">
        <v>2266</v>
      </c>
      <c r="C679" s="2">
        <v>56</v>
      </c>
      <c r="D679" s="2" t="s">
        <v>65</v>
      </c>
      <c r="E679" s="2">
        <v>101778</v>
      </c>
      <c r="F679" s="2">
        <v>75000</v>
      </c>
      <c r="G679" s="2">
        <v>12</v>
      </c>
      <c r="H679" s="2">
        <v>16.559999999999999</v>
      </c>
      <c r="I679" s="2" t="s">
        <v>251</v>
      </c>
      <c r="J679" s="2">
        <v>368</v>
      </c>
      <c r="K679" s="30">
        <v>44225</v>
      </c>
      <c r="L679" s="30" t="s">
        <v>1612</v>
      </c>
      <c r="M679" s="2" t="s">
        <v>122</v>
      </c>
      <c r="N679" s="2">
        <v>6824.71</v>
      </c>
      <c r="O679" s="2" t="s">
        <v>48</v>
      </c>
      <c r="P679" s="2" t="s">
        <v>375</v>
      </c>
      <c r="Q679" s="2" t="s">
        <v>42</v>
      </c>
      <c r="R679" s="2">
        <v>0</v>
      </c>
      <c r="S679" s="2">
        <v>44288.800000000003</v>
      </c>
      <c r="T679" s="38" t="s">
        <v>2879</v>
      </c>
      <c r="U679" s="13"/>
    </row>
    <row r="680" spans="1:21" x14ac:dyDescent="0.3">
      <c r="A680" s="3" t="s">
        <v>1854</v>
      </c>
      <c r="B680" s="3" t="s">
        <v>161</v>
      </c>
      <c r="C680" s="3">
        <v>38</v>
      </c>
      <c r="D680" s="3" t="s">
        <v>72</v>
      </c>
      <c r="E680" s="3">
        <v>91277</v>
      </c>
      <c r="F680" s="3">
        <v>75000</v>
      </c>
      <c r="G680" s="3">
        <v>24</v>
      </c>
      <c r="H680" s="3">
        <v>8.7899999999999991</v>
      </c>
      <c r="I680" s="3" t="s">
        <v>83</v>
      </c>
      <c r="J680" s="3">
        <v>418</v>
      </c>
      <c r="K680" s="29">
        <v>44975</v>
      </c>
      <c r="L680" s="29" t="s">
        <v>1855</v>
      </c>
      <c r="M680" s="3" t="s">
        <v>33</v>
      </c>
      <c r="N680" s="3">
        <v>3419.13</v>
      </c>
      <c r="O680" s="3" t="s">
        <v>54</v>
      </c>
      <c r="P680" s="3" t="s">
        <v>183</v>
      </c>
      <c r="Q680" s="3" t="s">
        <v>42</v>
      </c>
      <c r="R680" s="3">
        <v>0</v>
      </c>
      <c r="S680" s="3">
        <v>44227.83</v>
      </c>
      <c r="T680" s="38" t="s">
        <v>2879</v>
      </c>
      <c r="U680" s="13"/>
    </row>
    <row r="681" spans="1:21" x14ac:dyDescent="0.3">
      <c r="A681" s="3" t="s">
        <v>1560</v>
      </c>
      <c r="B681" s="3" t="s">
        <v>1561</v>
      </c>
      <c r="C681" s="3">
        <v>25</v>
      </c>
      <c r="D681" s="3" t="s">
        <v>65</v>
      </c>
      <c r="E681" s="3">
        <v>177006</v>
      </c>
      <c r="F681" s="3">
        <v>300000</v>
      </c>
      <c r="G681" s="3">
        <v>60</v>
      </c>
      <c r="H681" s="3">
        <v>9.66</v>
      </c>
      <c r="I681" s="3" t="s">
        <v>38</v>
      </c>
      <c r="J681" s="3">
        <v>474</v>
      </c>
      <c r="K681" s="29">
        <v>45273</v>
      </c>
      <c r="L681" s="29" t="s">
        <v>492</v>
      </c>
      <c r="M681" s="3" t="s">
        <v>24</v>
      </c>
      <c r="N681" s="3">
        <v>6324.04</v>
      </c>
      <c r="O681" s="3" t="s">
        <v>54</v>
      </c>
      <c r="P681" s="3" t="s">
        <v>304</v>
      </c>
      <c r="Q681" s="3" t="s">
        <v>35</v>
      </c>
      <c r="R681" s="3">
        <v>0</v>
      </c>
      <c r="S681" s="3">
        <v>43876.38</v>
      </c>
      <c r="T681" s="38" t="s">
        <v>2879</v>
      </c>
      <c r="U681" s="13"/>
    </row>
    <row r="682" spans="1:21" x14ac:dyDescent="0.3">
      <c r="A682" s="2" t="s">
        <v>2530</v>
      </c>
      <c r="B682" s="2" t="s">
        <v>2463</v>
      </c>
      <c r="C682" s="2">
        <v>62</v>
      </c>
      <c r="D682" s="2" t="s">
        <v>65</v>
      </c>
      <c r="E682" s="2">
        <v>140600</v>
      </c>
      <c r="F682" s="2">
        <v>100000</v>
      </c>
      <c r="G682" s="2">
        <v>180</v>
      </c>
      <c r="H682" s="2">
        <v>15.28</v>
      </c>
      <c r="I682" s="2" t="s">
        <v>38</v>
      </c>
      <c r="J682" s="2">
        <v>529</v>
      </c>
      <c r="K682" s="30">
        <v>44992</v>
      </c>
      <c r="L682" s="30" t="s">
        <v>210</v>
      </c>
      <c r="M682" s="2" t="s">
        <v>24</v>
      </c>
      <c r="N682" s="2">
        <v>1418.81</v>
      </c>
      <c r="O682" s="2" t="s">
        <v>105</v>
      </c>
      <c r="P682" s="2" t="s">
        <v>130</v>
      </c>
      <c r="Q682" s="2" t="s">
        <v>35</v>
      </c>
      <c r="R682" s="2">
        <v>10</v>
      </c>
      <c r="S682" s="2">
        <v>43815.12</v>
      </c>
      <c r="T682" s="38" t="s">
        <v>2879</v>
      </c>
      <c r="U682" s="13"/>
    </row>
    <row r="683" spans="1:21" x14ac:dyDescent="0.3">
      <c r="A683" s="3" t="s">
        <v>2748</v>
      </c>
      <c r="B683" s="3" t="s">
        <v>1523</v>
      </c>
      <c r="C683" s="3">
        <v>40</v>
      </c>
      <c r="D683" s="3" t="s">
        <v>72</v>
      </c>
      <c r="E683" s="3">
        <v>240091</v>
      </c>
      <c r="F683" s="3">
        <v>75000</v>
      </c>
      <c r="G683" s="3">
        <v>12</v>
      </c>
      <c r="H683" s="3">
        <v>21.12</v>
      </c>
      <c r="I683" s="3" t="s">
        <v>251</v>
      </c>
      <c r="J683" s="3">
        <v>564</v>
      </c>
      <c r="K683" s="29">
        <v>45040</v>
      </c>
      <c r="L683" s="29" t="s">
        <v>644</v>
      </c>
      <c r="M683" s="3" t="s">
        <v>24</v>
      </c>
      <c r="N683" s="3">
        <v>6987.85</v>
      </c>
      <c r="O683" s="3" t="s">
        <v>60</v>
      </c>
      <c r="P683" s="3" t="s">
        <v>192</v>
      </c>
      <c r="Q683" s="3" t="s">
        <v>35</v>
      </c>
      <c r="R683" s="3">
        <v>4</v>
      </c>
      <c r="S683" s="3">
        <v>43554.68</v>
      </c>
      <c r="T683" s="38" t="s">
        <v>2875</v>
      </c>
      <c r="U683" s="13"/>
    </row>
    <row r="684" spans="1:21" x14ac:dyDescent="0.3">
      <c r="A684" s="2" t="s">
        <v>165</v>
      </c>
      <c r="B684" s="2" t="s">
        <v>166</v>
      </c>
      <c r="C684" s="2">
        <v>33</v>
      </c>
      <c r="D684" s="2" t="s">
        <v>45</v>
      </c>
      <c r="E684" s="2">
        <v>84590</v>
      </c>
      <c r="F684" s="2">
        <v>50000</v>
      </c>
      <c r="G684" s="2">
        <v>24</v>
      </c>
      <c r="H684" s="2">
        <v>16.149999999999999</v>
      </c>
      <c r="I684" s="2" t="s">
        <v>38</v>
      </c>
      <c r="J684" s="2">
        <v>621</v>
      </c>
      <c r="K684" s="30">
        <v>44985</v>
      </c>
      <c r="L684" s="30" t="s">
        <v>167</v>
      </c>
      <c r="M684" s="2" t="s">
        <v>24</v>
      </c>
      <c r="N684" s="2">
        <v>2451.7399999999998</v>
      </c>
      <c r="O684" s="2" t="s">
        <v>60</v>
      </c>
      <c r="P684" s="2" t="s">
        <v>69</v>
      </c>
      <c r="Q684" s="2" t="s">
        <v>42</v>
      </c>
      <c r="R684" s="2">
        <v>2</v>
      </c>
      <c r="S684" s="2">
        <v>43380.3</v>
      </c>
      <c r="T684" s="38" t="s">
        <v>2875</v>
      </c>
      <c r="U684" s="13"/>
    </row>
    <row r="685" spans="1:21" x14ac:dyDescent="0.3">
      <c r="A685" s="3" t="s">
        <v>1204</v>
      </c>
      <c r="B685" s="3" t="s">
        <v>1205</v>
      </c>
      <c r="C685" s="3">
        <v>30</v>
      </c>
      <c r="D685" s="3" t="s">
        <v>65</v>
      </c>
      <c r="E685" s="3">
        <v>161616</v>
      </c>
      <c r="F685" s="3">
        <v>150000</v>
      </c>
      <c r="G685" s="3">
        <v>180</v>
      </c>
      <c r="H685" s="3">
        <v>13.23</v>
      </c>
      <c r="I685" s="3" t="s">
        <v>83</v>
      </c>
      <c r="J685" s="3">
        <v>874</v>
      </c>
      <c r="K685" s="29">
        <v>44343</v>
      </c>
      <c r="L685" s="29" t="s">
        <v>1206</v>
      </c>
      <c r="M685" s="3" t="s">
        <v>33</v>
      </c>
      <c r="N685" s="3">
        <v>1920.62</v>
      </c>
      <c r="O685" s="3" t="s">
        <v>54</v>
      </c>
      <c r="P685" s="3" t="s">
        <v>99</v>
      </c>
      <c r="Q685" s="3" t="s">
        <v>42</v>
      </c>
      <c r="R685" s="3">
        <v>0</v>
      </c>
      <c r="S685" s="3">
        <v>42829.4</v>
      </c>
      <c r="T685" s="38" t="s">
        <v>2867</v>
      </c>
      <c r="U685" s="13"/>
    </row>
    <row r="686" spans="1:21" x14ac:dyDescent="0.3">
      <c r="A686" s="2" t="s">
        <v>269</v>
      </c>
      <c r="B686" s="2" t="s">
        <v>270</v>
      </c>
      <c r="C686" s="2">
        <v>63</v>
      </c>
      <c r="D686" s="2" t="s">
        <v>30</v>
      </c>
      <c r="E686" s="2">
        <v>84633</v>
      </c>
      <c r="F686" s="2">
        <v>100000</v>
      </c>
      <c r="G686" s="2">
        <v>24</v>
      </c>
      <c r="H686" s="2">
        <v>8.36</v>
      </c>
      <c r="I686" s="2" t="s">
        <v>66</v>
      </c>
      <c r="J686" s="2">
        <v>882</v>
      </c>
      <c r="K686" s="30">
        <v>44819</v>
      </c>
      <c r="L686" s="30" t="s">
        <v>225</v>
      </c>
      <c r="M686" s="2" t="s">
        <v>122</v>
      </c>
      <c r="N686" s="2">
        <v>4539.17</v>
      </c>
      <c r="O686" s="2" t="s">
        <v>48</v>
      </c>
      <c r="P686" s="2" t="s">
        <v>80</v>
      </c>
      <c r="Q686" s="2" t="s">
        <v>100</v>
      </c>
      <c r="R686" s="2">
        <v>1</v>
      </c>
      <c r="S686" s="2">
        <v>42806.46</v>
      </c>
      <c r="T686" s="38" t="s">
        <v>2867</v>
      </c>
      <c r="U686" s="13"/>
    </row>
    <row r="687" spans="1:21" x14ac:dyDescent="0.3">
      <c r="A687" s="3" t="s">
        <v>809</v>
      </c>
      <c r="B687" s="3" t="s">
        <v>810</v>
      </c>
      <c r="C687" s="3">
        <v>39</v>
      </c>
      <c r="D687" s="3" t="s">
        <v>21</v>
      </c>
      <c r="E687" s="3">
        <v>131919</v>
      </c>
      <c r="F687" s="3">
        <v>100000</v>
      </c>
      <c r="G687" s="3">
        <v>12</v>
      </c>
      <c r="H687" s="3">
        <v>16.399999999999999</v>
      </c>
      <c r="I687" s="3" t="s">
        <v>83</v>
      </c>
      <c r="J687" s="3">
        <v>602</v>
      </c>
      <c r="K687" s="29">
        <v>44321</v>
      </c>
      <c r="L687" s="29" t="s">
        <v>811</v>
      </c>
      <c r="M687" s="3" t="s">
        <v>24</v>
      </c>
      <c r="N687" s="3">
        <v>9092.0300000000007</v>
      </c>
      <c r="O687" s="3" t="s">
        <v>60</v>
      </c>
      <c r="P687" s="3" t="s">
        <v>2997</v>
      </c>
      <c r="Q687" s="3" t="s">
        <v>42</v>
      </c>
      <c r="R687" s="3">
        <v>2</v>
      </c>
      <c r="S687" s="3">
        <v>42720.21</v>
      </c>
      <c r="T687" s="38" t="s">
        <v>2875</v>
      </c>
      <c r="U687" s="13"/>
    </row>
    <row r="688" spans="1:21" x14ac:dyDescent="0.3">
      <c r="A688" s="2" t="s">
        <v>2020</v>
      </c>
      <c r="B688" s="2" t="s">
        <v>2021</v>
      </c>
      <c r="C688" s="2">
        <v>39</v>
      </c>
      <c r="D688" s="2" t="s">
        <v>21</v>
      </c>
      <c r="E688" s="2">
        <v>181641</v>
      </c>
      <c r="F688" s="2">
        <v>100000</v>
      </c>
      <c r="G688" s="2">
        <v>24</v>
      </c>
      <c r="H688" s="2">
        <v>9.56</v>
      </c>
      <c r="I688" s="2" t="s">
        <v>66</v>
      </c>
      <c r="J688" s="2">
        <v>714</v>
      </c>
      <c r="K688" s="30">
        <v>45056</v>
      </c>
      <c r="L688" s="30" t="s">
        <v>260</v>
      </c>
      <c r="M688" s="2" t="s">
        <v>33</v>
      </c>
      <c r="N688" s="2">
        <v>4594.21</v>
      </c>
      <c r="O688" s="2" t="s">
        <v>25</v>
      </c>
      <c r="P688" s="2" t="s">
        <v>151</v>
      </c>
      <c r="Q688" s="2" t="s">
        <v>35</v>
      </c>
      <c r="R688" s="2">
        <v>11</v>
      </c>
      <c r="S688" s="2">
        <v>42112.95</v>
      </c>
      <c r="T688" s="38" t="s">
        <v>2871</v>
      </c>
      <c r="U688" s="13"/>
    </row>
    <row r="689" spans="1:21" x14ac:dyDescent="0.3">
      <c r="A689" s="2" t="s">
        <v>1362</v>
      </c>
      <c r="B689" s="2" t="s">
        <v>1363</v>
      </c>
      <c r="C689" s="2">
        <v>38</v>
      </c>
      <c r="D689" s="2" t="s">
        <v>30</v>
      </c>
      <c r="E689" s="2">
        <v>23923</v>
      </c>
      <c r="F689" s="2">
        <v>50000</v>
      </c>
      <c r="G689" s="2">
        <v>24</v>
      </c>
      <c r="H689" s="2">
        <v>8.32</v>
      </c>
      <c r="I689" s="2" t="s">
        <v>83</v>
      </c>
      <c r="J689" s="2">
        <v>424</v>
      </c>
      <c r="K689" s="30">
        <v>44966</v>
      </c>
      <c r="L689" s="30" t="s">
        <v>1364</v>
      </c>
      <c r="M689" s="2" t="s">
        <v>24</v>
      </c>
      <c r="N689" s="2">
        <v>2268.67</v>
      </c>
      <c r="O689" s="2" t="s">
        <v>25</v>
      </c>
      <c r="P689" s="2" t="s">
        <v>26</v>
      </c>
      <c r="Q689" s="2" t="s">
        <v>35</v>
      </c>
      <c r="R689" s="2">
        <v>9</v>
      </c>
      <c r="S689" s="2">
        <v>41832.79</v>
      </c>
      <c r="T689" s="38" t="s">
        <v>2879</v>
      </c>
      <c r="U689" s="13"/>
    </row>
    <row r="690" spans="1:21" x14ac:dyDescent="0.3">
      <c r="A690" s="3" t="s">
        <v>2800</v>
      </c>
      <c r="B690" s="3" t="s">
        <v>2801</v>
      </c>
      <c r="C690" s="3">
        <v>56</v>
      </c>
      <c r="D690" s="3" t="s">
        <v>30</v>
      </c>
      <c r="E690" s="3">
        <v>224438</v>
      </c>
      <c r="F690" s="3">
        <v>100000</v>
      </c>
      <c r="G690" s="3">
        <v>48</v>
      </c>
      <c r="H690" s="3">
        <v>20.67</v>
      </c>
      <c r="I690" s="3" t="s">
        <v>22</v>
      </c>
      <c r="J690" s="3">
        <v>547</v>
      </c>
      <c r="K690" s="29">
        <v>45272</v>
      </c>
      <c r="L690" s="29" t="s">
        <v>1141</v>
      </c>
      <c r="M690" s="3" t="s">
        <v>33</v>
      </c>
      <c r="N690" s="3">
        <v>3078.85</v>
      </c>
      <c r="O690" s="3" t="s">
        <v>54</v>
      </c>
      <c r="P690" s="3" t="s">
        <v>99</v>
      </c>
      <c r="Q690" s="3" t="s">
        <v>42</v>
      </c>
      <c r="R690" s="3">
        <v>0</v>
      </c>
      <c r="S690" s="3">
        <v>41809.74</v>
      </c>
      <c r="T690" s="38" t="s">
        <v>2879</v>
      </c>
      <c r="U690" s="13"/>
    </row>
    <row r="691" spans="1:21" x14ac:dyDescent="0.3">
      <c r="A691" s="3" t="s">
        <v>2818</v>
      </c>
      <c r="B691" s="3" t="s">
        <v>223</v>
      </c>
      <c r="C691" s="3">
        <v>48</v>
      </c>
      <c r="D691" s="3" t="s">
        <v>21</v>
      </c>
      <c r="E691" s="3">
        <v>56574</v>
      </c>
      <c r="F691" s="3">
        <v>50000</v>
      </c>
      <c r="G691" s="3">
        <v>48</v>
      </c>
      <c r="H691" s="3">
        <v>20.25</v>
      </c>
      <c r="I691" s="3" t="s">
        <v>251</v>
      </c>
      <c r="J691" s="3">
        <v>677</v>
      </c>
      <c r="K691" s="29">
        <v>44831</v>
      </c>
      <c r="L691" s="29" t="s">
        <v>2819</v>
      </c>
      <c r="M691" s="3" t="s">
        <v>24</v>
      </c>
      <c r="N691" s="3">
        <v>1528.19</v>
      </c>
      <c r="O691" s="3" t="s">
        <v>54</v>
      </c>
      <c r="P691" s="3" t="s">
        <v>164</v>
      </c>
      <c r="Q691" s="3" t="s">
        <v>27</v>
      </c>
      <c r="R691" s="3">
        <v>0</v>
      </c>
      <c r="S691" s="3">
        <v>41747.769999999997</v>
      </c>
      <c r="T691" s="38" t="s">
        <v>2871</v>
      </c>
      <c r="U691" s="13"/>
    </row>
    <row r="692" spans="1:21" x14ac:dyDescent="0.3">
      <c r="A692" s="3" t="s">
        <v>2771</v>
      </c>
      <c r="B692" s="3" t="s">
        <v>1346</v>
      </c>
      <c r="C692" s="3">
        <v>49</v>
      </c>
      <c r="D692" s="3" t="s">
        <v>65</v>
      </c>
      <c r="E692" s="3">
        <v>56577</v>
      </c>
      <c r="F692" s="3">
        <v>50000</v>
      </c>
      <c r="G692" s="3">
        <v>12</v>
      </c>
      <c r="H692" s="3">
        <v>18.350000000000001</v>
      </c>
      <c r="I692" s="3" t="s">
        <v>66</v>
      </c>
      <c r="J692" s="3">
        <v>508</v>
      </c>
      <c r="K692" s="29">
        <v>44777</v>
      </c>
      <c r="L692" s="29" t="s">
        <v>374</v>
      </c>
      <c r="M692" s="3" t="s">
        <v>24</v>
      </c>
      <c r="N692" s="3">
        <v>4592.33</v>
      </c>
      <c r="O692" s="3" t="s">
        <v>60</v>
      </c>
      <c r="P692" s="3" t="s">
        <v>172</v>
      </c>
      <c r="Q692" s="3" t="s">
        <v>42</v>
      </c>
      <c r="R692" s="3">
        <v>1</v>
      </c>
      <c r="S692" s="3">
        <v>41733.81</v>
      </c>
      <c r="T692" s="38" t="s">
        <v>2879</v>
      </c>
      <c r="U692" s="13"/>
    </row>
    <row r="693" spans="1:21" x14ac:dyDescent="0.3">
      <c r="A693" s="2" t="s">
        <v>1748</v>
      </c>
      <c r="B693" s="2" t="s">
        <v>1239</v>
      </c>
      <c r="C693" s="2">
        <v>50</v>
      </c>
      <c r="D693" s="2" t="s">
        <v>30</v>
      </c>
      <c r="E693" s="2">
        <v>118782</v>
      </c>
      <c r="F693" s="2">
        <v>150000</v>
      </c>
      <c r="G693" s="2">
        <v>60</v>
      </c>
      <c r="H693" s="2">
        <v>13.66</v>
      </c>
      <c r="I693" s="2" t="s">
        <v>73</v>
      </c>
      <c r="J693" s="2">
        <v>885</v>
      </c>
      <c r="K693" s="30">
        <v>44370</v>
      </c>
      <c r="L693" s="30" t="s">
        <v>278</v>
      </c>
      <c r="M693" s="2" t="s">
        <v>122</v>
      </c>
      <c r="N693" s="2">
        <v>3463.85</v>
      </c>
      <c r="O693" s="2" t="s">
        <v>105</v>
      </c>
      <c r="P693" s="2" t="s">
        <v>130</v>
      </c>
      <c r="Q693" s="2" t="s">
        <v>62</v>
      </c>
      <c r="R693" s="2">
        <v>1</v>
      </c>
      <c r="S693" s="2">
        <v>40888.720000000001</v>
      </c>
      <c r="T693" s="38" t="s">
        <v>2867</v>
      </c>
      <c r="U693" s="13"/>
    </row>
    <row r="694" spans="1:21" x14ac:dyDescent="0.3">
      <c r="A694" s="3" t="s">
        <v>2048</v>
      </c>
      <c r="B694" s="3" t="s">
        <v>2049</v>
      </c>
      <c r="C694" s="3">
        <v>29</v>
      </c>
      <c r="D694" s="3" t="s">
        <v>65</v>
      </c>
      <c r="E694" s="3">
        <v>171210</v>
      </c>
      <c r="F694" s="3">
        <v>75000</v>
      </c>
      <c r="G694" s="3">
        <v>24</v>
      </c>
      <c r="H694" s="3">
        <v>9.56</v>
      </c>
      <c r="I694" s="3" t="s">
        <v>66</v>
      </c>
      <c r="J694" s="3">
        <v>484</v>
      </c>
      <c r="K694" s="29">
        <v>44622</v>
      </c>
      <c r="L694" s="29" t="s">
        <v>2050</v>
      </c>
      <c r="M694" s="3" t="s">
        <v>24</v>
      </c>
      <c r="N694" s="3">
        <v>3445.66</v>
      </c>
      <c r="O694" s="3" t="s">
        <v>25</v>
      </c>
      <c r="P694" s="3" t="s">
        <v>26</v>
      </c>
      <c r="Q694" s="3" t="s">
        <v>42</v>
      </c>
      <c r="R694" s="3">
        <v>1</v>
      </c>
      <c r="S694" s="3">
        <v>40887.97</v>
      </c>
      <c r="T694" s="38" t="s">
        <v>2879</v>
      </c>
      <c r="U694" s="13"/>
    </row>
    <row r="695" spans="1:21" x14ac:dyDescent="0.3">
      <c r="A695" s="3" t="s">
        <v>1530</v>
      </c>
      <c r="B695" s="3" t="s">
        <v>1531</v>
      </c>
      <c r="C695" s="3">
        <v>47</v>
      </c>
      <c r="D695" s="3" t="s">
        <v>30</v>
      </c>
      <c r="E695" s="3">
        <v>44768</v>
      </c>
      <c r="F695" s="3">
        <v>100000</v>
      </c>
      <c r="G695" s="3">
        <v>48</v>
      </c>
      <c r="H695" s="3">
        <v>7.9</v>
      </c>
      <c r="I695" s="3" t="s">
        <v>66</v>
      </c>
      <c r="J695" s="3">
        <v>775</v>
      </c>
      <c r="K695" s="29">
        <v>44272</v>
      </c>
      <c r="L695" s="29" t="s">
        <v>1532</v>
      </c>
      <c r="M695" s="3" t="s">
        <v>24</v>
      </c>
      <c r="N695" s="3">
        <v>2436.6</v>
      </c>
      <c r="O695" s="3" t="s">
        <v>60</v>
      </c>
      <c r="P695" s="3" t="s">
        <v>69</v>
      </c>
      <c r="Q695" s="3" t="s">
        <v>62</v>
      </c>
      <c r="R695" s="3">
        <v>1</v>
      </c>
      <c r="S695" s="3">
        <v>40790.620000000003</v>
      </c>
      <c r="T695" s="38" t="s">
        <v>2867</v>
      </c>
      <c r="U695" s="13"/>
    </row>
    <row r="696" spans="1:21" x14ac:dyDescent="0.3">
      <c r="A696" s="3" t="s">
        <v>2551</v>
      </c>
      <c r="B696" s="3" t="s">
        <v>2552</v>
      </c>
      <c r="C696" s="3">
        <v>50</v>
      </c>
      <c r="D696" s="3" t="s">
        <v>65</v>
      </c>
      <c r="E696" s="3"/>
      <c r="F696" s="3">
        <v>50000</v>
      </c>
      <c r="G696" s="3">
        <v>60</v>
      </c>
      <c r="H696" s="3">
        <v>18.37</v>
      </c>
      <c r="I696" s="3" t="s">
        <v>31</v>
      </c>
      <c r="J696" s="3">
        <v>382</v>
      </c>
      <c r="K696" s="29">
        <v>44218</v>
      </c>
      <c r="L696" s="29" t="s">
        <v>1282</v>
      </c>
      <c r="M696" s="3" t="s">
        <v>24</v>
      </c>
      <c r="N696" s="3">
        <v>1279.76</v>
      </c>
      <c r="O696" s="3" t="s">
        <v>48</v>
      </c>
      <c r="P696" s="3" t="s">
        <v>375</v>
      </c>
      <c r="Q696" s="3" t="s">
        <v>42</v>
      </c>
      <c r="R696" s="3">
        <v>0</v>
      </c>
      <c r="S696" s="3">
        <v>40785.730000000003</v>
      </c>
      <c r="T696" s="38" t="s">
        <v>2879</v>
      </c>
      <c r="U696" s="13"/>
    </row>
    <row r="697" spans="1:21" x14ac:dyDescent="0.3">
      <c r="A697" s="2" t="s">
        <v>1864</v>
      </c>
      <c r="B697" s="2" t="s">
        <v>1865</v>
      </c>
      <c r="C697" s="2">
        <v>44</v>
      </c>
      <c r="D697" s="2" t="s">
        <v>65</v>
      </c>
      <c r="E697" s="2">
        <v>117514</v>
      </c>
      <c r="F697" s="2">
        <v>75000</v>
      </c>
      <c r="G697" s="2">
        <v>240</v>
      </c>
      <c r="H697" s="2">
        <v>18.04</v>
      </c>
      <c r="I697" s="2" t="s">
        <v>66</v>
      </c>
      <c r="J697" s="2">
        <v>499</v>
      </c>
      <c r="K697" s="30">
        <v>44859</v>
      </c>
      <c r="L697" s="30" t="s">
        <v>828</v>
      </c>
      <c r="M697" s="2" t="s">
        <v>24</v>
      </c>
      <c r="N697" s="2">
        <v>1159.79</v>
      </c>
      <c r="O697" s="2" t="s">
        <v>54</v>
      </c>
      <c r="P697" s="2" t="s">
        <v>164</v>
      </c>
      <c r="Q697" s="2" t="s">
        <v>27</v>
      </c>
      <c r="R697" s="2">
        <v>0</v>
      </c>
      <c r="S697" s="2">
        <v>40554.239999999998</v>
      </c>
      <c r="T697" s="38" t="s">
        <v>2879</v>
      </c>
      <c r="U697" s="13"/>
    </row>
    <row r="698" spans="1:21" x14ac:dyDescent="0.3">
      <c r="A698" s="2" t="s">
        <v>1508</v>
      </c>
      <c r="B698" s="2" t="s">
        <v>471</v>
      </c>
      <c r="C698" s="2">
        <v>25</v>
      </c>
      <c r="D698" s="2" t="s">
        <v>72</v>
      </c>
      <c r="E698" s="2">
        <v>169786</v>
      </c>
      <c r="F698" s="2">
        <v>50000</v>
      </c>
      <c r="G698" s="2">
        <v>36</v>
      </c>
      <c r="H698" s="2">
        <v>19.64</v>
      </c>
      <c r="I698" s="2" t="s">
        <v>38</v>
      </c>
      <c r="J698" s="2">
        <v>897</v>
      </c>
      <c r="K698" s="30">
        <v>45073</v>
      </c>
      <c r="L698" s="30" t="s">
        <v>261</v>
      </c>
      <c r="M698" s="2" t="s">
        <v>24</v>
      </c>
      <c r="N698" s="2">
        <v>1849.02</v>
      </c>
      <c r="O698" s="2" t="s">
        <v>25</v>
      </c>
      <c r="P698" s="2" t="s">
        <v>151</v>
      </c>
      <c r="Q698" s="2" t="s">
        <v>35</v>
      </c>
      <c r="R698" s="2">
        <v>6</v>
      </c>
      <c r="S698" s="2">
        <v>40015.29</v>
      </c>
      <c r="T698" s="38" t="s">
        <v>2867</v>
      </c>
      <c r="U698" s="13"/>
    </row>
    <row r="699" spans="1:21" x14ac:dyDescent="0.3">
      <c r="A699" s="2" t="s">
        <v>2486</v>
      </c>
      <c r="B699" s="2" t="s">
        <v>2487</v>
      </c>
      <c r="C699" s="2">
        <v>48</v>
      </c>
      <c r="D699" s="2" t="s">
        <v>65</v>
      </c>
      <c r="E699" s="2">
        <v>197561</v>
      </c>
      <c r="F699" s="2">
        <v>400000</v>
      </c>
      <c r="G699" s="2">
        <v>36</v>
      </c>
      <c r="H699" s="2">
        <v>19.79</v>
      </c>
      <c r="I699" s="2" t="s">
        <v>251</v>
      </c>
      <c r="J699" s="2">
        <v>398</v>
      </c>
      <c r="K699" s="30">
        <v>44713</v>
      </c>
      <c r="L699" s="30" t="s">
        <v>2488</v>
      </c>
      <c r="M699" s="2" t="s">
        <v>33</v>
      </c>
      <c r="N699" s="2">
        <v>14822.67</v>
      </c>
      <c r="O699" s="2" t="s">
        <v>48</v>
      </c>
      <c r="P699" s="2" t="s">
        <v>199</v>
      </c>
      <c r="Q699" s="2" t="s">
        <v>42</v>
      </c>
      <c r="R699" s="2">
        <v>0</v>
      </c>
      <c r="S699" s="2">
        <v>39809.120000000003</v>
      </c>
      <c r="T699" s="38" t="s">
        <v>2879</v>
      </c>
      <c r="U699" s="13"/>
    </row>
    <row r="700" spans="1:21" x14ac:dyDescent="0.3">
      <c r="A700" s="2" t="s">
        <v>2164</v>
      </c>
      <c r="B700" s="2" t="s">
        <v>2165</v>
      </c>
      <c r="C700" s="2">
        <v>25</v>
      </c>
      <c r="D700" s="2" t="s">
        <v>21</v>
      </c>
      <c r="E700" s="2">
        <v>29851</v>
      </c>
      <c r="F700" s="2">
        <v>100000</v>
      </c>
      <c r="G700" s="2">
        <v>180</v>
      </c>
      <c r="H700" s="2">
        <v>10.119999999999999</v>
      </c>
      <c r="I700" s="2" t="s">
        <v>46</v>
      </c>
      <c r="J700" s="2">
        <v>621</v>
      </c>
      <c r="K700" s="30">
        <v>44795</v>
      </c>
      <c r="L700" s="30" t="s">
        <v>893</v>
      </c>
      <c r="M700" s="2" t="s">
        <v>24</v>
      </c>
      <c r="N700" s="2">
        <v>1081.96</v>
      </c>
      <c r="O700" s="2" t="s">
        <v>48</v>
      </c>
      <c r="P700" s="2" t="s">
        <v>375</v>
      </c>
      <c r="Q700" s="2" t="s">
        <v>42</v>
      </c>
      <c r="R700" s="2">
        <v>2</v>
      </c>
      <c r="S700" s="2">
        <v>39626.629999999997</v>
      </c>
      <c r="T700" s="38" t="s">
        <v>2875</v>
      </c>
      <c r="U700" s="13"/>
    </row>
    <row r="701" spans="1:21" x14ac:dyDescent="0.3">
      <c r="A701" s="3" t="s">
        <v>2315</v>
      </c>
      <c r="B701" s="3" t="s">
        <v>2316</v>
      </c>
      <c r="C701" s="3">
        <v>30</v>
      </c>
      <c r="D701" s="3" t="s">
        <v>65</v>
      </c>
      <c r="E701" s="3">
        <v>64275</v>
      </c>
      <c r="F701" s="3">
        <v>50000</v>
      </c>
      <c r="G701" s="3">
        <v>48</v>
      </c>
      <c r="H701" s="3">
        <v>11.88</v>
      </c>
      <c r="I701" s="3" t="s">
        <v>22</v>
      </c>
      <c r="J701" s="3">
        <v>647</v>
      </c>
      <c r="K701" s="29">
        <v>44780</v>
      </c>
      <c r="L701" s="29" t="s">
        <v>1032</v>
      </c>
      <c r="M701" s="3" t="s">
        <v>122</v>
      </c>
      <c r="N701" s="3">
        <v>1313.75</v>
      </c>
      <c r="O701" s="3" t="s">
        <v>60</v>
      </c>
      <c r="P701" s="3" t="s">
        <v>192</v>
      </c>
      <c r="Q701" s="3" t="s">
        <v>100</v>
      </c>
      <c r="R701" s="3">
        <v>6</v>
      </c>
      <c r="S701" s="3">
        <v>39358.620000000003</v>
      </c>
      <c r="T701" s="38" t="s">
        <v>2875</v>
      </c>
      <c r="U701" s="13"/>
    </row>
    <row r="702" spans="1:21" x14ac:dyDescent="0.3">
      <c r="A702" s="3" t="s">
        <v>1055</v>
      </c>
      <c r="B702" s="3" t="s">
        <v>1056</v>
      </c>
      <c r="C702" s="3">
        <v>36</v>
      </c>
      <c r="D702" s="3" t="s">
        <v>65</v>
      </c>
      <c r="E702" s="3">
        <v>116046</v>
      </c>
      <c r="F702" s="3">
        <v>100000</v>
      </c>
      <c r="G702" s="3">
        <v>24</v>
      </c>
      <c r="H702" s="3">
        <v>7.74</v>
      </c>
      <c r="I702" s="3" t="s">
        <v>73</v>
      </c>
      <c r="J702" s="3">
        <v>453</v>
      </c>
      <c r="K702" s="29">
        <v>44276</v>
      </c>
      <c r="L702" s="29" t="s">
        <v>1057</v>
      </c>
      <c r="M702" s="3" t="s">
        <v>24</v>
      </c>
      <c r="N702" s="3">
        <v>4510.88</v>
      </c>
      <c r="O702" s="3" t="s">
        <v>54</v>
      </c>
      <c r="P702" s="3" t="s">
        <v>304</v>
      </c>
      <c r="Q702" s="3" t="s">
        <v>27</v>
      </c>
      <c r="R702" s="3">
        <v>0</v>
      </c>
      <c r="S702" s="3">
        <v>39103.120000000003</v>
      </c>
      <c r="T702" s="38" t="s">
        <v>2879</v>
      </c>
      <c r="U702" s="13"/>
    </row>
    <row r="703" spans="1:21" x14ac:dyDescent="0.3">
      <c r="A703" s="3" t="s">
        <v>580</v>
      </c>
      <c r="B703" s="3" t="s">
        <v>581</v>
      </c>
      <c r="C703" s="3">
        <v>56</v>
      </c>
      <c r="D703" s="3" t="s">
        <v>30</v>
      </c>
      <c r="E703" s="3">
        <v>214716</v>
      </c>
      <c r="F703" s="3">
        <v>150000</v>
      </c>
      <c r="G703" s="3">
        <v>24</v>
      </c>
      <c r="H703" s="3">
        <v>15.12</v>
      </c>
      <c r="I703" s="3" t="s">
        <v>38</v>
      </c>
      <c r="J703" s="3">
        <v>379</v>
      </c>
      <c r="K703" s="29">
        <v>45232</v>
      </c>
      <c r="L703" s="29" t="s">
        <v>582</v>
      </c>
      <c r="M703" s="3" t="s">
        <v>24</v>
      </c>
      <c r="N703" s="3">
        <v>7281.55</v>
      </c>
      <c r="O703" s="3" t="s">
        <v>54</v>
      </c>
      <c r="P703" s="3" t="s">
        <v>304</v>
      </c>
      <c r="Q703" s="3" t="s">
        <v>35</v>
      </c>
      <c r="R703" s="3">
        <v>0</v>
      </c>
      <c r="S703" s="3">
        <v>38592.28</v>
      </c>
      <c r="T703" s="38" t="s">
        <v>2879</v>
      </c>
      <c r="U703" s="13"/>
    </row>
    <row r="704" spans="1:21" x14ac:dyDescent="0.3">
      <c r="A704" s="3" t="s">
        <v>1646</v>
      </c>
      <c r="B704" s="3" t="s">
        <v>690</v>
      </c>
      <c r="C704" s="3">
        <v>34</v>
      </c>
      <c r="D704" s="3" t="s">
        <v>21</v>
      </c>
      <c r="E704" s="3">
        <v>37093</v>
      </c>
      <c r="F704" s="3">
        <v>50000</v>
      </c>
      <c r="G704" s="3">
        <v>240</v>
      </c>
      <c r="H704" s="3">
        <v>12.35</v>
      </c>
      <c r="I704" s="3" t="s">
        <v>251</v>
      </c>
      <c r="J704" s="3" t="s">
        <v>2882</v>
      </c>
      <c r="K704" s="29">
        <v>45244</v>
      </c>
      <c r="L704" s="29" t="s">
        <v>695</v>
      </c>
      <c r="M704" s="3" t="s">
        <v>24</v>
      </c>
      <c r="N704" s="3">
        <v>562.79</v>
      </c>
      <c r="O704" s="3" t="s">
        <v>54</v>
      </c>
      <c r="P704" s="3" t="s">
        <v>183</v>
      </c>
      <c r="Q704" s="3" t="s">
        <v>100</v>
      </c>
      <c r="R704" s="3">
        <v>3</v>
      </c>
      <c r="S704" s="3">
        <v>38350.25</v>
      </c>
      <c r="T704" s="38" t="s">
        <v>2883</v>
      </c>
      <c r="U704" s="13"/>
    </row>
    <row r="705" spans="1:21" x14ac:dyDescent="0.3">
      <c r="A705" s="3" t="s">
        <v>1786</v>
      </c>
      <c r="B705" s="3" t="s">
        <v>1787</v>
      </c>
      <c r="C705" s="3">
        <v>46</v>
      </c>
      <c r="D705" s="3" t="s">
        <v>21</v>
      </c>
      <c r="E705" s="3">
        <v>131388</v>
      </c>
      <c r="F705" s="3">
        <v>50000</v>
      </c>
      <c r="G705" s="3">
        <v>12</v>
      </c>
      <c r="H705" s="3">
        <v>8.2100000000000009</v>
      </c>
      <c r="I705" s="3" t="s">
        <v>73</v>
      </c>
      <c r="J705" s="3">
        <v>506</v>
      </c>
      <c r="K705" s="29">
        <v>44384</v>
      </c>
      <c r="L705" s="29" t="s">
        <v>1788</v>
      </c>
      <c r="M705" s="3" t="s">
        <v>24</v>
      </c>
      <c r="N705" s="3">
        <v>4354.28</v>
      </c>
      <c r="O705" s="3" t="s">
        <v>105</v>
      </c>
      <c r="P705" s="3" t="s">
        <v>130</v>
      </c>
      <c r="Q705" s="3" t="s">
        <v>42</v>
      </c>
      <c r="R705" s="3">
        <v>0</v>
      </c>
      <c r="S705" s="3">
        <v>38243.440000000002</v>
      </c>
      <c r="T705" s="38" t="s">
        <v>2879</v>
      </c>
      <c r="U705" s="13"/>
    </row>
    <row r="706" spans="1:21" x14ac:dyDescent="0.3">
      <c r="A706" s="2" t="s">
        <v>2033</v>
      </c>
      <c r="B706" s="2" t="s">
        <v>807</v>
      </c>
      <c r="C706" s="2">
        <v>33</v>
      </c>
      <c r="D706" s="2" t="s">
        <v>65</v>
      </c>
      <c r="E706" s="2">
        <v>127298</v>
      </c>
      <c r="F706" s="2">
        <v>250000</v>
      </c>
      <c r="G706" s="2">
        <v>36</v>
      </c>
      <c r="H706" s="2">
        <v>15.51</v>
      </c>
      <c r="I706" s="2" t="s">
        <v>251</v>
      </c>
      <c r="J706" s="2">
        <v>855</v>
      </c>
      <c r="K706" s="30">
        <v>44777</v>
      </c>
      <c r="L706" s="30" t="s">
        <v>893</v>
      </c>
      <c r="M706" s="2" t="s">
        <v>122</v>
      </c>
      <c r="N706" s="2">
        <v>8728.9</v>
      </c>
      <c r="O706" s="2" t="s">
        <v>60</v>
      </c>
      <c r="P706" s="2" t="s">
        <v>2997</v>
      </c>
      <c r="Q706" s="2" t="s">
        <v>42</v>
      </c>
      <c r="R706" s="2">
        <v>1</v>
      </c>
      <c r="S706" s="2">
        <v>37887.730000000003</v>
      </c>
      <c r="T706" s="38" t="s">
        <v>2867</v>
      </c>
      <c r="U706" s="13"/>
    </row>
    <row r="707" spans="1:21" x14ac:dyDescent="0.3">
      <c r="A707" s="3" t="s">
        <v>1936</v>
      </c>
      <c r="B707" s="3" t="s">
        <v>919</v>
      </c>
      <c r="C707" s="3">
        <v>60</v>
      </c>
      <c r="D707" s="3" t="s">
        <v>21</v>
      </c>
      <c r="E707" s="3">
        <v>197637</v>
      </c>
      <c r="F707" s="3">
        <v>100000</v>
      </c>
      <c r="G707" s="3">
        <v>60</v>
      </c>
      <c r="H707" s="3">
        <v>8.16</v>
      </c>
      <c r="I707" s="3" t="s">
        <v>46</v>
      </c>
      <c r="J707" s="3">
        <v>494</v>
      </c>
      <c r="K707" s="29">
        <v>45248</v>
      </c>
      <c r="L707" s="29" t="s">
        <v>1017</v>
      </c>
      <c r="M707" s="3" t="s">
        <v>24</v>
      </c>
      <c r="N707" s="3">
        <v>2035.31</v>
      </c>
      <c r="O707" s="3" t="s">
        <v>60</v>
      </c>
      <c r="P707" s="3" t="s">
        <v>2997</v>
      </c>
      <c r="Q707" s="3" t="s">
        <v>35</v>
      </c>
      <c r="R707" s="3">
        <v>10</v>
      </c>
      <c r="S707" s="3">
        <v>37719.51</v>
      </c>
      <c r="T707" s="38" t="s">
        <v>2879</v>
      </c>
      <c r="U707" s="13"/>
    </row>
    <row r="708" spans="1:21" x14ac:dyDescent="0.3">
      <c r="A708" s="3" t="s">
        <v>1486</v>
      </c>
      <c r="B708" s="3" t="s">
        <v>846</v>
      </c>
      <c r="C708" s="3">
        <v>40</v>
      </c>
      <c r="D708" s="3" t="s">
        <v>30</v>
      </c>
      <c r="E708" s="3">
        <v>212661</v>
      </c>
      <c r="F708" s="3">
        <v>500000</v>
      </c>
      <c r="G708" s="3">
        <v>12</v>
      </c>
      <c r="H708" s="3">
        <v>21.62</v>
      </c>
      <c r="I708" s="3" t="s">
        <v>22</v>
      </c>
      <c r="J708" s="3">
        <v>519</v>
      </c>
      <c r="K708" s="29">
        <v>44576</v>
      </c>
      <c r="L708" s="29" t="s">
        <v>706</v>
      </c>
      <c r="M708" s="3" t="s">
        <v>24</v>
      </c>
      <c r="N708" s="3">
        <v>46705.8</v>
      </c>
      <c r="O708" s="3" t="s">
        <v>54</v>
      </c>
      <c r="P708" s="3" t="s">
        <v>164</v>
      </c>
      <c r="Q708" s="3" t="s">
        <v>27</v>
      </c>
      <c r="R708" s="3">
        <v>1</v>
      </c>
      <c r="S708" s="3">
        <v>37612.58</v>
      </c>
      <c r="T708" s="38" t="s">
        <v>2879</v>
      </c>
      <c r="U708" s="13"/>
    </row>
    <row r="709" spans="1:21" x14ac:dyDescent="0.3">
      <c r="A709" s="3" t="s">
        <v>684</v>
      </c>
      <c r="B709" s="3" t="s">
        <v>685</v>
      </c>
      <c r="C709" s="3">
        <v>62</v>
      </c>
      <c r="D709" s="3" t="s">
        <v>21</v>
      </c>
      <c r="E709" s="3">
        <v>78444</v>
      </c>
      <c r="F709" s="3">
        <v>200000</v>
      </c>
      <c r="G709" s="3">
        <v>36</v>
      </c>
      <c r="H709" s="3">
        <v>17.87</v>
      </c>
      <c r="I709" s="3" t="s">
        <v>73</v>
      </c>
      <c r="J709" s="3">
        <v>375</v>
      </c>
      <c r="K709" s="29">
        <v>45291</v>
      </c>
      <c r="L709" s="29" t="s">
        <v>686</v>
      </c>
      <c r="M709" s="3" t="s">
        <v>122</v>
      </c>
      <c r="N709" s="3">
        <v>7217.44</v>
      </c>
      <c r="O709" s="3" t="s">
        <v>60</v>
      </c>
      <c r="P709" s="3" t="s">
        <v>69</v>
      </c>
      <c r="Q709" s="3" t="s">
        <v>27</v>
      </c>
      <c r="R709" s="3">
        <v>1</v>
      </c>
      <c r="S709" s="3">
        <v>37607.599999999999</v>
      </c>
      <c r="T709" s="38" t="s">
        <v>2879</v>
      </c>
      <c r="U709" s="13"/>
    </row>
    <row r="710" spans="1:21" x14ac:dyDescent="0.3">
      <c r="A710" s="3" t="s">
        <v>1000</v>
      </c>
      <c r="B710" s="3" t="s">
        <v>1001</v>
      </c>
      <c r="C710" s="3">
        <v>54</v>
      </c>
      <c r="D710" s="3" t="s">
        <v>72</v>
      </c>
      <c r="E710" s="3">
        <v>40154</v>
      </c>
      <c r="F710" s="3">
        <v>100000</v>
      </c>
      <c r="G710" s="3">
        <v>240</v>
      </c>
      <c r="H710" s="3">
        <v>15.23</v>
      </c>
      <c r="I710" s="3" t="s">
        <v>22</v>
      </c>
      <c r="J710" s="3">
        <v>515</v>
      </c>
      <c r="K710" s="29">
        <v>45088</v>
      </c>
      <c r="L710" s="29" t="s">
        <v>1003</v>
      </c>
      <c r="M710" s="3" t="s">
        <v>24</v>
      </c>
      <c r="N710" s="3">
        <v>1333.82</v>
      </c>
      <c r="O710" s="3" t="s">
        <v>105</v>
      </c>
      <c r="P710" s="3" t="s">
        <v>118</v>
      </c>
      <c r="Q710" s="3" t="s">
        <v>35</v>
      </c>
      <c r="R710" s="3">
        <v>1</v>
      </c>
      <c r="S710" s="3">
        <v>37577.22</v>
      </c>
      <c r="T710" s="38" t="s">
        <v>2879</v>
      </c>
      <c r="U710" s="13"/>
    </row>
    <row r="711" spans="1:21" x14ac:dyDescent="0.3">
      <c r="A711" s="2" t="s">
        <v>651</v>
      </c>
      <c r="B711" s="2" t="s">
        <v>634</v>
      </c>
      <c r="C711" s="2">
        <v>65</v>
      </c>
      <c r="D711" s="2" t="s">
        <v>21</v>
      </c>
      <c r="E711" s="2">
        <v>157352</v>
      </c>
      <c r="F711" s="2">
        <v>750000</v>
      </c>
      <c r="G711" s="2">
        <v>12</v>
      </c>
      <c r="H711" s="2">
        <v>10.1</v>
      </c>
      <c r="I711" s="2" t="s">
        <v>38</v>
      </c>
      <c r="J711" s="2">
        <v>316</v>
      </c>
      <c r="K711" s="30">
        <v>45012</v>
      </c>
      <c r="L711" s="30" t="s">
        <v>653</v>
      </c>
      <c r="M711" s="2" t="s">
        <v>24</v>
      </c>
      <c r="N711" s="2">
        <v>65971.8</v>
      </c>
      <c r="O711" s="2" t="s">
        <v>105</v>
      </c>
      <c r="P711" s="2" t="s">
        <v>2999</v>
      </c>
      <c r="Q711" s="2" t="s">
        <v>35</v>
      </c>
      <c r="R711" s="2">
        <v>2</v>
      </c>
      <c r="S711" s="2">
        <v>37504.559999999998</v>
      </c>
      <c r="T711" s="38" t="s">
        <v>2879</v>
      </c>
      <c r="U711" s="13"/>
    </row>
    <row r="712" spans="1:21" x14ac:dyDescent="0.3">
      <c r="A712" s="2" t="s">
        <v>1562</v>
      </c>
      <c r="B712" s="2" t="s">
        <v>720</v>
      </c>
      <c r="C712" s="2">
        <v>29</v>
      </c>
      <c r="D712" s="2" t="s">
        <v>30</v>
      </c>
      <c r="E712" s="2">
        <v>202056</v>
      </c>
      <c r="F712" s="2">
        <v>150000</v>
      </c>
      <c r="G712" s="2">
        <v>48</v>
      </c>
      <c r="H712" s="2">
        <v>21.22</v>
      </c>
      <c r="I712" s="2" t="s">
        <v>66</v>
      </c>
      <c r="J712" s="2">
        <v>594</v>
      </c>
      <c r="K712" s="30">
        <v>44620</v>
      </c>
      <c r="L712" s="30" t="s">
        <v>1563</v>
      </c>
      <c r="M712" s="2" t="s">
        <v>24</v>
      </c>
      <c r="N712" s="2">
        <v>4662.62</v>
      </c>
      <c r="O712" s="2" t="s">
        <v>60</v>
      </c>
      <c r="P712" s="2" t="s">
        <v>2997</v>
      </c>
      <c r="Q712" s="2" t="s">
        <v>35</v>
      </c>
      <c r="R712" s="2">
        <v>2</v>
      </c>
      <c r="S712" s="2">
        <v>36698.33</v>
      </c>
      <c r="T712" s="38" t="s">
        <v>2875</v>
      </c>
      <c r="U712" s="13"/>
    </row>
    <row r="713" spans="1:21" x14ac:dyDescent="0.3">
      <c r="A713" s="2" t="s">
        <v>735</v>
      </c>
      <c r="B713" s="2" t="s">
        <v>736</v>
      </c>
      <c r="C713" s="2">
        <v>53</v>
      </c>
      <c r="D713" s="2" t="s">
        <v>21</v>
      </c>
      <c r="E713" s="2">
        <v>167556</v>
      </c>
      <c r="F713" s="2">
        <v>50000</v>
      </c>
      <c r="G713" s="2">
        <v>24</v>
      </c>
      <c r="H713" s="2">
        <v>18.100000000000001</v>
      </c>
      <c r="I713" s="2" t="s">
        <v>31</v>
      </c>
      <c r="J713" s="2">
        <v>666</v>
      </c>
      <c r="K713" s="30">
        <v>45076</v>
      </c>
      <c r="L713" s="30" t="s">
        <v>737</v>
      </c>
      <c r="M713" s="2" t="s">
        <v>24</v>
      </c>
      <c r="N713" s="2">
        <v>2498.62</v>
      </c>
      <c r="O713" s="2" t="s">
        <v>25</v>
      </c>
      <c r="P713" s="2" t="s">
        <v>123</v>
      </c>
      <c r="Q713" s="2" t="s">
        <v>27</v>
      </c>
      <c r="R713" s="2">
        <v>1</v>
      </c>
      <c r="S713" s="2">
        <v>36507.449999999997</v>
      </c>
      <c r="T713" s="38" t="s">
        <v>2871</v>
      </c>
      <c r="U713" s="13"/>
    </row>
    <row r="714" spans="1:21" x14ac:dyDescent="0.3">
      <c r="A714" s="3" t="s">
        <v>528</v>
      </c>
      <c r="B714" s="3" t="s">
        <v>529</v>
      </c>
      <c r="C714" s="3">
        <v>34</v>
      </c>
      <c r="D714" s="3" t="s">
        <v>45</v>
      </c>
      <c r="E714" s="3">
        <v>148463</v>
      </c>
      <c r="F714" s="3">
        <v>300000</v>
      </c>
      <c r="G714" s="3">
        <v>240</v>
      </c>
      <c r="H714" s="3">
        <v>8.08</v>
      </c>
      <c r="I714" s="3" t="s">
        <v>46</v>
      </c>
      <c r="J714" s="3" t="s">
        <v>2882</v>
      </c>
      <c r="K714" s="29">
        <v>44502</v>
      </c>
      <c r="L714" s="29" t="s">
        <v>531</v>
      </c>
      <c r="M714" s="3" t="s">
        <v>33</v>
      </c>
      <c r="N714" s="3">
        <v>2524.2800000000002</v>
      </c>
      <c r="O714" s="3" t="s">
        <v>48</v>
      </c>
      <c r="P714" s="3" t="s">
        <v>80</v>
      </c>
      <c r="Q714" s="3" t="s">
        <v>100</v>
      </c>
      <c r="R714" s="3">
        <v>8</v>
      </c>
      <c r="S714" s="3">
        <v>36465.17</v>
      </c>
      <c r="T714" s="38" t="s">
        <v>2883</v>
      </c>
      <c r="U714" s="13"/>
    </row>
    <row r="715" spans="1:21" x14ac:dyDescent="0.3">
      <c r="A715" s="2" t="s">
        <v>900</v>
      </c>
      <c r="B715" s="2" t="s">
        <v>901</v>
      </c>
      <c r="C715" s="2">
        <v>38</v>
      </c>
      <c r="D715" s="2" t="s">
        <v>45</v>
      </c>
      <c r="E715" s="2">
        <v>92083</v>
      </c>
      <c r="F715" s="2">
        <v>400000</v>
      </c>
      <c r="G715" s="2">
        <v>24</v>
      </c>
      <c r="H715" s="2">
        <v>14.32</v>
      </c>
      <c r="I715" s="2" t="s">
        <v>22</v>
      </c>
      <c r="J715" s="2">
        <v>783</v>
      </c>
      <c r="K715" s="30">
        <v>44978</v>
      </c>
      <c r="L715" s="30" t="s">
        <v>175</v>
      </c>
      <c r="M715" s="2" t="s">
        <v>24</v>
      </c>
      <c r="N715" s="2">
        <v>19265.68</v>
      </c>
      <c r="O715" s="2" t="s">
        <v>105</v>
      </c>
      <c r="P715" s="2" t="s">
        <v>2999</v>
      </c>
      <c r="Q715" s="2" t="s">
        <v>42</v>
      </c>
      <c r="R715" s="2">
        <v>0</v>
      </c>
      <c r="S715" s="2">
        <v>35878.65</v>
      </c>
      <c r="T715" s="38" t="s">
        <v>2867</v>
      </c>
      <c r="U715" s="13"/>
    </row>
    <row r="716" spans="1:21" x14ac:dyDescent="0.3">
      <c r="A716" s="3" t="s">
        <v>1033</v>
      </c>
      <c r="B716" s="3" t="s">
        <v>1034</v>
      </c>
      <c r="C716" s="3">
        <v>47</v>
      </c>
      <c r="D716" s="3" t="s">
        <v>21</v>
      </c>
      <c r="E716" s="3">
        <v>146640</v>
      </c>
      <c r="F716" s="3">
        <v>50000</v>
      </c>
      <c r="G716" s="3">
        <v>48</v>
      </c>
      <c r="H716" s="3">
        <v>19.8</v>
      </c>
      <c r="I716" s="3" t="s">
        <v>251</v>
      </c>
      <c r="J716" s="3">
        <v>826</v>
      </c>
      <c r="K716" s="29">
        <v>44496</v>
      </c>
      <c r="L716" s="29" t="s">
        <v>871</v>
      </c>
      <c r="M716" s="3" t="s">
        <v>33</v>
      </c>
      <c r="N716" s="3">
        <v>1516.2</v>
      </c>
      <c r="O716" s="3" t="s">
        <v>105</v>
      </c>
      <c r="P716" s="3" t="s">
        <v>118</v>
      </c>
      <c r="Q716" s="3" t="s">
        <v>27</v>
      </c>
      <c r="R716" s="3">
        <v>0</v>
      </c>
      <c r="S716" s="3">
        <v>34989.620000000003</v>
      </c>
      <c r="T716" s="38" t="s">
        <v>2867</v>
      </c>
      <c r="U716" s="13"/>
    </row>
    <row r="717" spans="1:21" x14ac:dyDescent="0.3">
      <c r="A717" s="3" t="s">
        <v>1073</v>
      </c>
      <c r="B717" s="3" t="s">
        <v>1074</v>
      </c>
      <c r="C717" s="3">
        <v>32</v>
      </c>
      <c r="D717" s="3" t="s">
        <v>65</v>
      </c>
      <c r="E717" s="3">
        <v>181691</v>
      </c>
      <c r="F717" s="3">
        <v>50000</v>
      </c>
      <c r="G717" s="3">
        <v>24</v>
      </c>
      <c r="H717" s="3">
        <v>19.440000000000001</v>
      </c>
      <c r="I717" s="3" t="s">
        <v>31</v>
      </c>
      <c r="J717" s="3">
        <v>745</v>
      </c>
      <c r="K717" s="29">
        <v>44956</v>
      </c>
      <c r="L717" s="29" t="s">
        <v>454</v>
      </c>
      <c r="M717" s="3" t="s">
        <v>24</v>
      </c>
      <c r="N717" s="3">
        <v>2531.13</v>
      </c>
      <c r="O717" s="3" t="s">
        <v>25</v>
      </c>
      <c r="P717" s="3" t="s">
        <v>26</v>
      </c>
      <c r="Q717" s="3" t="s">
        <v>42</v>
      </c>
      <c r="R717" s="3">
        <v>1</v>
      </c>
      <c r="S717" s="3">
        <v>34053.879999999997</v>
      </c>
      <c r="T717" s="38" t="s">
        <v>2871</v>
      </c>
      <c r="U717" s="13"/>
    </row>
    <row r="718" spans="1:21" x14ac:dyDescent="0.3">
      <c r="A718" s="3" t="s">
        <v>2841</v>
      </c>
      <c r="B718" s="3" t="s">
        <v>2842</v>
      </c>
      <c r="C718" s="3">
        <v>43</v>
      </c>
      <c r="D718" s="3" t="s">
        <v>21</v>
      </c>
      <c r="E718" s="3">
        <v>124646</v>
      </c>
      <c r="F718" s="3">
        <v>75000</v>
      </c>
      <c r="G718" s="3">
        <v>24</v>
      </c>
      <c r="H718" s="3">
        <v>11.2</v>
      </c>
      <c r="I718" s="3" t="s">
        <v>46</v>
      </c>
      <c r="J718" s="3">
        <v>601</v>
      </c>
      <c r="K718" s="29">
        <v>44284</v>
      </c>
      <c r="L718" s="29" t="s">
        <v>257</v>
      </c>
      <c r="M718" s="3" t="s">
        <v>24</v>
      </c>
      <c r="N718" s="3">
        <v>3502.56</v>
      </c>
      <c r="O718" s="3" t="s">
        <v>105</v>
      </c>
      <c r="P718" s="3" t="s">
        <v>2999</v>
      </c>
      <c r="Q718" s="3" t="s">
        <v>42</v>
      </c>
      <c r="R718" s="3">
        <v>2</v>
      </c>
      <c r="S718" s="3">
        <v>34020.050000000003</v>
      </c>
      <c r="T718" s="38" t="s">
        <v>2875</v>
      </c>
      <c r="U718" s="13"/>
    </row>
    <row r="719" spans="1:21" x14ac:dyDescent="0.3">
      <c r="A719" s="2" t="s">
        <v>1719</v>
      </c>
      <c r="B719" s="2" t="s">
        <v>1720</v>
      </c>
      <c r="C719" s="2">
        <v>59</v>
      </c>
      <c r="D719" s="2" t="s">
        <v>72</v>
      </c>
      <c r="E719" s="2">
        <v>37422</v>
      </c>
      <c r="F719" s="2">
        <v>50000</v>
      </c>
      <c r="G719" s="2">
        <v>12</v>
      </c>
      <c r="H719" s="2">
        <v>12.97</v>
      </c>
      <c r="I719" s="2" t="s">
        <v>22</v>
      </c>
      <c r="J719" s="2">
        <v>430</v>
      </c>
      <c r="K719" s="30">
        <v>45081</v>
      </c>
      <c r="L719" s="30" t="s">
        <v>1721</v>
      </c>
      <c r="M719" s="2" t="s">
        <v>24</v>
      </c>
      <c r="N719" s="2">
        <v>4465.16</v>
      </c>
      <c r="O719" s="2" t="s">
        <v>25</v>
      </c>
      <c r="P719" s="2" t="s">
        <v>2998</v>
      </c>
      <c r="Q719" s="2" t="s">
        <v>42</v>
      </c>
      <c r="R719" s="2">
        <v>0</v>
      </c>
      <c r="S719" s="2">
        <v>33925.42</v>
      </c>
      <c r="T719" s="38" t="s">
        <v>2879</v>
      </c>
      <c r="U719" s="13"/>
    </row>
    <row r="720" spans="1:21" x14ac:dyDescent="0.3">
      <c r="A720" s="2" t="s">
        <v>880</v>
      </c>
      <c r="B720" s="2" t="s">
        <v>881</v>
      </c>
      <c r="C720" s="2">
        <v>39</v>
      </c>
      <c r="D720" s="2" t="s">
        <v>65</v>
      </c>
      <c r="E720" s="2">
        <v>149553</v>
      </c>
      <c r="F720" s="2">
        <v>50000</v>
      </c>
      <c r="G720" s="2">
        <v>12</v>
      </c>
      <c r="H720" s="2">
        <v>14.37</v>
      </c>
      <c r="I720" s="2" t="s">
        <v>251</v>
      </c>
      <c r="J720" s="2">
        <v>477</v>
      </c>
      <c r="K720" s="30">
        <v>44822</v>
      </c>
      <c r="L720" s="30" t="s">
        <v>882</v>
      </c>
      <c r="M720" s="2" t="s">
        <v>122</v>
      </c>
      <c r="N720" s="2">
        <v>4498.07</v>
      </c>
      <c r="O720" s="2" t="s">
        <v>54</v>
      </c>
      <c r="P720" s="2" t="s">
        <v>304</v>
      </c>
      <c r="Q720" s="2" t="s">
        <v>35</v>
      </c>
      <c r="R720" s="2">
        <v>3</v>
      </c>
      <c r="S720" s="2">
        <v>33806.949999999997</v>
      </c>
      <c r="T720" s="38" t="s">
        <v>2879</v>
      </c>
      <c r="U720" s="13"/>
    </row>
    <row r="721" spans="1:21" x14ac:dyDescent="0.3">
      <c r="A721" s="2" t="s">
        <v>2187</v>
      </c>
      <c r="B721" s="2" t="s">
        <v>2188</v>
      </c>
      <c r="C721" s="2">
        <v>28</v>
      </c>
      <c r="D721" s="2" t="s">
        <v>72</v>
      </c>
      <c r="E721" s="2">
        <v>147890</v>
      </c>
      <c r="F721" s="2">
        <v>400000</v>
      </c>
      <c r="G721" s="2">
        <v>24</v>
      </c>
      <c r="H721" s="2">
        <v>14.91</v>
      </c>
      <c r="I721" s="2" t="s">
        <v>83</v>
      </c>
      <c r="J721" s="2">
        <v>508</v>
      </c>
      <c r="K721" s="30">
        <v>45048</v>
      </c>
      <c r="L721" s="30" t="s">
        <v>1029</v>
      </c>
      <c r="M721" s="2" t="s">
        <v>24</v>
      </c>
      <c r="N721" s="2">
        <v>19377.560000000001</v>
      </c>
      <c r="O721" s="2" t="s">
        <v>48</v>
      </c>
      <c r="P721" s="2" t="s">
        <v>375</v>
      </c>
      <c r="Q721" s="2" t="s">
        <v>35</v>
      </c>
      <c r="R721" s="2">
        <v>5</v>
      </c>
      <c r="S721" s="2">
        <v>33764.120000000003</v>
      </c>
      <c r="T721" s="38" t="s">
        <v>2879</v>
      </c>
      <c r="U721" s="13"/>
    </row>
    <row r="722" spans="1:21" x14ac:dyDescent="0.3">
      <c r="A722" s="2" t="s">
        <v>2260</v>
      </c>
      <c r="B722" s="2" t="s">
        <v>2261</v>
      </c>
      <c r="C722" s="2">
        <v>55</v>
      </c>
      <c r="D722" s="2" t="s">
        <v>21</v>
      </c>
      <c r="E722" s="2">
        <v>176244</v>
      </c>
      <c r="F722" s="2">
        <v>250000</v>
      </c>
      <c r="G722" s="2">
        <v>36</v>
      </c>
      <c r="H722" s="2">
        <v>9.5500000000000007</v>
      </c>
      <c r="I722" s="2" t="s">
        <v>83</v>
      </c>
      <c r="J722" s="2">
        <v>680</v>
      </c>
      <c r="K722" s="30">
        <v>45144</v>
      </c>
      <c r="L722" s="30" t="s">
        <v>2262</v>
      </c>
      <c r="M722" s="2" t="s">
        <v>24</v>
      </c>
      <c r="N722" s="2">
        <v>8014.08</v>
      </c>
      <c r="O722" s="2" t="s">
        <v>54</v>
      </c>
      <c r="P722" s="2" t="s">
        <v>99</v>
      </c>
      <c r="Q722" s="2" t="s">
        <v>42</v>
      </c>
      <c r="R722" s="2">
        <v>1</v>
      </c>
      <c r="S722" s="2">
        <v>33619.839999999997</v>
      </c>
      <c r="T722" s="38" t="s">
        <v>2871</v>
      </c>
      <c r="U722" s="13"/>
    </row>
    <row r="723" spans="1:21" x14ac:dyDescent="0.3">
      <c r="A723" s="3" t="s">
        <v>135</v>
      </c>
      <c r="B723" s="3" t="s">
        <v>136</v>
      </c>
      <c r="C723" s="3">
        <v>45</v>
      </c>
      <c r="D723" s="3" t="s">
        <v>21</v>
      </c>
      <c r="E723" s="3">
        <v>56352</v>
      </c>
      <c r="F723" s="3">
        <v>400000</v>
      </c>
      <c r="G723" s="3">
        <v>240</v>
      </c>
      <c r="H723" s="3">
        <v>17.7</v>
      </c>
      <c r="I723" s="3" t="s">
        <v>46</v>
      </c>
      <c r="J723" s="3">
        <v>867</v>
      </c>
      <c r="K723" s="29">
        <v>44433</v>
      </c>
      <c r="L723" s="29" t="s">
        <v>138</v>
      </c>
      <c r="M723" s="3" t="s">
        <v>24</v>
      </c>
      <c r="N723" s="3">
        <v>6081.05</v>
      </c>
      <c r="O723" s="3" t="s">
        <v>48</v>
      </c>
      <c r="P723" s="3" t="s">
        <v>49</v>
      </c>
      <c r="Q723" s="3" t="s">
        <v>27</v>
      </c>
      <c r="R723" s="3">
        <v>0</v>
      </c>
      <c r="S723" s="3">
        <v>33312.68</v>
      </c>
      <c r="T723" s="38" t="s">
        <v>2867</v>
      </c>
      <c r="U723" s="13"/>
    </row>
    <row r="724" spans="1:21" x14ac:dyDescent="0.3">
      <c r="A724" s="3" t="s">
        <v>1040</v>
      </c>
      <c r="B724" s="3" t="s">
        <v>1041</v>
      </c>
      <c r="C724" s="3">
        <v>52</v>
      </c>
      <c r="D724" s="3" t="s">
        <v>65</v>
      </c>
      <c r="E724" s="3">
        <v>246093</v>
      </c>
      <c r="F724" s="3">
        <v>50000</v>
      </c>
      <c r="G724" s="3">
        <v>12</v>
      </c>
      <c r="H724" s="3">
        <v>21.72</v>
      </c>
      <c r="I724" s="3" t="s">
        <v>38</v>
      </c>
      <c r="J724" s="3">
        <v>405</v>
      </c>
      <c r="K724" s="29">
        <v>44553</v>
      </c>
      <c r="L724" s="29" t="s">
        <v>1042</v>
      </c>
      <c r="M724" s="3" t="s">
        <v>33</v>
      </c>
      <c r="N724" s="3">
        <v>4672.9799999999996</v>
      </c>
      <c r="O724" s="3" t="s">
        <v>54</v>
      </c>
      <c r="P724" s="3" t="s">
        <v>183</v>
      </c>
      <c r="Q724" s="3" t="s">
        <v>100</v>
      </c>
      <c r="R724" s="3">
        <v>11</v>
      </c>
      <c r="S724" s="3">
        <v>33177.269999999997</v>
      </c>
      <c r="T724" s="38" t="s">
        <v>2879</v>
      </c>
      <c r="U724" s="13"/>
    </row>
    <row r="725" spans="1:21" x14ac:dyDescent="0.3">
      <c r="A725" s="3" t="s">
        <v>2698</v>
      </c>
      <c r="B725" s="3" t="s">
        <v>2699</v>
      </c>
      <c r="C725" s="3">
        <v>34</v>
      </c>
      <c r="D725" s="3" t="s">
        <v>21</v>
      </c>
      <c r="E725" s="3">
        <v>147832</v>
      </c>
      <c r="F725" s="3">
        <v>100000</v>
      </c>
      <c r="G725" s="3">
        <v>12</v>
      </c>
      <c r="H725" s="3">
        <v>21.89</v>
      </c>
      <c r="I725" s="3" t="s">
        <v>251</v>
      </c>
      <c r="J725" s="3">
        <v>875</v>
      </c>
      <c r="K725" s="29">
        <v>44644</v>
      </c>
      <c r="L725" s="29" t="s">
        <v>1201</v>
      </c>
      <c r="M725" s="3" t="s">
        <v>24</v>
      </c>
      <c r="N725" s="3">
        <v>9354.14</v>
      </c>
      <c r="O725" s="3" t="s">
        <v>48</v>
      </c>
      <c r="P725" s="3" t="s">
        <v>49</v>
      </c>
      <c r="Q725" s="3" t="s">
        <v>42</v>
      </c>
      <c r="R725" s="3">
        <v>0</v>
      </c>
      <c r="S725" s="3">
        <v>32650.19</v>
      </c>
      <c r="T725" s="38" t="s">
        <v>2867</v>
      </c>
      <c r="U725" s="13"/>
    </row>
    <row r="726" spans="1:21" x14ac:dyDescent="0.3">
      <c r="A726" s="2" t="s">
        <v>790</v>
      </c>
      <c r="B726" s="2" t="s">
        <v>791</v>
      </c>
      <c r="C726" s="2">
        <v>45</v>
      </c>
      <c r="D726" s="2" t="s">
        <v>65</v>
      </c>
      <c r="E726" s="2">
        <v>211057</v>
      </c>
      <c r="F726" s="2">
        <v>75000</v>
      </c>
      <c r="G726" s="2">
        <v>24</v>
      </c>
      <c r="H726" s="2">
        <v>14.83</v>
      </c>
      <c r="I726" s="2" t="s">
        <v>73</v>
      </c>
      <c r="J726" s="2">
        <v>376</v>
      </c>
      <c r="K726" s="30">
        <v>44464</v>
      </c>
      <c r="L726" s="30" t="s">
        <v>297</v>
      </c>
      <c r="M726" s="2" t="s">
        <v>24</v>
      </c>
      <c r="N726" s="2">
        <v>3630.44</v>
      </c>
      <c r="O726" s="2" t="s">
        <v>54</v>
      </c>
      <c r="P726" s="2" t="s">
        <v>99</v>
      </c>
      <c r="Q726" s="2" t="s">
        <v>62</v>
      </c>
      <c r="R726" s="2">
        <v>0</v>
      </c>
      <c r="S726" s="2">
        <v>32523.85</v>
      </c>
      <c r="T726" s="38" t="s">
        <v>2879</v>
      </c>
      <c r="U726" s="13"/>
    </row>
    <row r="727" spans="1:21" x14ac:dyDescent="0.3">
      <c r="A727" s="2" t="s">
        <v>2715</v>
      </c>
      <c r="B727" s="2" t="s">
        <v>2716</v>
      </c>
      <c r="C727" s="2">
        <v>47</v>
      </c>
      <c r="D727" s="2" t="s">
        <v>65</v>
      </c>
      <c r="E727" s="2">
        <v>43190</v>
      </c>
      <c r="F727" s="2">
        <v>200000</v>
      </c>
      <c r="G727" s="2">
        <v>60</v>
      </c>
      <c r="H727" s="2">
        <v>16.420000000000002</v>
      </c>
      <c r="I727" s="2" t="s">
        <v>22</v>
      </c>
      <c r="J727" s="2">
        <v>591</v>
      </c>
      <c r="K727" s="30">
        <v>44729</v>
      </c>
      <c r="L727" s="30" t="s">
        <v>1578</v>
      </c>
      <c r="M727" s="2" t="s">
        <v>24</v>
      </c>
      <c r="N727" s="2">
        <v>4908.3599999999997</v>
      </c>
      <c r="O727" s="2" t="s">
        <v>105</v>
      </c>
      <c r="P727" s="2" t="s">
        <v>114</v>
      </c>
      <c r="Q727" s="2" t="s">
        <v>42</v>
      </c>
      <c r="R727" s="2">
        <v>1</v>
      </c>
      <c r="S727" s="2">
        <v>32134.09</v>
      </c>
      <c r="T727" s="38" t="s">
        <v>2875</v>
      </c>
      <c r="U727" s="13"/>
    </row>
    <row r="728" spans="1:21" x14ac:dyDescent="0.3">
      <c r="A728" s="2" t="s">
        <v>1387</v>
      </c>
      <c r="B728" s="2" t="s">
        <v>1388</v>
      </c>
      <c r="C728" s="2">
        <v>59</v>
      </c>
      <c r="D728" s="2" t="s">
        <v>30</v>
      </c>
      <c r="E728" s="2">
        <v>102950</v>
      </c>
      <c r="F728" s="2">
        <v>75000</v>
      </c>
      <c r="G728" s="2">
        <v>24</v>
      </c>
      <c r="H728" s="2">
        <v>11.47</v>
      </c>
      <c r="I728" s="2" t="s">
        <v>73</v>
      </c>
      <c r="J728" s="2">
        <v>472</v>
      </c>
      <c r="K728" s="30">
        <v>44695</v>
      </c>
      <c r="L728" s="30" t="s">
        <v>1135</v>
      </c>
      <c r="M728" s="2" t="s">
        <v>24</v>
      </c>
      <c r="N728" s="2">
        <v>3511.98</v>
      </c>
      <c r="O728" s="2" t="s">
        <v>48</v>
      </c>
      <c r="P728" s="2" t="s">
        <v>375</v>
      </c>
      <c r="Q728" s="2" t="s">
        <v>42</v>
      </c>
      <c r="R728" s="2">
        <v>0</v>
      </c>
      <c r="S728" s="2">
        <v>30749.05</v>
      </c>
      <c r="T728" s="38" t="s">
        <v>2879</v>
      </c>
      <c r="U728" s="13"/>
    </row>
    <row r="729" spans="1:21" x14ac:dyDescent="0.3">
      <c r="A729" s="3" t="s">
        <v>522</v>
      </c>
      <c r="B729" s="3" t="s">
        <v>523</v>
      </c>
      <c r="C729" s="3">
        <v>40</v>
      </c>
      <c r="D729" s="3" t="s">
        <v>45</v>
      </c>
      <c r="E729" s="3">
        <v>17143</v>
      </c>
      <c r="F729" s="3">
        <v>75000</v>
      </c>
      <c r="G729" s="3">
        <v>120</v>
      </c>
      <c r="H729" s="3">
        <v>9.44</v>
      </c>
      <c r="I729" s="3" t="s">
        <v>66</v>
      </c>
      <c r="J729" s="3">
        <v>674</v>
      </c>
      <c r="K729" s="29">
        <v>44301</v>
      </c>
      <c r="L729" s="29" t="s">
        <v>524</v>
      </c>
      <c r="M729" s="3" t="s">
        <v>24</v>
      </c>
      <c r="N729" s="3">
        <v>968.02</v>
      </c>
      <c r="O729" s="3" t="s">
        <v>60</v>
      </c>
      <c r="P729" s="3" t="s">
        <v>61</v>
      </c>
      <c r="Q729" s="3" t="s">
        <v>35</v>
      </c>
      <c r="R729" s="3">
        <v>0</v>
      </c>
      <c r="S729" s="3">
        <v>30567.88</v>
      </c>
      <c r="T729" s="38" t="s">
        <v>2871</v>
      </c>
      <c r="U729" s="13"/>
    </row>
    <row r="730" spans="1:21" x14ac:dyDescent="0.3">
      <c r="A730" s="3" t="s">
        <v>837</v>
      </c>
      <c r="B730" s="3" t="s">
        <v>838</v>
      </c>
      <c r="C730" s="3">
        <v>38</v>
      </c>
      <c r="D730" s="3" t="s">
        <v>72</v>
      </c>
      <c r="E730" s="3">
        <v>203852</v>
      </c>
      <c r="F730" s="3">
        <v>50000</v>
      </c>
      <c r="G730" s="3">
        <v>12</v>
      </c>
      <c r="H730" s="3">
        <v>13.1</v>
      </c>
      <c r="I730" s="3" t="s">
        <v>73</v>
      </c>
      <c r="J730" s="3">
        <v>470</v>
      </c>
      <c r="K730" s="29">
        <v>44965</v>
      </c>
      <c r="L730" s="29" t="s">
        <v>839</v>
      </c>
      <c r="M730" s="3" t="s">
        <v>24</v>
      </c>
      <c r="N730" s="3">
        <v>4468.21</v>
      </c>
      <c r="O730" s="3" t="s">
        <v>60</v>
      </c>
      <c r="P730" s="3" t="s">
        <v>2997</v>
      </c>
      <c r="Q730" s="3" t="s">
        <v>62</v>
      </c>
      <c r="R730" s="3">
        <v>1</v>
      </c>
      <c r="S730" s="3">
        <v>29893.06</v>
      </c>
      <c r="T730" s="38" t="s">
        <v>2879</v>
      </c>
      <c r="U730" s="13"/>
    </row>
    <row r="731" spans="1:21" x14ac:dyDescent="0.3">
      <c r="A731" s="2" t="s">
        <v>240</v>
      </c>
      <c r="B731" s="2" t="s">
        <v>241</v>
      </c>
      <c r="C731" s="2">
        <v>50</v>
      </c>
      <c r="D731" s="2" t="s">
        <v>72</v>
      </c>
      <c r="E731" s="2">
        <v>39393</v>
      </c>
      <c r="F731" s="2">
        <v>200000</v>
      </c>
      <c r="G731" s="2">
        <v>48</v>
      </c>
      <c r="H731" s="2">
        <v>13.36</v>
      </c>
      <c r="I731" s="2" t="s">
        <v>83</v>
      </c>
      <c r="J731" s="2">
        <v>613</v>
      </c>
      <c r="K731" s="30">
        <v>45284</v>
      </c>
      <c r="L731" s="30" t="s">
        <v>242</v>
      </c>
      <c r="M731" s="2" t="s">
        <v>24</v>
      </c>
      <c r="N731" s="2">
        <v>5401.3</v>
      </c>
      <c r="O731" s="2" t="s">
        <v>54</v>
      </c>
      <c r="P731" s="2" t="s">
        <v>183</v>
      </c>
      <c r="Q731" s="2" t="s">
        <v>42</v>
      </c>
      <c r="R731" s="2">
        <v>1</v>
      </c>
      <c r="S731" s="2">
        <v>29859.05</v>
      </c>
      <c r="T731" s="38" t="s">
        <v>2875</v>
      </c>
      <c r="U731" s="13"/>
    </row>
    <row r="732" spans="1:21" x14ac:dyDescent="0.3">
      <c r="A732" s="3" t="s">
        <v>2720</v>
      </c>
      <c r="B732" s="3" t="s">
        <v>1720</v>
      </c>
      <c r="C732" s="3">
        <v>30</v>
      </c>
      <c r="D732" s="3" t="s">
        <v>30</v>
      </c>
      <c r="E732" s="3">
        <v>204469</v>
      </c>
      <c r="F732" s="3">
        <v>75000</v>
      </c>
      <c r="G732" s="3">
        <v>60</v>
      </c>
      <c r="H732" s="3">
        <v>18.670000000000002</v>
      </c>
      <c r="I732" s="3" t="s">
        <v>38</v>
      </c>
      <c r="J732" s="3">
        <v>893</v>
      </c>
      <c r="K732" s="29">
        <v>44448</v>
      </c>
      <c r="L732" s="29" t="s">
        <v>2721</v>
      </c>
      <c r="M732" s="3" t="s">
        <v>33</v>
      </c>
      <c r="N732" s="3">
        <v>1931.95</v>
      </c>
      <c r="O732" s="3" t="s">
        <v>105</v>
      </c>
      <c r="P732" s="3" t="s">
        <v>118</v>
      </c>
      <c r="Q732" s="3" t="s">
        <v>42</v>
      </c>
      <c r="R732" s="3">
        <v>1</v>
      </c>
      <c r="S732" s="3">
        <v>29792.37</v>
      </c>
      <c r="T732" s="38" t="s">
        <v>2867</v>
      </c>
      <c r="U732" s="13"/>
    </row>
    <row r="733" spans="1:21" x14ac:dyDescent="0.3">
      <c r="A733" s="3" t="s">
        <v>1553</v>
      </c>
      <c r="B733" s="3" t="s">
        <v>1554</v>
      </c>
      <c r="C733" s="3">
        <v>60</v>
      </c>
      <c r="D733" s="3" t="s">
        <v>65</v>
      </c>
      <c r="E733" s="3">
        <v>222786</v>
      </c>
      <c r="F733" s="3">
        <v>250000</v>
      </c>
      <c r="G733" s="3">
        <v>180</v>
      </c>
      <c r="H733" s="3">
        <v>14.44</v>
      </c>
      <c r="I733" s="3" t="s">
        <v>251</v>
      </c>
      <c r="J733" s="3">
        <v>566</v>
      </c>
      <c r="K733" s="29">
        <v>44603</v>
      </c>
      <c r="L733" s="29" t="s">
        <v>1556</v>
      </c>
      <c r="M733" s="3" t="s">
        <v>24</v>
      </c>
      <c r="N733" s="3">
        <v>3403.58</v>
      </c>
      <c r="O733" s="3" t="s">
        <v>105</v>
      </c>
      <c r="P733" s="3" t="s">
        <v>2999</v>
      </c>
      <c r="Q733" s="3" t="s">
        <v>35</v>
      </c>
      <c r="R733" s="3">
        <v>5</v>
      </c>
      <c r="S733" s="3">
        <v>29448.02</v>
      </c>
      <c r="T733" s="38" t="s">
        <v>2875</v>
      </c>
      <c r="U733" s="13"/>
    </row>
    <row r="734" spans="1:21" x14ac:dyDescent="0.3">
      <c r="A734" s="3" t="s">
        <v>1888</v>
      </c>
      <c r="B734" s="3" t="s">
        <v>1889</v>
      </c>
      <c r="C734" s="3">
        <v>46</v>
      </c>
      <c r="D734" s="3" t="s">
        <v>30</v>
      </c>
      <c r="E734" s="3">
        <v>119873</v>
      </c>
      <c r="F734" s="3">
        <v>400000</v>
      </c>
      <c r="G734" s="3">
        <v>24</v>
      </c>
      <c r="H734" s="3">
        <v>21.2</v>
      </c>
      <c r="I734" s="3" t="s">
        <v>73</v>
      </c>
      <c r="J734" s="3">
        <v>446</v>
      </c>
      <c r="K734" s="29">
        <v>44748</v>
      </c>
      <c r="L734" s="29" t="s">
        <v>383</v>
      </c>
      <c r="M734" s="3" t="s">
        <v>24</v>
      </c>
      <c r="N734" s="3">
        <v>20593.580000000002</v>
      </c>
      <c r="O734" s="3" t="s">
        <v>54</v>
      </c>
      <c r="P734" s="3" t="s">
        <v>2996</v>
      </c>
      <c r="Q734" s="3" t="s">
        <v>100</v>
      </c>
      <c r="R734" s="3">
        <v>1</v>
      </c>
      <c r="S734" s="3">
        <v>29315.56</v>
      </c>
      <c r="T734" s="38" t="s">
        <v>2879</v>
      </c>
      <c r="U734" s="13"/>
    </row>
    <row r="735" spans="1:21" x14ac:dyDescent="0.3">
      <c r="A735" s="3" t="s">
        <v>2448</v>
      </c>
      <c r="B735" s="3" t="s">
        <v>2449</v>
      </c>
      <c r="C735" s="3">
        <v>57</v>
      </c>
      <c r="D735" s="3" t="s">
        <v>21</v>
      </c>
      <c r="E735" s="3">
        <v>69723</v>
      </c>
      <c r="F735" s="3">
        <v>1500000</v>
      </c>
      <c r="G735" s="3">
        <v>24</v>
      </c>
      <c r="H735" s="3">
        <v>8.36</v>
      </c>
      <c r="I735" s="3" t="s">
        <v>73</v>
      </c>
      <c r="J735" s="3">
        <v>443</v>
      </c>
      <c r="K735" s="29">
        <v>44693</v>
      </c>
      <c r="L735" s="29" t="s">
        <v>149</v>
      </c>
      <c r="M735" s="3" t="s">
        <v>24</v>
      </c>
      <c r="N735" s="3">
        <v>68087.490000000005</v>
      </c>
      <c r="O735" s="3" t="s">
        <v>105</v>
      </c>
      <c r="P735" s="3" t="s">
        <v>118</v>
      </c>
      <c r="Q735" s="3" t="s">
        <v>100</v>
      </c>
      <c r="R735" s="3">
        <v>2</v>
      </c>
      <c r="S735" s="3">
        <v>29310.22</v>
      </c>
      <c r="T735" s="38" t="s">
        <v>2879</v>
      </c>
      <c r="U735" s="13"/>
    </row>
    <row r="736" spans="1:21" x14ac:dyDescent="0.3">
      <c r="A736" s="2" t="s">
        <v>1843</v>
      </c>
      <c r="B736" s="2" t="s">
        <v>1550</v>
      </c>
      <c r="C736" s="2">
        <v>43</v>
      </c>
      <c r="D736" s="2" t="s">
        <v>21</v>
      </c>
      <c r="E736" s="2">
        <v>193745</v>
      </c>
      <c r="F736" s="2">
        <v>250000</v>
      </c>
      <c r="G736" s="2">
        <v>84</v>
      </c>
      <c r="H736" s="2">
        <v>19.34</v>
      </c>
      <c r="I736" s="2" t="s">
        <v>38</v>
      </c>
      <c r="J736" s="2">
        <v>708</v>
      </c>
      <c r="K736" s="30">
        <v>44873</v>
      </c>
      <c r="L736" s="30" t="s">
        <v>904</v>
      </c>
      <c r="M736" s="2" t="s">
        <v>24</v>
      </c>
      <c r="N736" s="2">
        <v>5452.63</v>
      </c>
      <c r="O736" s="2" t="s">
        <v>60</v>
      </c>
      <c r="P736" s="2" t="s">
        <v>69</v>
      </c>
      <c r="Q736" s="2" t="s">
        <v>35</v>
      </c>
      <c r="R736" s="2">
        <v>0</v>
      </c>
      <c r="S736" s="2">
        <v>29168.48</v>
      </c>
      <c r="T736" s="38" t="s">
        <v>2871</v>
      </c>
      <c r="U736" s="13"/>
    </row>
    <row r="737" spans="1:21" x14ac:dyDescent="0.3">
      <c r="A737" s="3" t="s">
        <v>732</v>
      </c>
      <c r="B737" s="3" t="s">
        <v>512</v>
      </c>
      <c r="C737" s="3">
        <v>37</v>
      </c>
      <c r="D737" s="3" t="s">
        <v>65</v>
      </c>
      <c r="E737" s="3">
        <v>143308</v>
      </c>
      <c r="F737" s="3">
        <v>100000</v>
      </c>
      <c r="G737" s="3">
        <v>60</v>
      </c>
      <c r="H737" s="3">
        <v>16.600000000000001</v>
      </c>
      <c r="I737" s="3" t="s">
        <v>73</v>
      </c>
      <c r="J737" s="3">
        <v>762</v>
      </c>
      <c r="K737" s="29">
        <v>44766</v>
      </c>
      <c r="L737" s="29" t="s">
        <v>734</v>
      </c>
      <c r="M737" s="3" t="s">
        <v>33</v>
      </c>
      <c r="N737" s="3">
        <v>2463.8000000000002</v>
      </c>
      <c r="O737" s="3" t="s">
        <v>25</v>
      </c>
      <c r="P737" s="3" t="s">
        <v>26</v>
      </c>
      <c r="Q737" s="3" t="s">
        <v>100</v>
      </c>
      <c r="R737" s="3">
        <v>6</v>
      </c>
      <c r="S737" s="3">
        <v>29042.560000000001</v>
      </c>
      <c r="T737" s="38" t="s">
        <v>2867</v>
      </c>
      <c r="U737" s="13"/>
    </row>
    <row r="738" spans="1:21" x14ac:dyDescent="0.3">
      <c r="A738" s="2" t="s">
        <v>1613</v>
      </c>
      <c r="B738" s="2" t="s">
        <v>1614</v>
      </c>
      <c r="C738" s="2">
        <v>34</v>
      </c>
      <c r="D738" s="2" t="s">
        <v>72</v>
      </c>
      <c r="E738" s="2">
        <v>69848</v>
      </c>
      <c r="F738" s="2">
        <v>400000</v>
      </c>
      <c r="G738" s="2">
        <v>36</v>
      </c>
      <c r="H738" s="2">
        <v>16.920000000000002</v>
      </c>
      <c r="I738" s="2" t="s">
        <v>73</v>
      </c>
      <c r="J738" s="2">
        <v>851</v>
      </c>
      <c r="K738" s="30">
        <v>44500</v>
      </c>
      <c r="L738" s="30" t="s">
        <v>1615</v>
      </c>
      <c r="M738" s="2" t="s">
        <v>24</v>
      </c>
      <c r="N738" s="2">
        <v>14245.17</v>
      </c>
      <c r="O738" s="2" t="s">
        <v>105</v>
      </c>
      <c r="P738" s="2" t="s">
        <v>114</v>
      </c>
      <c r="Q738" s="2" t="s">
        <v>35</v>
      </c>
      <c r="R738" s="2">
        <v>4</v>
      </c>
      <c r="S738" s="2">
        <v>28201.06</v>
      </c>
      <c r="T738" s="38" t="s">
        <v>2867</v>
      </c>
      <c r="U738" s="13"/>
    </row>
    <row r="739" spans="1:21" x14ac:dyDescent="0.3">
      <c r="A739" s="3" t="s">
        <v>1684</v>
      </c>
      <c r="B739" s="3" t="s">
        <v>1685</v>
      </c>
      <c r="C739" s="3">
        <v>53</v>
      </c>
      <c r="D739" s="3" t="s">
        <v>45</v>
      </c>
      <c r="E739" s="3">
        <v>212234</v>
      </c>
      <c r="F739" s="3">
        <v>500000</v>
      </c>
      <c r="G739" s="3">
        <v>120</v>
      </c>
      <c r="H739" s="3">
        <v>21.27</v>
      </c>
      <c r="I739" s="3" t="s">
        <v>66</v>
      </c>
      <c r="J739" s="3">
        <v>362</v>
      </c>
      <c r="K739" s="29">
        <v>44331</v>
      </c>
      <c r="L739" s="29" t="s">
        <v>1686</v>
      </c>
      <c r="M739" s="3" t="s">
        <v>24</v>
      </c>
      <c r="N739" s="3">
        <v>10087.48</v>
      </c>
      <c r="O739" s="3" t="s">
        <v>48</v>
      </c>
      <c r="P739" s="3" t="s">
        <v>80</v>
      </c>
      <c r="Q739" s="3" t="s">
        <v>35</v>
      </c>
      <c r="R739" s="3">
        <v>8</v>
      </c>
      <c r="S739" s="3">
        <v>27905.94</v>
      </c>
      <c r="T739" s="38" t="s">
        <v>2879</v>
      </c>
      <c r="U739" s="13"/>
    </row>
    <row r="740" spans="1:21" x14ac:dyDescent="0.3">
      <c r="A740" s="2" t="s">
        <v>204</v>
      </c>
      <c r="B740" s="2" t="s">
        <v>205</v>
      </c>
      <c r="C740" s="2">
        <v>58</v>
      </c>
      <c r="D740" s="2" t="s">
        <v>65</v>
      </c>
      <c r="E740" s="2">
        <v>140037</v>
      </c>
      <c r="F740" s="2">
        <v>50000</v>
      </c>
      <c r="G740" s="2">
        <v>84</v>
      </c>
      <c r="H740" s="2">
        <v>11.83</v>
      </c>
      <c r="I740" s="2" t="s">
        <v>73</v>
      </c>
      <c r="J740" s="2">
        <v>729</v>
      </c>
      <c r="K740" s="30">
        <v>45196</v>
      </c>
      <c r="L740" s="30" t="s">
        <v>207</v>
      </c>
      <c r="M740" s="2" t="s">
        <v>33</v>
      </c>
      <c r="N740" s="2">
        <v>878.1</v>
      </c>
      <c r="O740" s="2" t="s">
        <v>54</v>
      </c>
      <c r="P740" s="2" t="s">
        <v>99</v>
      </c>
      <c r="Q740" s="2" t="s">
        <v>42</v>
      </c>
      <c r="R740" s="2">
        <v>2</v>
      </c>
      <c r="S740" s="2">
        <v>27871.88</v>
      </c>
      <c r="T740" s="38" t="s">
        <v>2871</v>
      </c>
      <c r="U740" s="13"/>
    </row>
    <row r="741" spans="1:21" x14ac:dyDescent="0.3">
      <c r="A741" s="3" t="s">
        <v>2104</v>
      </c>
      <c r="B741" s="3" t="s">
        <v>2105</v>
      </c>
      <c r="C741" s="3">
        <v>36</v>
      </c>
      <c r="D741" s="3" t="s">
        <v>45</v>
      </c>
      <c r="E741" s="3">
        <v>146896</v>
      </c>
      <c r="F741" s="3">
        <v>100000</v>
      </c>
      <c r="G741" s="3">
        <v>36</v>
      </c>
      <c r="H741" s="3">
        <v>18.739999999999998</v>
      </c>
      <c r="I741" s="3" t="s">
        <v>22</v>
      </c>
      <c r="J741" s="3">
        <v>611</v>
      </c>
      <c r="K741" s="29">
        <v>44724</v>
      </c>
      <c r="L741" s="29" t="s">
        <v>1091</v>
      </c>
      <c r="M741" s="3" t="s">
        <v>24</v>
      </c>
      <c r="N741" s="3">
        <v>3652.47</v>
      </c>
      <c r="O741" s="3" t="s">
        <v>48</v>
      </c>
      <c r="P741" s="3" t="s">
        <v>80</v>
      </c>
      <c r="Q741" s="3" t="s">
        <v>42</v>
      </c>
      <c r="R741" s="3">
        <v>1</v>
      </c>
      <c r="S741" s="3">
        <v>27681.09</v>
      </c>
      <c r="T741" s="38" t="s">
        <v>2875</v>
      </c>
      <c r="U741" s="13"/>
    </row>
    <row r="742" spans="1:21" x14ac:dyDescent="0.3">
      <c r="A742" s="2" t="s">
        <v>2686</v>
      </c>
      <c r="B742" s="2" t="s">
        <v>701</v>
      </c>
      <c r="C742" s="2">
        <v>23</v>
      </c>
      <c r="D742" s="2" t="s">
        <v>30</v>
      </c>
      <c r="E742" s="2">
        <v>172976</v>
      </c>
      <c r="F742" s="2">
        <v>1500000</v>
      </c>
      <c r="G742" s="2">
        <v>24</v>
      </c>
      <c r="H742" s="2">
        <v>8.48</v>
      </c>
      <c r="I742" s="2" t="s">
        <v>22</v>
      </c>
      <c r="J742" s="2">
        <v>575</v>
      </c>
      <c r="K742" s="30">
        <v>45144</v>
      </c>
      <c r="L742" s="30" t="s">
        <v>556</v>
      </c>
      <c r="M742" s="2" t="s">
        <v>24</v>
      </c>
      <c r="N742" s="2">
        <v>68169.789999999994</v>
      </c>
      <c r="O742" s="2" t="s">
        <v>105</v>
      </c>
      <c r="P742" s="2" t="s">
        <v>2999</v>
      </c>
      <c r="Q742" s="2" t="s">
        <v>42</v>
      </c>
      <c r="R742" s="2">
        <v>0</v>
      </c>
      <c r="S742" s="2">
        <v>27532.54</v>
      </c>
      <c r="T742" s="38" t="s">
        <v>2875</v>
      </c>
      <c r="U742" s="13"/>
    </row>
    <row r="743" spans="1:21" x14ac:dyDescent="0.3">
      <c r="A743" s="2" t="s">
        <v>2408</v>
      </c>
      <c r="B743" s="2" t="s">
        <v>1120</v>
      </c>
      <c r="C743" s="2">
        <v>57</v>
      </c>
      <c r="D743" s="2" t="s">
        <v>72</v>
      </c>
      <c r="E743" s="2">
        <v>154398</v>
      </c>
      <c r="F743" s="2">
        <v>100000</v>
      </c>
      <c r="G743" s="2">
        <v>240</v>
      </c>
      <c r="H743" s="2">
        <v>19.77</v>
      </c>
      <c r="I743" s="2" t="s">
        <v>22</v>
      </c>
      <c r="J743" s="2">
        <v>887</v>
      </c>
      <c r="K743" s="30">
        <v>44346</v>
      </c>
      <c r="L743" s="30" t="s">
        <v>1466</v>
      </c>
      <c r="M743" s="2" t="s">
        <v>33</v>
      </c>
      <c r="N743" s="2">
        <v>1680.79</v>
      </c>
      <c r="O743" s="2" t="s">
        <v>60</v>
      </c>
      <c r="P743" s="2" t="s">
        <v>69</v>
      </c>
      <c r="Q743" s="2" t="s">
        <v>27</v>
      </c>
      <c r="R743" s="2">
        <v>2</v>
      </c>
      <c r="S743" s="2">
        <v>27389.87</v>
      </c>
      <c r="T743" s="38" t="s">
        <v>2867</v>
      </c>
      <c r="U743" s="13"/>
    </row>
    <row r="744" spans="1:21" x14ac:dyDescent="0.3">
      <c r="A744" s="2" t="s">
        <v>2662</v>
      </c>
      <c r="B744" s="2" t="s">
        <v>2663</v>
      </c>
      <c r="C744" s="2">
        <v>39</v>
      </c>
      <c r="D744" s="2" t="s">
        <v>21</v>
      </c>
      <c r="E744" s="2">
        <v>171699</v>
      </c>
      <c r="F744" s="2">
        <v>300000</v>
      </c>
      <c r="G744" s="2">
        <v>48</v>
      </c>
      <c r="H744" s="2">
        <v>18.64</v>
      </c>
      <c r="I744" s="2" t="s">
        <v>251</v>
      </c>
      <c r="J744" s="2">
        <v>602</v>
      </c>
      <c r="K744" s="30">
        <v>44854</v>
      </c>
      <c r="L744" s="30" t="s">
        <v>350</v>
      </c>
      <c r="M744" s="2" t="s">
        <v>24</v>
      </c>
      <c r="N744" s="2">
        <v>8913.14</v>
      </c>
      <c r="O744" s="2" t="s">
        <v>105</v>
      </c>
      <c r="P744" s="2" t="s">
        <v>130</v>
      </c>
      <c r="Q744" s="2" t="s">
        <v>100</v>
      </c>
      <c r="R744" s="2">
        <v>11</v>
      </c>
      <c r="S744" s="2">
        <v>27257.919999999998</v>
      </c>
      <c r="T744" s="38" t="s">
        <v>2875</v>
      </c>
      <c r="U744" s="13"/>
    </row>
    <row r="745" spans="1:21" x14ac:dyDescent="0.3">
      <c r="A745" s="3" t="s">
        <v>855</v>
      </c>
      <c r="B745" s="3" t="s">
        <v>856</v>
      </c>
      <c r="C745" s="3">
        <v>36</v>
      </c>
      <c r="D745" s="3" t="s">
        <v>21</v>
      </c>
      <c r="E745" s="3">
        <v>162913</v>
      </c>
      <c r="F745" s="3">
        <v>50000</v>
      </c>
      <c r="G745" s="3">
        <v>36</v>
      </c>
      <c r="H745" s="3">
        <v>18.41</v>
      </c>
      <c r="I745" s="3" t="s">
        <v>22</v>
      </c>
      <c r="J745" s="3">
        <v>387</v>
      </c>
      <c r="K745" s="29">
        <v>44321</v>
      </c>
      <c r="L745" s="29" t="s">
        <v>590</v>
      </c>
      <c r="M745" s="3" t="s">
        <v>24</v>
      </c>
      <c r="N745" s="3">
        <v>1817.92</v>
      </c>
      <c r="O745" s="3" t="s">
        <v>48</v>
      </c>
      <c r="P745" s="3" t="s">
        <v>375</v>
      </c>
      <c r="Q745" s="3" t="s">
        <v>42</v>
      </c>
      <c r="R745" s="3">
        <v>1</v>
      </c>
      <c r="S745" s="3">
        <v>27094.21</v>
      </c>
      <c r="T745" s="38" t="s">
        <v>2879</v>
      </c>
      <c r="U745" s="13"/>
    </row>
    <row r="746" spans="1:21" x14ac:dyDescent="0.3">
      <c r="A746" s="3" t="s">
        <v>1689</v>
      </c>
      <c r="B746" s="3" t="s">
        <v>1690</v>
      </c>
      <c r="C746" s="3">
        <v>31</v>
      </c>
      <c r="D746" s="3" t="s">
        <v>21</v>
      </c>
      <c r="E746" s="3">
        <v>156673</v>
      </c>
      <c r="F746" s="3">
        <v>100000</v>
      </c>
      <c r="G746" s="3">
        <v>48</v>
      </c>
      <c r="H746" s="3">
        <v>15.29</v>
      </c>
      <c r="I746" s="3" t="s">
        <v>73</v>
      </c>
      <c r="J746" s="3" t="s">
        <v>2882</v>
      </c>
      <c r="K746" s="29">
        <v>44789</v>
      </c>
      <c r="L746" s="29" t="s">
        <v>1085</v>
      </c>
      <c r="M746" s="3" t="s">
        <v>24</v>
      </c>
      <c r="N746" s="3">
        <v>2797.8</v>
      </c>
      <c r="O746" s="3" t="s">
        <v>60</v>
      </c>
      <c r="P746" s="3" t="s">
        <v>172</v>
      </c>
      <c r="Q746" s="3" t="s">
        <v>35</v>
      </c>
      <c r="R746" s="3">
        <v>0</v>
      </c>
      <c r="S746" s="3">
        <v>26977.42</v>
      </c>
      <c r="T746" s="38" t="s">
        <v>2883</v>
      </c>
      <c r="U746" s="13"/>
    </row>
    <row r="747" spans="1:21" x14ac:dyDescent="0.3">
      <c r="A747" s="2" t="s">
        <v>2722</v>
      </c>
      <c r="B747" s="2" t="s">
        <v>132</v>
      </c>
      <c r="C747" s="2">
        <v>35</v>
      </c>
      <c r="D747" s="2" t="s">
        <v>65</v>
      </c>
      <c r="E747" s="2">
        <v>187014</v>
      </c>
      <c r="F747" s="2">
        <v>50000</v>
      </c>
      <c r="G747" s="2">
        <v>84</v>
      </c>
      <c r="H747" s="2">
        <v>9.77</v>
      </c>
      <c r="I747" s="2" t="s">
        <v>83</v>
      </c>
      <c r="J747" s="2">
        <v>653</v>
      </c>
      <c r="K747" s="30">
        <v>44994</v>
      </c>
      <c r="L747" s="30" t="s">
        <v>1241</v>
      </c>
      <c r="M747" s="2" t="s">
        <v>33</v>
      </c>
      <c r="N747" s="2">
        <v>824.13</v>
      </c>
      <c r="O747" s="2" t="s">
        <v>25</v>
      </c>
      <c r="P747" s="2" t="s">
        <v>26</v>
      </c>
      <c r="Q747" s="2" t="s">
        <v>27</v>
      </c>
      <c r="R747" s="2">
        <v>0</v>
      </c>
      <c r="S747" s="2">
        <v>26265.06</v>
      </c>
      <c r="T747" s="38" t="s">
        <v>2871</v>
      </c>
      <c r="U747" s="13"/>
    </row>
    <row r="748" spans="1:21" x14ac:dyDescent="0.3">
      <c r="A748" s="3" t="s">
        <v>1754</v>
      </c>
      <c r="B748" s="3" t="s">
        <v>1084</v>
      </c>
      <c r="C748" s="3">
        <v>28</v>
      </c>
      <c r="D748" s="3" t="s">
        <v>72</v>
      </c>
      <c r="E748" s="3">
        <v>33703</v>
      </c>
      <c r="F748" s="3">
        <v>250000</v>
      </c>
      <c r="G748" s="3">
        <v>12</v>
      </c>
      <c r="H748" s="3">
        <v>15.42</v>
      </c>
      <c r="I748" s="3" t="s">
        <v>38</v>
      </c>
      <c r="J748" s="3">
        <v>501</v>
      </c>
      <c r="K748" s="29">
        <v>44759</v>
      </c>
      <c r="L748" s="29" t="s">
        <v>117</v>
      </c>
      <c r="M748" s="3" t="s">
        <v>24</v>
      </c>
      <c r="N748" s="3">
        <v>22614.15</v>
      </c>
      <c r="O748" s="3" t="s">
        <v>48</v>
      </c>
      <c r="P748" s="3" t="s">
        <v>199</v>
      </c>
      <c r="Q748" s="3" t="s">
        <v>42</v>
      </c>
      <c r="R748" s="3">
        <v>1</v>
      </c>
      <c r="S748" s="3">
        <v>26119.91</v>
      </c>
      <c r="T748" s="38" t="s">
        <v>2879</v>
      </c>
      <c r="U748" s="13"/>
    </row>
    <row r="749" spans="1:21" x14ac:dyDescent="0.3">
      <c r="A749" s="2" t="s">
        <v>2277</v>
      </c>
      <c r="B749" s="2" t="s">
        <v>2278</v>
      </c>
      <c r="C749" s="2">
        <v>63</v>
      </c>
      <c r="D749" s="2" t="s">
        <v>21</v>
      </c>
      <c r="E749" s="2">
        <v>61664</v>
      </c>
      <c r="F749" s="2">
        <v>50000</v>
      </c>
      <c r="G749" s="2">
        <v>84</v>
      </c>
      <c r="H749" s="2">
        <v>19.899999999999999</v>
      </c>
      <c r="I749" s="2" t="s">
        <v>38</v>
      </c>
      <c r="J749" s="2">
        <v>734</v>
      </c>
      <c r="K749" s="30">
        <v>44980</v>
      </c>
      <c r="L749" s="30" t="s">
        <v>2279</v>
      </c>
      <c r="M749" s="2" t="s">
        <v>33</v>
      </c>
      <c r="N749" s="2">
        <v>1107.3</v>
      </c>
      <c r="O749" s="2" t="s">
        <v>105</v>
      </c>
      <c r="P749" s="2" t="s">
        <v>2999</v>
      </c>
      <c r="Q749" s="2" t="s">
        <v>42</v>
      </c>
      <c r="R749" s="2">
        <v>2</v>
      </c>
      <c r="S749" s="2">
        <v>26082.32</v>
      </c>
      <c r="T749" s="38" t="s">
        <v>2871</v>
      </c>
      <c r="U749" s="13"/>
    </row>
    <row r="750" spans="1:21" x14ac:dyDescent="0.3">
      <c r="A750" s="3" t="s">
        <v>2173</v>
      </c>
      <c r="B750" s="3" t="s">
        <v>596</v>
      </c>
      <c r="C750" s="3">
        <v>50</v>
      </c>
      <c r="D750" s="3" t="s">
        <v>72</v>
      </c>
      <c r="E750" s="3">
        <v>73837</v>
      </c>
      <c r="F750" s="3">
        <v>150000</v>
      </c>
      <c r="G750" s="3">
        <v>120</v>
      </c>
      <c r="H750" s="3">
        <v>10.17</v>
      </c>
      <c r="I750" s="3" t="s">
        <v>73</v>
      </c>
      <c r="J750" s="3">
        <v>845</v>
      </c>
      <c r="K750" s="29">
        <v>44909</v>
      </c>
      <c r="L750" s="29" t="s">
        <v>300</v>
      </c>
      <c r="M750" s="3" t="s">
        <v>33</v>
      </c>
      <c r="N750" s="3">
        <v>1996.41</v>
      </c>
      <c r="O750" s="3" t="s">
        <v>25</v>
      </c>
      <c r="P750" s="3" t="s">
        <v>151</v>
      </c>
      <c r="Q750" s="3" t="s">
        <v>35</v>
      </c>
      <c r="R750" s="3">
        <v>0</v>
      </c>
      <c r="S750" s="3">
        <v>26022.94</v>
      </c>
      <c r="T750" s="38" t="s">
        <v>2867</v>
      </c>
      <c r="U750" s="13"/>
    </row>
    <row r="751" spans="1:21" x14ac:dyDescent="0.3">
      <c r="A751" s="3" t="s">
        <v>2354</v>
      </c>
      <c r="B751" s="3" t="s">
        <v>2355</v>
      </c>
      <c r="C751" s="3">
        <v>60</v>
      </c>
      <c r="D751" s="3" t="s">
        <v>21</v>
      </c>
      <c r="E751" s="3">
        <v>243611</v>
      </c>
      <c r="F751" s="3">
        <v>100000</v>
      </c>
      <c r="G751" s="3">
        <v>48</v>
      </c>
      <c r="H751" s="3">
        <v>14.2</v>
      </c>
      <c r="I751" s="3" t="s">
        <v>22</v>
      </c>
      <c r="J751" s="3">
        <v>307</v>
      </c>
      <c r="K751" s="29">
        <v>44986</v>
      </c>
      <c r="L751" s="29" t="s">
        <v>1515</v>
      </c>
      <c r="M751" s="3" t="s">
        <v>24</v>
      </c>
      <c r="N751" s="3">
        <v>2742.69</v>
      </c>
      <c r="O751" s="3" t="s">
        <v>25</v>
      </c>
      <c r="P751" s="3" t="s">
        <v>2998</v>
      </c>
      <c r="Q751" s="3" t="s">
        <v>42</v>
      </c>
      <c r="R751" s="3">
        <v>2</v>
      </c>
      <c r="S751" s="3">
        <v>25947.37</v>
      </c>
      <c r="T751" s="38" t="s">
        <v>2879</v>
      </c>
      <c r="U751" s="13"/>
    </row>
    <row r="752" spans="1:21" x14ac:dyDescent="0.3">
      <c r="A752" s="3" t="s">
        <v>2329</v>
      </c>
      <c r="B752" s="3" t="s">
        <v>1869</v>
      </c>
      <c r="C752" s="3">
        <v>46</v>
      </c>
      <c r="D752" s="3" t="s">
        <v>45</v>
      </c>
      <c r="E752" s="3">
        <v>205159</v>
      </c>
      <c r="F752" s="3">
        <v>75000</v>
      </c>
      <c r="G752" s="3">
        <v>84</v>
      </c>
      <c r="H752" s="3">
        <v>20.95</v>
      </c>
      <c r="I752" s="3" t="s">
        <v>66</v>
      </c>
      <c r="J752" s="3">
        <v>732</v>
      </c>
      <c r="K752" s="29">
        <v>44359</v>
      </c>
      <c r="L752" s="29" t="s">
        <v>743</v>
      </c>
      <c r="M752" s="3" t="s">
        <v>24</v>
      </c>
      <c r="N752" s="3">
        <v>1708.63</v>
      </c>
      <c r="O752" s="3" t="s">
        <v>60</v>
      </c>
      <c r="P752" s="3" t="s">
        <v>172</v>
      </c>
      <c r="Q752" s="3" t="s">
        <v>100</v>
      </c>
      <c r="R752" s="3">
        <v>2</v>
      </c>
      <c r="S752" s="3">
        <v>25791.46</v>
      </c>
      <c r="T752" s="38" t="s">
        <v>2871</v>
      </c>
      <c r="U752" s="13"/>
    </row>
    <row r="753" spans="1:21" x14ac:dyDescent="0.3">
      <c r="A753" s="3" t="s">
        <v>832</v>
      </c>
      <c r="B753" s="3" t="s">
        <v>549</v>
      </c>
      <c r="C753" s="3">
        <v>30</v>
      </c>
      <c r="D753" s="3" t="s">
        <v>30</v>
      </c>
      <c r="E753" s="3">
        <v>206058</v>
      </c>
      <c r="F753" s="3">
        <v>50000</v>
      </c>
      <c r="G753" s="3">
        <v>120</v>
      </c>
      <c r="H753" s="3">
        <v>19.84</v>
      </c>
      <c r="I753" s="3" t="s">
        <v>46</v>
      </c>
      <c r="J753" s="3">
        <v>486</v>
      </c>
      <c r="K753" s="29">
        <v>44410</v>
      </c>
      <c r="L753" s="29" t="s">
        <v>834</v>
      </c>
      <c r="M753" s="3" t="s">
        <v>24</v>
      </c>
      <c r="N753" s="3">
        <v>960.98</v>
      </c>
      <c r="O753" s="3" t="s">
        <v>54</v>
      </c>
      <c r="P753" s="3" t="s">
        <v>183</v>
      </c>
      <c r="Q753" s="3" t="s">
        <v>62</v>
      </c>
      <c r="R753" s="3">
        <v>2</v>
      </c>
      <c r="S753" s="3">
        <v>25783.3</v>
      </c>
      <c r="T753" s="38" t="s">
        <v>2879</v>
      </c>
      <c r="U753" s="13"/>
    </row>
    <row r="754" spans="1:21" x14ac:dyDescent="0.3">
      <c r="A754" s="2" t="s">
        <v>2455</v>
      </c>
      <c r="B754" s="2" t="s">
        <v>2456</v>
      </c>
      <c r="C754" s="2">
        <v>38</v>
      </c>
      <c r="D754" s="2" t="s">
        <v>45</v>
      </c>
      <c r="E754" s="2">
        <v>101200</v>
      </c>
      <c r="F754" s="2">
        <v>300000</v>
      </c>
      <c r="G754" s="2">
        <v>60</v>
      </c>
      <c r="H754" s="2">
        <v>21.75</v>
      </c>
      <c r="I754" s="2" t="s">
        <v>22</v>
      </c>
      <c r="J754" s="2">
        <v>313</v>
      </c>
      <c r="K754" s="30">
        <v>45210</v>
      </c>
      <c r="L754" s="30" t="s">
        <v>1501</v>
      </c>
      <c r="M754" s="2" t="s">
        <v>24</v>
      </c>
      <c r="N754" s="2">
        <v>8243.09</v>
      </c>
      <c r="O754" s="2" t="s">
        <v>25</v>
      </c>
      <c r="P754" s="2" t="s">
        <v>2998</v>
      </c>
      <c r="Q754" s="2" t="s">
        <v>42</v>
      </c>
      <c r="R754" s="2">
        <v>0</v>
      </c>
      <c r="S754" s="2">
        <v>25505.1</v>
      </c>
      <c r="T754" s="38" t="s">
        <v>2879</v>
      </c>
      <c r="U754" s="13"/>
    </row>
    <row r="755" spans="1:21" x14ac:dyDescent="0.3">
      <c r="A755" s="3" t="s">
        <v>2473</v>
      </c>
      <c r="B755" s="3" t="s">
        <v>1446</v>
      </c>
      <c r="C755" s="3">
        <v>24</v>
      </c>
      <c r="D755" s="3" t="s">
        <v>30</v>
      </c>
      <c r="E755" s="3">
        <v>158651</v>
      </c>
      <c r="F755" s="3">
        <v>100000</v>
      </c>
      <c r="G755" s="3">
        <v>60</v>
      </c>
      <c r="H755" s="3">
        <v>7.88</v>
      </c>
      <c r="I755" s="3" t="s">
        <v>83</v>
      </c>
      <c r="J755" s="3">
        <v>524</v>
      </c>
      <c r="K755" s="29">
        <v>44639</v>
      </c>
      <c r="L755" s="29" t="s">
        <v>67</v>
      </c>
      <c r="M755" s="3" t="s">
        <v>24</v>
      </c>
      <c r="N755" s="3">
        <v>2021.9</v>
      </c>
      <c r="O755" s="3" t="s">
        <v>105</v>
      </c>
      <c r="P755" s="3" t="s">
        <v>159</v>
      </c>
      <c r="Q755" s="3"/>
      <c r="R755" s="3">
        <v>1</v>
      </c>
      <c r="S755" s="3">
        <v>25391.89</v>
      </c>
      <c r="T755" s="38" t="s">
        <v>2879</v>
      </c>
      <c r="U755" s="13"/>
    </row>
    <row r="756" spans="1:21" x14ac:dyDescent="0.3">
      <c r="A756" s="3" t="s">
        <v>2137</v>
      </c>
      <c r="B756" s="3" t="s">
        <v>2138</v>
      </c>
      <c r="C756" s="3">
        <v>24</v>
      </c>
      <c r="D756" s="3" t="s">
        <v>21</v>
      </c>
      <c r="E756" s="3">
        <v>51517</v>
      </c>
      <c r="F756" s="3">
        <v>400000</v>
      </c>
      <c r="G756" s="3">
        <v>180</v>
      </c>
      <c r="H756" s="3">
        <v>11.52</v>
      </c>
      <c r="I756" s="3" t="s">
        <v>251</v>
      </c>
      <c r="J756" s="3">
        <v>666</v>
      </c>
      <c r="K756" s="29">
        <v>45272</v>
      </c>
      <c r="L756" s="29" t="s">
        <v>1353</v>
      </c>
      <c r="M756" s="3" t="s">
        <v>24</v>
      </c>
      <c r="N756" s="3">
        <v>4677.8500000000004</v>
      </c>
      <c r="O756" s="3" t="s">
        <v>54</v>
      </c>
      <c r="P756" s="3" t="s">
        <v>99</v>
      </c>
      <c r="Q756" s="3" t="s">
        <v>42</v>
      </c>
      <c r="R756" s="3">
        <v>0</v>
      </c>
      <c r="S756" s="3">
        <v>25304.21</v>
      </c>
      <c r="T756" s="38" t="s">
        <v>2871</v>
      </c>
      <c r="U756" s="13"/>
    </row>
    <row r="757" spans="1:21" x14ac:dyDescent="0.3">
      <c r="A757" s="2" t="s">
        <v>716</v>
      </c>
      <c r="B757" s="2" t="s">
        <v>717</v>
      </c>
      <c r="C757" s="2">
        <v>50</v>
      </c>
      <c r="D757" s="2" t="s">
        <v>65</v>
      </c>
      <c r="E757" s="2">
        <v>58844</v>
      </c>
      <c r="F757" s="2">
        <v>75000</v>
      </c>
      <c r="G757" s="2">
        <v>12</v>
      </c>
      <c r="H757" s="2">
        <v>19.04</v>
      </c>
      <c r="I757" s="2" t="s">
        <v>83</v>
      </c>
      <c r="J757" s="2">
        <v>599</v>
      </c>
      <c r="K757" s="30">
        <v>44788</v>
      </c>
      <c r="L757" s="30" t="s">
        <v>718</v>
      </c>
      <c r="M757" s="2" t="s">
        <v>33</v>
      </c>
      <c r="N757" s="2">
        <v>6913.18</v>
      </c>
      <c r="O757" s="2" t="s">
        <v>25</v>
      </c>
      <c r="P757" s="2" t="s">
        <v>151</v>
      </c>
      <c r="Q757" s="2" t="s">
        <v>100</v>
      </c>
      <c r="R757" s="2">
        <v>3</v>
      </c>
      <c r="S757" s="2">
        <v>25225.1</v>
      </c>
      <c r="T757" s="38" t="s">
        <v>2875</v>
      </c>
      <c r="U757" s="13"/>
    </row>
    <row r="758" spans="1:21" x14ac:dyDescent="0.3">
      <c r="A758" s="3" t="s">
        <v>1924</v>
      </c>
      <c r="B758" s="3" t="s">
        <v>1893</v>
      </c>
      <c r="C758" s="3">
        <v>38</v>
      </c>
      <c r="D758" s="3" t="s">
        <v>30</v>
      </c>
      <c r="E758" s="3">
        <v>189674</v>
      </c>
      <c r="F758" s="3">
        <v>300000</v>
      </c>
      <c r="G758" s="3">
        <v>48</v>
      </c>
      <c r="H758" s="3">
        <v>14.37</v>
      </c>
      <c r="I758" s="3" t="s">
        <v>22</v>
      </c>
      <c r="J758" s="3">
        <v>814</v>
      </c>
      <c r="K758" s="29">
        <v>44501</v>
      </c>
      <c r="L758" s="29" t="s">
        <v>1586</v>
      </c>
      <c r="M758" s="3" t="s">
        <v>24</v>
      </c>
      <c r="N758" s="3">
        <v>8253.73</v>
      </c>
      <c r="O758" s="3" t="s">
        <v>54</v>
      </c>
      <c r="P758" s="3" t="s">
        <v>2996</v>
      </c>
      <c r="Q758" s="3" t="s">
        <v>35</v>
      </c>
      <c r="R758" s="3">
        <v>3</v>
      </c>
      <c r="S758" s="3">
        <v>25150.79</v>
      </c>
      <c r="T758" s="38" t="s">
        <v>2867</v>
      </c>
      <c r="U758" s="13"/>
    </row>
    <row r="759" spans="1:21" x14ac:dyDescent="0.3">
      <c r="A759" s="2" t="s">
        <v>2435</v>
      </c>
      <c r="B759" s="2" t="s">
        <v>2436</v>
      </c>
      <c r="C759" s="2">
        <v>34</v>
      </c>
      <c r="D759" s="2" t="s">
        <v>30</v>
      </c>
      <c r="E759" s="2">
        <v>18754</v>
      </c>
      <c r="F759" s="2">
        <v>100000</v>
      </c>
      <c r="G759" s="2">
        <v>12</v>
      </c>
      <c r="H759" s="2">
        <v>19.61</v>
      </c>
      <c r="I759" s="2" t="s">
        <v>83</v>
      </c>
      <c r="J759" s="2">
        <v>465</v>
      </c>
      <c r="K759" s="30">
        <v>45181</v>
      </c>
      <c r="L759" s="30" t="s">
        <v>2437</v>
      </c>
      <c r="M759" s="2" t="s">
        <v>24</v>
      </c>
      <c r="N759" s="2">
        <v>9244.7999999999993</v>
      </c>
      <c r="O759" s="2" t="s">
        <v>60</v>
      </c>
      <c r="P759" s="2" t="s">
        <v>61</v>
      </c>
      <c r="Q759" s="2" t="s">
        <v>42</v>
      </c>
      <c r="R759" s="2">
        <v>0</v>
      </c>
      <c r="S759" s="2">
        <v>25117.119999999999</v>
      </c>
      <c r="T759" s="38" t="s">
        <v>2879</v>
      </c>
      <c r="U759" s="13"/>
    </row>
    <row r="760" spans="1:21" x14ac:dyDescent="0.3">
      <c r="A760" s="3" t="s">
        <v>1310</v>
      </c>
      <c r="B760" s="3" t="s">
        <v>1311</v>
      </c>
      <c r="C760" s="3">
        <v>52</v>
      </c>
      <c r="D760" s="3" t="s">
        <v>30</v>
      </c>
      <c r="E760" s="3">
        <v>73666</v>
      </c>
      <c r="F760" s="3">
        <v>100000</v>
      </c>
      <c r="G760" s="3">
        <v>60</v>
      </c>
      <c r="H760" s="3">
        <v>20.74</v>
      </c>
      <c r="I760" s="3" t="s">
        <v>73</v>
      </c>
      <c r="J760" s="3">
        <v>487</v>
      </c>
      <c r="K760" s="29">
        <v>44258</v>
      </c>
      <c r="L760" s="29" t="s">
        <v>977</v>
      </c>
      <c r="M760" s="3" t="s">
        <v>24</v>
      </c>
      <c r="N760" s="3">
        <v>2690.73</v>
      </c>
      <c r="O760" s="3" t="s">
        <v>48</v>
      </c>
      <c r="P760" s="3" t="s">
        <v>199</v>
      </c>
      <c r="Q760" s="3" t="s">
        <v>42</v>
      </c>
      <c r="R760" s="3">
        <v>1</v>
      </c>
      <c r="S760" s="3">
        <v>24928.63</v>
      </c>
      <c r="T760" s="38" t="s">
        <v>2879</v>
      </c>
      <c r="U760" s="13"/>
    </row>
    <row r="761" spans="1:21" x14ac:dyDescent="0.3">
      <c r="A761" s="2" t="s">
        <v>1372</v>
      </c>
      <c r="B761" s="2" t="s">
        <v>1373</v>
      </c>
      <c r="C761" s="2">
        <v>50</v>
      </c>
      <c r="D761" s="2" t="s">
        <v>72</v>
      </c>
      <c r="E761" s="2">
        <v>145469</v>
      </c>
      <c r="F761" s="2">
        <v>100000</v>
      </c>
      <c r="G761" s="2">
        <v>12</v>
      </c>
      <c r="H761" s="2">
        <v>21.03</v>
      </c>
      <c r="I761" s="2" t="s">
        <v>73</v>
      </c>
      <c r="J761" s="2">
        <v>572</v>
      </c>
      <c r="K761" s="30">
        <v>44204</v>
      </c>
      <c r="L761" s="30" t="s">
        <v>1175</v>
      </c>
      <c r="M761" s="2" t="s">
        <v>24</v>
      </c>
      <c r="N761" s="2">
        <v>9312.82</v>
      </c>
      <c r="O761" s="2" t="s">
        <v>105</v>
      </c>
      <c r="P761" s="2" t="s">
        <v>130</v>
      </c>
      <c r="Q761" s="2" t="s">
        <v>42</v>
      </c>
      <c r="R761" s="2">
        <v>1</v>
      </c>
      <c r="S761" s="2">
        <v>24566.16</v>
      </c>
      <c r="T761" s="38" t="s">
        <v>2875</v>
      </c>
      <c r="U761" s="13"/>
    </row>
    <row r="762" spans="1:21" x14ac:dyDescent="0.3">
      <c r="A762" s="2" t="s">
        <v>525</v>
      </c>
      <c r="B762" s="2" t="s">
        <v>526</v>
      </c>
      <c r="C762" s="2">
        <v>45</v>
      </c>
      <c r="D762" s="2" t="s">
        <v>45</v>
      </c>
      <c r="E762" s="2">
        <v>90655</v>
      </c>
      <c r="F762" s="2">
        <v>75000</v>
      </c>
      <c r="G762" s="2">
        <v>120</v>
      </c>
      <c r="H762" s="2">
        <v>14.81</v>
      </c>
      <c r="I762" s="2" t="s">
        <v>66</v>
      </c>
      <c r="J762" s="2">
        <v>421</v>
      </c>
      <c r="K762" s="30">
        <v>44891</v>
      </c>
      <c r="L762" s="30" t="s">
        <v>527</v>
      </c>
      <c r="M762" s="2" t="s">
        <v>24</v>
      </c>
      <c r="N762" s="2">
        <v>1201.3</v>
      </c>
      <c r="O762" s="2" t="s">
        <v>105</v>
      </c>
      <c r="P762" s="2" t="s">
        <v>114</v>
      </c>
      <c r="Q762" s="2" t="s">
        <v>42</v>
      </c>
      <c r="R762" s="2">
        <v>1</v>
      </c>
      <c r="S762" s="2">
        <v>24185.01</v>
      </c>
      <c r="T762" s="38" t="s">
        <v>2879</v>
      </c>
      <c r="U762" s="13"/>
    </row>
    <row r="763" spans="1:21" x14ac:dyDescent="0.3">
      <c r="A763" s="2" t="s">
        <v>2038</v>
      </c>
      <c r="B763" s="2" t="s">
        <v>2039</v>
      </c>
      <c r="C763" s="2">
        <v>23</v>
      </c>
      <c r="D763" s="2" t="s">
        <v>30</v>
      </c>
      <c r="E763" s="2">
        <v>222227</v>
      </c>
      <c r="F763" s="2">
        <v>250000</v>
      </c>
      <c r="G763" s="2">
        <v>240</v>
      </c>
      <c r="H763" s="2">
        <v>19.39</v>
      </c>
      <c r="I763" s="2" t="s">
        <v>38</v>
      </c>
      <c r="J763" s="2">
        <v>643</v>
      </c>
      <c r="K763" s="30">
        <v>44998</v>
      </c>
      <c r="L763" s="30" t="s">
        <v>129</v>
      </c>
      <c r="M763" s="2" t="s">
        <v>33</v>
      </c>
      <c r="N763" s="2">
        <v>4127.68</v>
      </c>
      <c r="O763" s="2" t="s">
        <v>105</v>
      </c>
      <c r="P763" s="2" t="s">
        <v>2999</v>
      </c>
      <c r="Q763" s="2" t="s">
        <v>42</v>
      </c>
      <c r="R763" s="2">
        <v>1</v>
      </c>
      <c r="S763" s="2">
        <v>23390.37</v>
      </c>
      <c r="T763" s="38" t="s">
        <v>2875</v>
      </c>
      <c r="U763" s="13"/>
    </row>
    <row r="764" spans="1:21" x14ac:dyDescent="0.3">
      <c r="A764" s="2" t="s">
        <v>1727</v>
      </c>
      <c r="B764" s="2" t="s">
        <v>1728</v>
      </c>
      <c r="C764" s="2">
        <v>41</v>
      </c>
      <c r="D764" s="2" t="s">
        <v>45</v>
      </c>
      <c r="E764" s="2">
        <v>247055</v>
      </c>
      <c r="F764" s="2">
        <v>500000</v>
      </c>
      <c r="G764" s="2">
        <v>36</v>
      </c>
      <c r="H764" s="2">
        <v>9.64</v>
      </c>
      <c r="I764" s="2" t="s">
        <v>66</v>
      </c>
      <c r="J764" s="2">
        <v>651</v>
      </c>
      <c r="K764" s="30">
        <v>44493</v>
      </c>
      <c r="L764" s="30" t="s">
        <v>479</v>
      </c>
      <c r="M764" s="2" t="s">
        <v>33</v>
      </c>
      <c r="N764" s="2">
        <v>16049.22</v>
      </c>
      <c r="O764" s="2" t="s">
        <v>48</v>
      </c>
      <c r="P764" s="2" t="s">
        <v>199</v>
      </c>
      <c r="Q764" s="2" t="s">
        <v>42</v>
      </c>
      <c r="R764" s="2">
        <v>0</v>
      </c>
      <c r="S764" s="2">
        <v>23338.17</v>
      </c>
      <c r="T764" s="38" t="s">
        <v>2871</v>
      </c>
      <c r="U764" s="13"/>
    </row>
    <row r="765" spans="1:21" x14ac:dyDescent="0.3">
      <c r="A765" s="2" t="s">
        <v>1968</v>
      </c>
      <c r="B765" s="2" t="s">
        <v>1232</v>
      </c>
      <c r="C765" s="2">
        <v>58</v>
      </c>
      <c r="D765" s="2" t="s">
        <v>65</v>
      </c>
      <c r="E765" s="2">
        <v>205502</v>
      </c>
      <c r="F765" s="2">
        <v>200000</v>
      </c>
      <c r="G765" s="2">
        <v>36</v>
      </c>
      <c r="H765" s="2">
        <v>8.81</v>
      </c>
      <c r="I765" s="2" t="s">
        <v>251</v>
      </c>
      <c r="J765" s="2">
        <v>486</v>
      </c>
      <c r="K765" s="30">
        <v>45065</v>
      </c>
      <c r="L765" s="30" t="s">
        <v>495</v>
      </c>
      <c r="M765" s="2" t="s">
        <v>24</v>
      </c>
      <c r="N765" s="2">
        <v>6342.28</v>
      </c>
      <c r="O765" s="2" t="s">
        <v>60</v>
      </c>
      <c r="P765" s="2" t="s">
        <v>61</v>
      </c>
      <c r="Q765" s="2" t="s">
        <v>27</v>
      </c>
      <c r="R765" s="2">
        <v>1</v>
      </c>
      <c r="S765" s="2">
        <v>23050.39</v>
      </c>
      <c r="T765" s="38" t="s">
        <v>2879</v>
      </c>
      <c r="U765" s="13"/>
    </row>
    <row r="766" spans="1:21" x14ac:dyDescent="0.3">
      <c r="A766" s="3" t="s">
        <v>1851</v>
      </c>
      <c r="B766" s="3" t="s">
        <v>1450</v>
      </c>
      <c r="C766" s="3">
        <v>28</v>
      </c>
      <c r="D766" s="3" t="s">
        <v>65</v>
      </c>
      <c r="E766" s="3">
        <v>202633</v>
      </c>
      <c r="F766" s="3">
        <v>50000</v>
      </c>
      <c r="G766" s="3">
        <v>36</v>
      </c>
      <c r="H766" s="3">
        <v>20.97</v>
      </c>
      <c r="I766" s="3" t="s">
        <v>38</v>
      </c>
      <c r="J766" s="3">
        <v>692</v>
      </c>
      <c r="K766" s="29">
        <v>45172</v>
      </c>
      <c r="L766" s="29" t="s">
        <v>206</v>
      </c>
      <c r="M766" s="3" t="s">
        <v>24</v>
      </c>
      <c r="N766" s="3">
        <v>1882.98</v>
      </c>
      <c r="O766" s="3" t="s">
        <v>48</v>
      </c>
      <c r="P766" s="3" t="s">
        <v>86</v>
      </c>
      <c r="Q766" s="3" t="s">
        <v>42</v>
      </c>
      <c r="R766" s="3">
        <v>2</v>
      </c>
      <c r="S766" s="3">
        <v>22885.09</v>
      </c>
      <c r="T766" s="38" t="s">
        <v>2871</v>
      </c>
      <c r="U766" s="13"/>
    </row>
    <row r="767" spans="1:21" x14ac:dyDescent="0.3">
      <c r="A767" s="3" t="s">
        <v>2610</v>
      </c>
      <c r="B767" s="3" t="s">
        <v>445</v>
      </c>
      <c r="C767" s="3">
        <v>54</v>
      </c>
      <c r="D767" s="3" t="s">
        <v>72</v>
      </c>
      <c r="E767" s="3">
        <v>96238</v>
      </c>
      <c r="F767" s="3">
        <v>50000</v>
      </c>
      <c r="G767" s="3">
        <v>48</v>
      </c>
      <c r="H767" s="3">
        <v>19.53</v>
      </c>
      <c r="I767" s="3" t="s">
        <v>38</v>
      </c>
      <c r="J767" s="3">
        <v>511</v>
      </c>
      <c r="K767" s="29">
        <v>45134</v>
      </c>
      <c r="L767" s="29" t="s">
        <v>611</v>
      </c>
      <c r="M767" s="3" t="s">
        <v>24</v>
      </c>
      <c r="N767" s="3">
        <v>1509.03</v>
      </c>
      <c r="O767" s="3" t="s">
        <v>60</v>
      </c>
      <c r="P767" s="3" t="s">
        <v>2997</v>
      </c>
      <c r="Q767" s="3" t="s">
        <v>27</v>
      </c>
      <c r="R767" s="3">
        <v>2</v>
      </c>
      <c r="S767" s="3">
        <v>22837.46</v>
      </c>
      <c r="T767" s="38" t="s">
        <v>2879</v>
      </c>
      <c r="U767" s="13"/>
    </row>
    <row r="768" spans="1:21" x14ac:dyDescent="0.3">
      <c r="A768" s="2" t="s">
        <v>1406</v>
      </c>
      <c r="B768" s="2" t="s">
        <v>1407</v>
      </c>
      <c r="C768" s="2">
        <v>34</v>
      </c>
      <c r="D768" s="2" t="s">
        <v>21</v>
      </c>
      <c r="E768" s="2">
        <v>85698</v>
      </c>
      <c r="F768" s="2">
        <v>150000</v>
      </c>
      <c r="G768" s="2">
        <v>84</v>
      </c>
      <c r="H768" s="2">
        <v>9.34</v>
      </c>
      <c r="I768" s="2" t="s">
        <v>46</v>
      </c>
      <c r="J768" s="2">
        <v>587</v>
      </c>
      <c r="K768" s="30">
        <v>45053</v>
      </c>
      <c r="L768" s="30" t="s">
        <v>1408</v>
      </c>
      <c r="M768" s="2" t="s">
        <v>24</v>
      </c>
      <c r="N768" s="2">
        <v>2439.3200000000002</v>
      </c>
      <c r="O768" s="2" t="s">
        <v>105</v>
      </c>
      <c r="P768" s="2" t="s">
        <v>114</v>
      </c>
      <c r="Q768" s="2" t="s">
        <v>27</v>
      </c>
      <c r="R768" s="2">
        <v>1</v>
      </c>
      <c r="S768" s="2">
        <v>22667.5</v>
      </c>
      <c r="T768" s="38" t="s">
        <v>2875</v>
      </c>
      <c r="U768" s="13"/>
    </row>
    <row r="769" spans="1:21" x14ac:dyDescent="0.3">
      <c r="A769" s="2" t="s">
        <v>2106</v>
      </c>
      <c r="B769" s="2" t="s">
        <v>2107</v>
      </c>
      <c r="C769" s="2">
        <v>45</v>
      </c>
      <c r="D769" s="2" t="s">
        <v>65</v>
      </c>
      <c r="E769" s="2">
        <v>18554</v>
      </c>
      <c r="F769" s="2">
        <v>250000</v>
      </c>
      <c r="G769" s="2">
        <v>60</v>
      </c>
      <c r="H769" s="2">
        <v>17.8</v>
      </c>
      <c r="I769" s="2" t="s">
        <v>31</v>
      </c>
      <c r="J769" s="2" t="s">
        <v>2882</v>
      </c>
      <c r="K769" s="30">
        <v>44239</v>
      </c>
      <c r="L769" s="30" t="s">
        <v>1208</v>
      </c>
      <c r="M769" s="2" t="s">
        <v>24</v>
      </c>
      <c r="N769" s="2">
        <v>6321.19</v>
      </c>
      <c r="O769" s="2" t="s">
        <v>48</v>
      </c>
      <c r="P769" s="2" t="s">
        <v>375</v>
      </c>
      <c r="Q769" s="2" t="s">
        <v>35</v>
      </c>
      <c r="R769" s="2">
        <v>11</v>
      </c>
      <c r="S769" s="2">
        <v>22437.16</v>
      </c>
      <c r="T769" s="38" t="s">
        <v>2883</v>
      </c>
      <c r="U769" s="13"/>
    </row>
    <row r="770" spans="1:21" x14ac:dyDescent="0.3">
      <c r="A770" s="2" t="s">
        <v>1964</v>
      </c>
      <c r="B770" s="2" t="s">
        <v>658</v>
      </c>
      <c r="C770" s="2">
        <v>29</v>
      </c>
      <c r="D770" s="2" t="s">
        <v>21</v>
      </c>
      <c r="E770" s="2">
        <v>37230</v>
      </c>
      <c r="F770" s="2">
        <v>50000</v>
      </c>
      <c r="G770" s="2">
        <v>36</v>
      </c>
      <c r="H770" s="2">
        <v>10.08</v>
      </c>
      <c r="I770" s="2" t="s">
        <v>38</v>
      </c>
      <c r="J770" s="2">
        <v>485</v>
      </c>
      <c r="K770" s="30">
        <v>44784</v>
      </c>
      <c r="L770" s="30" t="s">
        <v>1965</v>
      </c>
      <c r="M770" s="2" t="s">
        <v>24</v>
      </c>
      <c r="N770" s="2">
        <v>1615.24</v>
      </c>
      <c r="O770" s="2" t="s">
        <v>60</v>
      </c>
      <c r="P770" s="2" t="s">
        <v>192</v>
      </c>
      <c r="Q770" s="2" t="s">
        <v>42</v>
      </c>
      <c r="R770" s="2">
        <v>2</v>
      </c>
      <c r="S770" s="2">
        <v>22379.4</v>
      </c>
      <c r="T770" s="38" t="s">
        <v>2879</v>
      </c>
      <c r="U770" s="13"/>
    </row>
    <row r="771" spans="1:21" x14ac:dyDescent="0.3">
      <c r="A771" s="2" t="s">
        <v>1696</v>
      </c>
      <c r="B771" s="2" t="s">
        <v>1697</v>
      </c>
      <c r="C771" s="2">
        <v>39</v>
      </c>
      <c r="D771" s="2" t="s">
        <v>30</v>
      </c>
      <c r="E771" s="2">
        <v>188611</v>
      </c>
      <c r="F771" s="2">
        <v>250000</v>
      </c>
      <c r="G771" s="2">
        <v>84</v>
      </c>
      <c r="H771" s="2">
        <v>10.55</v>
      </c>
      <c r="I771" s="2" t="s">
        <v>38</v>
      </c>
      <c r="J771" s="2">
        <v>316</v>
      </c>
      <c r="K771" s="30">
        <v>44205</v>
      </c>
      <c r="L771" s="30" t="s">
        <v>186</v>
      </c>
      <c r="M771" s="2" t="s">
        <v>33</v>
      </c>
      <c r="N771" s="2">
        <v>4221.6899999999996</v>
      </c>
      <c r="O771" s="2" t="s">
        <v>105</v>
      </c>
      <c r="P771" s="2" t="s">
        <v>114</v>
      </c>
      <c r="Q771" s="2" t="s">
        <v>27</v>
      </c>
      <c r="R771" s="2">
        <v>2</v>
      </c>
      <c r="S771" s="2">
        <v>22028.74</v>
      </c>
      <c r="T771" s="38" t="s">
        <v>2879</v>
      </c>
      <c r="U771" s="13"/>
    </row>
    <row r="772" spans="1:21" x14ac:dyDescent="0.3">
      <c r="A772" s="3" t="s">
        <v>2566</v>
      </c>
      <c r="B772" s="3" t="s">
        <v>1932</v>
      </c>
      <c r="C772" s="3">
        <v>65</v>
      </c>
      <c r="D772" s="3" t="s">
        <v>45</v>
      </c>
      <c r="E772" s="3">
        <v>192784</v>
      </c>
      <c r="F772" s="3">
        <v>75000</v>
      </c>
      <c r="G772" s="3">
        <v>60</v>
      </c>
      <c r="H772" s="3">
        <v>18.04</v>
      </c>
      <c r="I772" s="3" t="s">
        <v>38</v>
      </c>
      <c r="J772" s="3">
        <v>761</v>
      </c>
      <c r="K772" s="29">
        <v>44811</v>
      </c>
      <c r="L772" s="29" t="s">
        <v>2122</v>
      </c>
      <c r="M772" s="3" t="s">
        <v>24</v>
      </c>
      <c r="N772" s="3">
        <v>1906.14</v>
      </c>
      <c r="O772" s="3" t="s">
        <v>48</v>
      </c>
      <c r="P772" s="3" t="s">
        <v>80</v>
      </c>
      <c r="Q772" s="3" t="s">
        <v>42</v>
      </c>
      <c r="R772" s="3">
        <v>1</v>
      </c>
      <c r="S772" s="3">
        <v>21818.69</v>
      </c>
      <c r="T772" s="38" t="s">
        <v>2867</v>
      </c>
      <c r="U772" s="13"/>
    </row>
    <row r="773" spans="1:21" x14ac:dyDescent="0.3">
      <c r="A773" s="2" t="s">
        <v>2270</v>
      </c>
      <c r="B773" s="2" t="s">
        <v>2271</v>
      </c>
      <c r="C773" s="2">
        <v>28</v>
      </c>
      <c r="D773" s="2" t="s">
        <v>30</v>
      </c>
      <c r="E773" s="2">
        <v>88396</v>
      </c>
      <c r="F773" s="2">
        <v>100000</v>
      </c>
      <c r="G773" s="2">
        <v>60</v>
      </c>
      <c r="H773" s="2">
        <v>15.67</v>
      </c>
      <c r="I773" s="2" t="s">
        <v>251</v>
      </c>
      <c r="J773" s="2">
        <v>834</v>
      </c>
      <c r="K773" s="30">
        <v>44764</v>
      </c>
      <c r="L773" s="30" t="s">
        <v>1032</v>
      </c>
      <c r="M773" s="2" t="s">
        <v>24</v>
      </c>
      <c r="N773" s="2">
        <v>2414.31</v>
      </c>
      <c r="O773" s="2" t="s">
        <v>54</v>
      </c>
      <c r="P773" s="2" t="s">
        <v>164</v>
      </c>
      <c r="Q773" s="2" t="s">
        <v>42</v>
      </c>
      <c r="R773" s="2">
        <v>1</v>
      </c>
      <c r="S773" s="2">
        <v>21776.36</v>
      </c>
      <c r="T773" s="38" t="s">
        <v>2867</v>
      </c>
      <c r="U773" s="13"/>
    </row>
    <row r="774" spans="1:21" x14ac:dyDescent="0.3">
      <c r="A774" s="2" t="s">
        <v>663</v>
      </c>
      <c r="B774" s="2" t="s">
        <v>546</v>
      </c>
      <c r="C774" s="2">
        <v>45</v>
      </c>
      <c r="D774" s="2" t="s">
        <v>72</v>
      </c>
      <c r="E774" s="2">
        <v>38991</v>
      </c>
      <c r="F774" s="2">
        <v>50000</v>
      </c>
      <c r="G774" s="2">
        <v>60</v>
      </c>
      <c r="H774" s="2">
        <v>13.95</v>
      </c>
      <c r="I774" s="2" t="s">
        <v>66</v>
      </c>
      <c r="J774" s="2">
        <v>404</v>
      </c>
      <c r="K774" s="30">
        <v>45116</v>
      </c>
      <c r="L774" s="30" t="s">
        <v>664</v>
      </c>
      <c r="M774" s="2" t="s">
        <v>24</v>
      </c>
      <c r="N774" s="2">
        <v>1162.1199999999999</v>
      </c>
      <c r="O774" s="2" t="s">
        <v>105</v>
      </c>
      <c r="P774" s="2" t="s">
        <v>114</v>
      </c>
      <c r="Q774" s="2" t="s">
        <v>42</v>
      </c>
      <c r="R774" s="2">
        <v>0</v>
      </c>
      <c r="S774" s="2">
        <v>21760.48</v>
      </c>
      <c r="T774" s="38" t="s">
        <v>2879</v>
      </c>
      <c r="U774" s="13"/>
    </row>
    <row r="775" spans="1:21" x14ac:dyDescent="0.3">
      <c r="A775" s="2" t="s">
        <v>2604</v>
      </c>
      <c r="B775" s="2" t="s">
        <v>2605</v>
      </c>
      <c r="C775" s="2">
        <v>62</v>
      </c>
      <c r="D775" s="2" t="s">
        <v>45</v>
      </c>
      <c r="E775" s="2">
        <v>88771</v>
      </c>
      <c r="F775" s="2">
        <v>200000</v>
      </c>
      <c r="G775" s="2">
        <v>240</v>
      </c>
      <c r="H775" s="2">
        <v>12.93</v>
      </c>
      <c r="I775" s="2" t="s">
        <v>73</v>
      </c>
      <c r="J775" s="2">
        <v>463</v>
      </c>
      <c r="K775" s="30">
        <v>44597</v>
      </c>
      <c r="L775" s="30" t="s">
        <v>1473</v>
      </c>
      <c r="M775" s="2" t="s">
        <v>24</v>
      </c>
      <c r="N775" s="2">
        <v>2333.19</v>
      </c>
      <c r="O775" s="2" t="s">
        <v>105</v>
      </c>
      <c r="P775" s="2" t="s">
        <v>2999</v>
      </c>
      <c r="Q775" s="2" t="s">
        <v>42</v>
      </c>
      <c r="R775" s="2">
        <v>1</v>
      </c>
      <c r="S775" s="2">
        <v>21510.959999999999</v>
      </c>
      <c r="T775" s="38" t="s">
        <v>2879</v>
      </c>
      <c r="U775" s="13"/>
    </row>
    <row r="776" spans="1:21" x14ac:dyDescent="0.3">
      <c r="A776" s="2" t="s">
        <v>1886</v>
      </c>
      <c r="B776" s="2" t="s">
        <v>1887</v>
      </c>
      <c r="C776" s="2">
        <v>31</v>
      </c>
      <c r="D776" s="2" t="s">
        <v>21</v>
      </c>
      <c r="E776" s="2">
        <v>239417</v>
      </c>
      <c r="F776" s="2">
        <v>150000</v>
      </c>
      <c r="G776" s="2">
        <v>36</v>
      </c>
      <c r="H776" s="2">
        <v>16.23</v>
      </c>
      <c r="I776" s="2" t="s">
        <v>83</v>
      </c>
      <c r="J776" s="2">
        <v>667</v>
      </c>
      <c r="K776" s="30">
        <v>44349</v>
      </c>
      <c r="L776" s="30" t="s">
        <v>198</v>
      </c>
      <c r="M776" s="2" t="s">
        <v>122</v>
      </c>
      <c r="N776" s="2">
        <v>5290.6</v>
      </c>
      <c r="O776" s="2" t="s">
        <v>48</v>
      </c>
      <c r="P776" s="2" t="s">
        <v>86</v>
      </c>
      <c r="Q776" s="2" t="s">
        <v>42</v>
      </c>
      <c r="R776" s="2">
        <v>2</v>
      </c>
      <c r="S776" s="2">
        <v>21438.42</v>
      </c>
      <c r="T776" s="38" t="s">
        <v>2871</v>
      </c>
      <c r="U776" s="13"/>
    </row>
    <row r="777" spans="1:21" x14ac:dyDescent="0.3">
      <c r="A777" s="2" t="s">
        <v>1901</v>
      </c>
      <c r="B777" s="2" t="s">
        <v>1902</v>
      </c>
      <c r="C777" s="2">
        <v>26</v>
      </c>
      <c r="D777" s="2" t="s">
        <v>30</v>
      </c>
      <c r="E777" s="2">
        <v>39545</v>
      </c>
      <c r="F777" s="2">
        <v>100000</v>
      </c>
      <c r="G777" s="2">
        <v>12</v>
      </c>
      <c r="H777" s="2">
        <v>8.73</v>
      </c>
      <c r="I777" s="2" t="s">
        <v>66</v>
      </c>
      <c r="J777" s="2">
        <v>867</v>
      </c>
      <c r="K777" s="30">
        <v>45238</v>
      </c>
      <c r="L777" s="30" t="s">
        <v>695</v>
      </c>
      <c r="M777" s="2" t="s">
        <v>24</v>
      </c>
      <c r="N777" s="2">
        <v>8732.6299999999992</v>
      </c>
      <c r="O777" s="2" t="s">
        <v>60</v>
      </c>
      <c r="P777" s="2" t="s">
        <v>172</v>
      </c>
      <c r="Q777" s="2" t="s">
        <v>42</v>
      </c>
      <c r="R777" s="2">
        <v>1</v>
      </c>
      <c r="S777" s="2">
        <v>21406.33</v>
      </c>
      <c r="T777" s="38" t="s">
        <v>2867</v>
      </c>
      <c r="U777" s="13"/>
    </row>
    <row r="778" spans="1:21" x14ac:dyDescent="0.3">
      <c r="A778" s="2" t="s">
        <v>2782</v>
      </c>
      <c r="B778" s="2" t="s">
        <v>2783</v>
      </c>
      <c r="C778" s="2">
        <v>36</v>
      </c>
      <c r="D778" s="2" t="s">
        <v>65</v>
      </c>
      <c r="E778" s="2">
        <v>162439</v>
      </c>
      <c r="F778" s="2">
        <v>50000</v>
      </c>
      <c r="G778" s="2">
        <v>24</v>
      </c>
      <c r="H778" s="2">
        <v>9</v>
      </c>
      <c r="I778" s="2" t="s">
        <v>251</v>
      </c>
      <c r="J778" s="2">
        <v>536</v>
      </c>
      <c r="K778" s="30">
        <v>45041</v>
      </c>
      <c r="L778" s="30" t="s">
        <v>1408</v>
      </c>
      <c r="M778" s="2" t="s">
        <v>122</v>
      </c>
      <c r="N778" s="2">
        <v>2284.2399999999998</v>
      </c>
      <c r="O778" s="2" t="s">
        <v>60</v>
      </c>
      <c r="P778" s="2" t="s">
        <v>172</v>
      </c>
      <c r="Q778" s="2" t="s">
        <v>42</v>
      </c>
      <c r="R778" s="2">
        <v>0</v>
      </c>
      <c r="S778" s="2">
        <v>21218.58</v>
      </c>
      <c r="T778" s="38" t="s">
        <v>2879</v>
      </c>
      <c r="U778" s="13"/>
    </row>
    <row r="779" spans="1:21" x14ac:dyDescent="0.3">
      <c r="A779" s="3" t="s">
        <v>1906</v>
      </c>
      <c r="B779" s="3" t="s">
        <v>1907</v>
      </c>
      <c r="C779" s="3">
        <v>49</v>
      </c>
      <c r="D779" s="3" t="s">
        <v>65</v>
      </c>
      <c r="E779" s="3">
        <v>114377</v>
      </c>
      <c r="F779" s="3">
        <v>100000</v>
      </c>
      <c r="G779" s="3">
        <v>84</v>
      </c>
      <c r="H779" s="3">
        <v>21.56</v>
      </c>
      <c r="I779" s="3" t="s">
        <v>38</v>
      </c>
      <c r="J779" s="3">
        <v>555</v>
      </c>
      <c r="K779" s="29">
        <v>45186</v>
      </c>
      <c r="L779" s="29" t="s">
        <v>1908</v>
      </c>
      <c r="M779" s="3" t="s">
        <v>24</v>
      </c>
      <c r="N779" s="3">
        <v>2315.5</v>
      </c>
      <c r="O779" s="3" t="s">
        <v>54</v>
      </c>
      <c r="P779" s="3" t="s">
        <v>304</v>
      </c>
      <c r="Q779" s="3" t="s">
        <v>42</v>
      </c>
      <c r="R779" s="3">
        <v>1</v>
      </c>
      <c r="S779" s="3">
        <v>20809.900000000001</v>
      </c>
      <c r="T779" s="38" t="s">
        <v>2875</v>
      </c>
      <c r="U779" s="13"/>
    </row>
    <row r="780" spans="1:21" x14ac:dyDescent="0.3">
      <c r="A780" s="2" t="s">
        <v>1639</v>
      </c>
      <c r="B780" s="2" t="s">
        <v>1640</v>
      </c>
      <c r="C780" s="2">
        <v>23</v>
      </c>
      <c r="D780" s="2" t="s">
        <v>65</v>
      </c>
      <c r="E780" s="2">
        <v>53164</v>
      </c>
      <c r="F780" s="2">
        <v>2000000</v>
      </c>
      <c r="G780" s="2">
        <v>12</v>
      </c>
      <c r="H780" s="2">
        <v>17.91</v>
      </c>
      <c r="I780" s="2" t="s">
        <v>22</v>
      </c>
      <c r="J780" s="2">
        <v>386</v>
      </c>
      <c r="K780" s="30">
        <v>44533</v>
      </c>
      <c r="L780" s="30" t="s">
        <v>1439</v>
      </c>
      <c r="M780" s="2" t="s">
        <v>24</v>
      </c>
      <c r="N780" s="2">
        <v>183274.33</v>
      </c>
      <c r="O780" s="2" t="s">
        <v>48</v>
      </c>
      <c r="P780" s="2" t="s">
        <v>199</v>
      </c>
      <c r="Q780" s="2" t="s">
        <v>62</v>
      </c>
      <c r="R780" s="2">
        <v>1</v>
      </c>
      <c r="S780" s="2">
        <v>20637.240000000002</v>
      </c>
      <c r="T780" s="38" t="s">
        <v>2879</v>
      </c>
      <c r="U780" s="13"/>
    </row>
    <row r="781" spans="1:21" x14ac:dyDescent="0.3">
      <c r="A781" s="3" t="s">
        <v>1264</v>
      </c>
      <c r="B781" s="3" t="s">
        <v>899</v>
      </c>
      <c r="C781" s="3">
        <v>51</v>
      </c>
      <c r="D781" s="3" t="s">
        <v>21</v>
      </c>
      <c r="E781" s="3">
        <v>109421</v>
      </c>
      <c r="F781" s="3">
        <v>50000</v>
      </c>
      <c r="G781" s="3">
        <v>24</v>
      </c>
      <c r="H781" s="3">
        <v>18.64</v>
      </c>
      <c r="I781" s="3" t="s">
        <v>38</v>
      </c>
      <c r="J781" s="3">
        <v>677</v>
      </c>
      <c r="K781" s="29">
        <v>44329</v>
      </c>
      <c r="L781" s="29" t="s">
        <v>1266</v>
      </c>
      <c r="M781" s="3" t="s">
        <v>24</v>
      </c>
      <c r="N781" s="3">
        <v>2511.69</v>
      </c>
      <c r="O781" s="3" t="s">
        <v>60</v>
      </c>
      <c r="P781" s="3" t="s">
        <v>172</v>
      </c>
      <c r="Q781" s="3" t="s">
        <v>35</v>
      </c>
      <c r="R781" s="3">
        <v>12</v>
      </c>
      <c r="S781" s="3">
        <v>20613.23</v>
      </c>
      <c r="T781" s="38" t="s">
        <v>2871</v>
      </c>
      <c r="U781" s="13"/>
    </row>
    <row r="782" spans="1:21" x14ac:dyDescent="0.3">
      <c r="A782" s="2" t="s">
        <v>2688</v>
      </c>
      <c r="B782" s="2" t="s">
        <v>936</v>
      </c>
      <c r="C782" s="2">
        <v>25</v>
      </c>
      <c r="D782" s="2" t="s">
        <v>65</v>
      </c>
      <c r="E782" s="2">
        <v>55870</v>
      </c>
      <c r="F782" s="2">
        <v>100000</v>
      </c>
      <c r="G782" s="2">
        <v>48</v>
      </c>
      <c r="H782" s="2">
        <v>19.989999999999998</v>
      </c>
      <c r="I782" s="2" t="s">
        <v>38</v>
      </c>
      <c r="J782" s="2">
        <v>887</v>
      </c>
      <c r="K782" s="30">
        <v>44555</v>
      </c>
      <c r="L782" s="30" t="s">
        <v>1285</v>
      </c>
      <c r="M782" s="2" t="s">
        <v>24</v>
      </c>
      <c r="N782" s="2">
        <v>3042.5</v>
      </c>
      <c r="O782" s="2" t="s">
        <v>48</v>
      </c>
      <c r="P782" s="2" t="s">
        <v>80</v>
      </c>
      <c r="Q782" s="2" t="s">
        <v>27</v>
      </c>
      <c r="R782" s="2">
        <v>0</v>
      </c>
      <c r="S782" s="2">
        <v>20590.75</v>
      </c>
      <c r="T782" s="38" t="s">
        <v>2867</v>
      </c>
      <c r="U782" s="13"/>
    </row>
    <row r="783" spans="1:21" x14ac:dyDescent="0.3">
      <c r="A783" s="3" t="s">
        <v>2368</v>
      </c>
      <c r="B783" s="3" t="s">
        <v>2369</v>
      </c>
      <c r="C783" s="3">
        <v>35</v>
      </c>
      <c r="D783" s="3" t="s">
        <v>45</v>
      </c>
      <c r="E783" s="3">
        <v>94418</v>
      </c>
      <c r="F783" s="3">
        <v>100000</v>
      </c>
      <c r="G783" s="3">
        <v>12</v>
      </c>
      <c r="H783" s="3">
        <v>11.26</v>
      </c>
      <c r="I783" s="3" t="s">
        <v>73</v>
      </c>
      <c r="J783" s="3">
        <v>788</v>
      </c>
      <c r="K783" s="29">
        <v>44516</v>
      </c>
      <c r="L783" s="29" t="s">
        <v>2370</v>
      </c>
      <c r="M783" s="3" t="s">
        <v>24</v>
      </c>
      <c r="N783" s="3">
        <v>8850.2999999999993</v>
      </c>
      <c r="O783" s="3" t="s">
        <v>54</v>
      </c>
      <c r="P783" s="3" t="s">
        <v>2996</v>
      </c>
      <c r="Q783" s="3" t="s">
        <v>100</v>
      </c>
      <c r="R783" s="3">
        <v>5</v>
      </c>
      <c r="S783" s="3">
        <v>20347.3</v>
      </c>
      <c r="T783" s="38" t="s">
        <v>2867</v>
      </c>
      <c r="U783" s="13"/>
    </row>
    <row r="784" spans="1:21" x14ac:dyDescent="0.3">
      <c r="A784" s="2" t="s">
        <v>1416</v>
      </c>
      <c r="B784" s="2" t="s">
        <v>1417</v>
      </c>
      <c r="C784" s="2">
        <v>40</v>
      </c>
      <c r="D784" s="2" t="s">
        <v>30</v>
      </c>
      <c r="E784" s="2">
        <v>184774</v>
      </c>
      <c r="F784" s="2">
        <v>75000</v>
      </c>
      <c r="G784" s="2">
        <v>12</v>
      </c>
      <c r="H784" s="2">
        <v>14.46</v>
      </c>
      <c r="I784" s="2" t="s">
        <v>66</v>
      </c>
      <c r="J784" s="2">
        <v>465</v>
      </c>
      <c r="K784" s="30">
        <v>44246</v>
      </c>
      <c r="L784" s="30" t="s">
        <v>977</v>
      </c>
      <c r="M784" s="2" t="s">
        <v>24</v>
      </c>
      <c r="N784" s="2">
        <v>6750.28</v>
      </c>
      <c r="O784" s="2" t="s">
        <v>60</v>
      </c>
      <c r="P784" s="2" t="s">
        <v>69</v>
      </c>
      <c r="Q784" s="2" t="s">
        <v>42</v>
      </c>
      <c r="R784" s="2">
        <v>2</v>
      </c>
      <c r="S784" s="2">
        <v>20322.73</v>
      </c>
      <c r="T784" s="38" t="s">
        <v>2879</v>
      </c>
      <c r="U784" s="13"/>
    </row>
    <row r="785" spans="1:21" x14ac:dyDescent="0.3">
      <c r="A785" s="2" t="s">
        <v>778</v>
      </c>
      <c r="B785" s="2" t="s">
        <v>779</v>
      </c>
      <c r="C785" s="2">
        <v>48</v>
      </c>
      <c r="D785" s="2" t="s">
        <v>21</v>
      </c>
      <c r="E785" s="2">
        <v>86108</v>
      </c>
      <c r="F785" s="2">
        <v>75000</v>
      </c>
      <c r="G785" s="2">
        <v>84</v>
      </c>
      <c r="H785" s="2">
        <v>9.23</v>
      </c>
      <c r="I785" s="2" t="s">
        <v>46</v>
      </c>
      <c r="J785" s="2">
        <v>483</v>
      </c>
      <c r="K785" s="30">
        <v>44338</v>
      </c>
      <c r="L785" s="30" t="s">
        <v>780</v>
      </c>
      <c r="M785" s="2" t="s">
        <v>24</v>
      </c>
      <c r="N785" s="2">
        <v>1215.45</v>
      </c>
      <c r="O785" s="2" t="s">
        <v>105</v>
      </c>
      <c r="P785" s="2" t="s">
        <v>2999</v>
      </c>
      <c r="Q785" s="2" t="s">
        <v>42</v>
      </c>
      <c r="R785" s="2">
        <v>0</v>
      </c>
      <c r="S785" s="2">
        <v>19210.84</v>
      </c>
      <c r="T785" s="38" t="s">
        <v>2879</v>
      </c>
      <c r="U785" s="13"/>
    </row>
    <row r="786" spans="1:21" x14ac:dyDescent="0.3">
      <c r="A786" s="3" t="s">
        <v>1151</v>
      </c>
      <c r="B786" s="3" t="s">
        <v>1152</v>
      </c>
      <c r="C786" s="3">
        <v>52</v>
      </c>
      <c r="D786" s="3" t="s">
        <v>65</v>
      </c>
      <c r="E786" s="3">
        <v>193636</v>
      </c>
      <c r="F786" s="3">
        <v>200000</v>
      </c>
      <c r="G786" s="3">
        <v>84</v>
      </c>
      <c r="H786" s="3">
        <v>9.8000000000000007</v>
      </c>
      <c r="I786" s="3" t="s">
        <v>46</v>
      </c>
      <c r="J786" s="3">
        <v>862</v>
      </c>
      <c r="K786" s="29">
        <v>44808</v>
      </c>
      <c r="L786" s="29" t="s">
        <v>361</v>
      </c>
      <c r="M786" s="3" t="s">
        <v>24</v>
      </c>
      <c r="N786" s="3">
        <v>3299.61</v>
      </c>
      <c r="O786" s="3" t="s">
        <v>54</v>
      </c>
      <c r="P786" s="3" t="s">
        <v>304</v>
      </c>
      <c r="Q786" s="3" t="s">
        <v>42</v>
      </c>
      <c r="R786" s="3">
        <v>1</v>
      </c>
      <c r="S786" s="3">
        <v>18851.41</v>
      </c>
      <c r="T786" s="38" t="s">
        <v>2867</v>
      </c>
      <c r="U786" s="13"/>
    </row>
    <row r="787" spans="1:21" x14ac:dyDescent="0.3">
      <c r="A787" s="2" t="s">
        <v>2240</v>
      </c>
      <c r="B787" s="2" t="s">
        <v>912</v>
      </c>
      <c r="C787" s="2">
        <v>22</v>
      </c>
      <c r="D787" s="2" t="s">
        <v>72</v>
      </c>
      <c r="E787" s="2">
        <v>236638</v>
      </c>
      <c r="F787" s="2">
        <v>50000</v>
      </c>
      <c r="G787" s="2">
        <v>240</v>
      </c>
      <c r="H787" s="2">
        <v>8.99</v>
      </c>
      <c r="I787" s="2" t="s">
        <v>73</v>
      </c>
      <c r="J787" s="2">
        <v>796</v>
      </c>
      <c r="K787" s="30">
        <v>44246</v>
      </c>
      <c r="L787" s="30" t="s">
        <v>2228</v>
      </c>
      <c r="M787" s="2" t="s">
        <v>24</v>
      </c>
      <c r="N787" s="2">
        <v>449.54</v>
      </c>
      <c r="O787" s="2" t="s">
        <v>25</v>
      </c>
      <c r="P787" s="2" t="s">
        <v>34</v>
      </c>
      <c r="Q787" s="2" t="s">
        <v>42</v>
      </c>
      <c r="R787" s="2">
        <v>1</v>
      </c>
      <c r="S787" s="2">
        <v>18846.88</v>
      </c>
      <c r="T787" s="38" t="s">
        <v>2867</v>
      </c>
      <c r="U787" s="13"/>
    </row>
    <row r="788" spans="1:21" x14ac:dyDescent="0.3">
      <c r="A788" s="2" t="s">
        <v>1913</v>
      </c>
      <c r="B788" s="2" t="s">
        <v>1914</v>
      </c>
      <c r="C788" s="2">
        <v>48</v>
      </c>
      <c r="D788" s="2" t="s">
        <v>72</v>
      </c>
      <c r="E788" s="2">
        <v>142772</v>
      </c>
      <c r="F788" s="2">
        <v>50000</v>
      </c>
      <c r="G788" s="2">
        <v>36</v>
      </c>
      <c r="H788" s="2">
        <v>18.66</v>
      </c>
      <c r="I788" s="2" t="s">
        <v>66</v>
      </c>
      <c r="J788" s="2">
        <v>531</v>
      </c>
      <c r="K788" s="30">
        <v>44943</v>
      </c>
      <c r="L788" s="30" t="s">
        <v>1915</v>
      </c>
      <c r="M788" s="2" t="s">
        <v>24</v>
      </c>
      <c r="N788" s="2">
        <v>1824.22</v>
      </c>
      <c r="O788" s="2" t="s">
        <v>60</v>
      </c>
      <c r="P788" s="2" t="s">
        <v>2997</v>
      </c>
      <c r="Q788" s="2" t="s">
        <v>35</v>
      </c>
      <c r="R788" s="2">
        <v>5</v>
      </c>
      <c r="S788" s="2">
        <v>18805.84</v>
      </c>
      <c r="T788" s="38" t="s">
        <v>2879</v>
      </c>
      <c r="U788" s="13"/>
    </row>
    <row r="789" spans="1:21" x14ac:dyDescent="0.3">
      <c r="A789" s="3" t="s">
        <v>1841</v>
      </c>
      <c r="B789" s="3" t="s">
        <v>1842</v>
      </c>
      <c r="C789" s="3">
        <v>22</v>
      </c>
      <c r="D789" s="3" t="s">
        <v>45</v>
      </c>
      <c r="E789" s="3">
        <v>221885</v>
      </c>
      <c r="F789" s="3">
        <v>50000</v>
      </c>
      <c r="G789" s="3">
        <v>24</v>
      </c>
      <c r="H789" s="3">
        <v>10.56</v>
      </c>
      <c r="I789" s="3" t="s">
        <v>46</v>
      </c>
      <c r="J789" s="3">
        <v>684</v>
      </c>
      <c r="K789" s="29">
        <v>45166</v>
      </c>
      <c r="L789" s="29" t="s">
        <v>386</v>
      </c>
      <c r="M789" s="3" t="s">
        <v>24</v>
      </c>
      <c r="N789" s="3">
        <v>2320.19</v>
      </c>
      <c r="O789" s="3" t="s">
        <v>54</v>
      </c>
      <c r="P789" s="3" t="s">
        <v>99</v>
      </c>
      <c r="Q789" s="3" t="s">
        <v>42</v>
      </c>
      <c r="R789" s="3">
        <v>1</v>
      </c>
      <c r="S789" s="3">
        <v>18677.439999999999</v>
      </c>
      <c r="T789" s="38" t="s">
        <v>2871</v>
      </c>
      <c r="U789" s="13"/>
    </row>
    <row r="790" spans="1:21" x14ac:dyDescent="0.3">
      <c r="A790" s="3" t="s">
        <v>1844</v>
      </c>
      <c r="B790" s="3" t="s">
        <v>1845</v>
      </c>
      <c r="C790" s="3">
        <v>51</v>
      </c>
      <c r="D790" s="3" t="s">
        <v>65</v>
      </c>
      <c r="E790" s="3">
        <v>205112</v>
      </c>
      <c r="F790" s="3">
        <v>100000</v>
      </c>
      <c r="G790" s="3">
        <v>12</v>
      </c>
      <c r="H790" s="3">
        <v>16.23</v>
      </c>
      <c r="I790" s="3" t="s">
        <v>66</v>
      </c>
      <c r="J790" s="3">
        <v>554</v>
      </c>
      <c r="K790" s="29">
        <v>45170</v>
      </c>
      <c r="L790" s="29" t="s">
        <v>813</v>
      </c>
      <c r="M790" s="3" t="s">
        <v>24</v>
      </c>
      <c r="N790" s="3">
        <v>9083.9699999999993</v>
      </c>
      <c r="O790" s="3" t="s">
        <v>48</v>
      </c>
      <c r="P790" s="3" t="s">
        <v>80</v>
      </c>
      <c r="Q790" s="3" t="s">
        <v>42</v>
      </c>
      <c r="R790" s="3">
        <v>2</v>
      </c>
      <c r="S790" s="3">
        <v>18244.27</v>
      </c>
      <c r="T790" s="38" t="s">
        <v>2875</v>
      </c>
      <c r="U790" s="13"/>
    </row>
    <row r="791" spans="1:21" x14ac:dyDescent="0.3">
      <c r="A791" s="2" t="s">
        <v>463</v>
      </c>
      <c r="B791" s="2" t="s">
        <v>464</v>
      </c>
      <c r="C791" s="2">
        <v>56</v>
      </c>
      <c r="D791" s="2" t="s">
        <v>65</v>
      </c>
      <c r="E791" s="2">
        <v>81404</v>
      </c>
      <c r="F791" s="2">
        <v>50000</v>
      </c>
      <c r="G791" s="2">
        <v>48</v>
      </c>
      <c r="H791" s="2">
        <v>11.65</v>
      </c>
      <c r="I791" s="2" t="s">
        <v>46</v>
      </c>
      <c r="J791" s="2">
        <v>639</v>
      </c>
      <c r="K791" s="30">
        <v>45016</v>
      </c>
      <c r="L791" s="30" t="s">
        <v>465</v>
      </c>
      <c r="M791" s="2" t="s">
        <v>24</v>
      </c>
      <c r="N791" s="2">
        <v>1308.1199999999999</v>
      </c>
      <c r="O791" s="2" t="s">
        <v>48</v>
      </c>
      <c r="P791" s="2" t="s">
        <v>49</v>
      </c>
      <c r="Q791" s="2" t="s">
        <v>42</v>
      </c>
      <c r="R791" s="2">
        <v>1</v>
      </c>
      <c r="S791" s="2">
        <v>18212.68</v>
      </c>
      <c r="T791" s="38" t="s">
        <v>2875</v>
      </c>
      <c r="U791" s="13"/>
    </row>
    <row r="792" spans="1:21" x14ac:dyDescent="0.3">
      <c r="A792" s="2" t="s">
        <v>623</v>
      </c>
      <c r="B792" s="2" t="s">
        <v>624</v>
      </c>
      <c r="C792" s="2">
        <v>38</v>
      </c>
      <c r="D792" s="2" t="s">
        <v>21</v>
      </c>
      <c r="E792" s="2">
        <v>149431</v>
      </c>
      <c r="F792" s="2">
        <v>400000</v>
      </c>
      <c r="G792" s="2">
        <v>180</v>
      </c>
      <c r="H792" s="2">
        <v>8.93</v>
      </c>
      <c r="I792" s="2" t="s">
        <v>31</v>
      </c>
      <c r="J792" s="2" t="s">
        <v>2882</v>
      </c>
      <c r="K792" s="30">
        <v>44290</v>
      </c>
      <c r="L792" s="30" t="s">
        <v>625</v>
      </c>
      <c r="M792" s="2" t="s">
        <v>24</v>
      </c>
      <c r="N792" s="2">
        <v>4040.43</v>
      </c>
      <c r="O792" s="2" t="s">
        <v>105</v>
      </c>
      <c r="P792" s="2" t="s">
        <v>130</v>
      </c>
      <c r="Q792" s="2" t="s">
        <v>42</v>
      </c>
      <c r="R792" s="2">
        <v>1</v>
      </c>
      <c r="S792" s="2">
        <v>18179.37</v>
      </c>
      <c r="T792" s="38" t="s">
        <v>2883</v>
      </c>
      <c r="U792" s="13"/>
    </row>
    <row r="793" spans="1:21" x14ac:dyDescent="0.3">
      <c r="A793" s="3" t="s">
        <v>2428</v>
      </c>
      <c r="B793" s="3" t="s">
        <v>2429</v>
      </c>
      <c r="C793" s="3">
        <v>38</v>
      </c>
      <c r="D793" s="3" t="s">
        <v>45</v>
      </c>
      <c r="E793" s="3">
        <v>99167</v>
      </c>
      <c r="F793" s="3">
        <v>50000</v>
      </c>
      <c r="G793" s="3">
        <v>12</v>
      </c>
      <c r="H793" s="3">
        <v>12.31</v>
      </c>
      <c r="I793" s="3" t="s">
        <v>31</v>
      </c>
      <c r="J793" s="3">
        <v>335</v>
      </c>
      <c r="K793" s="29">
        <v>44969</v>
      </c>
      <c r="L793" s="29" t="s">
        <v>1855</v>
      </c>
      <c r="M793" s="3" t="s">
        <v>33</v>
      </c>
      <c r="N793" s="3">
        <v>4449.6899999999996</v>
      </c>
      <c r="O793" s="3" t="s">
        <v>105</v>
      </c>
      <c r="P793" s="3" t="s">
        <v>118</v>
      </c>
      <c r="Q793" s="3" t="s">
        <v>35</v>
      </c>
      <c r="R793" s="3">
        <v>0</v>
      </c>
      <c r="S793" s="3">
        <v>17962.23</v>
      </c>
      <c r="T793" s="38" t="s">
        <v>2879</v>
      </c>
      <c r="U793" s="13"/>
    </row>
    <row r="794" spans="1:21" x14ac:dyDescent="0.3">
      <c r="A794" s="2" t="s">
        <v>2536</v>
      </c>
      <c r="B794" s="2" t="s">
        <v>2537</v>
      </c>
      <c r="C794" s="2">
        <v>41</v>
      </c>
      <c r="D794" s="2" t="s">
        <v>45</v>
      </c>
      <c r="E794" s="2">
        <v>123034</v>
      </c>
      <c r="F794" s="2">
        <v>50000</v>
      </c>
      <c r="G794" s="2">
        <v>48</v>
      </c>
      <c r="H794" s="2">
        <v>10.65</v>
      </c>
      <c r="I794" s="2" t="s">
        <v>251</v>
      </c>
      <c r="J794" s="2">
        <v>693</v>
      </c>
      <c r="K794" s="30">
        <v>44245</v>
      </c>
      <c r="L794" s="30" t="s">
        <v>2538</v>
      </c>
      <c r="M794" s="2" t="s">
        <v>122</v>
      </c>
      <c r="N794" s="2">
        <v>1283.79</v>
      </c>
      <c r="O794" s="2" t="s">
        <v>54</v>
      </c>
      <c r="P794" s="2" t="s">
        <v>164</v>
      </c>
      <c r="Q794" s="2" t="s">
        <v>42</v>
      </c>
      <c r="R794" s="2">
        <v>0</v>
      </c>
      <c r="S794" s="2">
        <v>17648.490000000002</v>
      </c>
      <c r="T794" s="38" t="s">
        <v>2871</v>
      </c>
      <c r="U794" s="13"/>
    </row>
    <row r="795" spans="1:21" x14ac:dyDescent="0.3">
      <c r="A795" s="3" t="s">
        <v>569</v>
      </c>
      <c r="B795" s="3" t="s">
        <v>570</v>
      </c>
      <c r="C795" s="3">
        <v>63</v>
      </c>
      <c r="D795" s="3" t="s">
        <v>21</v>
      </c>
      <c r="E795" s="3">
        <v>203376</v>
      </c>
      <c r="F795" s="3">
        <v>100000</v>
      </c>
      <c r="G795" s="3">
        <v>12</v>
      </c>
      <c r="H795" s="3">
        <v>18.18</v>
      </c>
      <c r="I795" s="3" t="s">
        <v>66</v>
      </c>
      <c r="J795" s="3">
        <v>881</v>
      </c>
      <c r="K795" s="29">
        <v>45027</v>
      </c>
      <c r="L795" s="29" t="s">
        <v>446</v>
      </c>
      <c r="M795" s="3" t="s">
        <v>24</v>
      </c>
      <c r="N795" s="3">
        <v>9176.57</v>
      </c>
      <c r="O795" s="3" t="s">
        <v>105</v>
      </c>
      <c r="P795" s="3" t="s">
        <v>159</v>
      </c>
      <c r="Q795" s="3" t="s">
        <v>35</v>
      </c>
      <c r="R795" s="3">
        <v>9</v>
      </c>
      <c r="S795" s="3">
        <v>17410.87</v>
      </c>
      <c r="T795" s="38" t="s">
        <v>2867</v>
      </c>
      <c r="U795" s="13"/>
    </row>
    <row r="796" spans="1:21" x14ac:dyDescent="0.3">
      <c r="A796" s="2" t="s">
        <v>254</v>
      </c>
      <c r="B796" s="2" t="s">
        <v>255</v>
      </c>
      <c r="C796" s="2">
        <v>33</v>
      </c>
      <c r="D796" s="2" t="s">
        <v>72</v>
      </c>
      <c r="E796" s="2">
        <v>81185</v>
      </c>
      <c r="F796" s="2">
        <v>400000</v>
      </c>
      <c r="G796" s="2">
        <v>24</v>
      </c>
      <c r="H796" s="2">
        <v>19.420000000000002</v>
      </c>
      <c r="I796" s="2" t="s">
        <v>73</v>
      </c>
      <c r="J796" s="2" t="s">
        <v>2882</v>
      </c>
      <c r="K796" s="30">
        <v>44306</v>
      </c>
      <c r="L796" s="30" t="s">
        <v>257</v>
      </c>
      <c r="M796" s="2" t="s">
        <v>33</v>
      </c>
      <c r="N796" s="2">
        <v>20245.16</v>
      </c>
      <c r="O796" s="2" t="s">
        <v>25</v>
      </c>
      <c r="P796" s="2" t="s">
        <v>123</v>
      </c>
      <c r="Q796" s="2" t="s">
        <v>42</v>
      </c>
      <c r="R796" s="2">
        <v>2</v>
      </c>
      <c r="S796" s="2">
        <v>17366.48</v>
      </c>
      <c r="T796" s="38" t="s">
        <v>2883</v>
      </c>
      <c r="U796" s="13"/>
    </row>
    <row r="797" spans="1:21" x14ac:dyDescent="0.3">
      <c r="A797" s="2" t="s">
        <v>1231</v>
      </c>
      <c r="B797" s="2" t="s">
        <v>1232</v>
      </c>
      <c r="C797" s="2">
        <v>33</v>
      </c>
      <c r="D797" s="2" t="s">
        <v>21</v>
      </c>
      <c r="E797" s="2">
        <v>235075</v>
      </c>
      <c r="F797" s="2">
        <v>100000</v>
      </c>
      <c r="G797" s="2">
        <v>12</v>
      </c>
      <c r="H797" s="2">
        <v>18.600000000000001</v>
      </c>
      <c r="I797" s="2" t="s">
        <v>73</v>
      </c>
      <c r="J797" s="2">
        <v>721</v>
      </c>
      <c r="K797" s="30">
        <v>44757</v>
      </c>
      <c r="L797" s="30" t="s">
        <v>889</v>
      </c>
      <c r="M797" s="2" t="s">
        <v>24</v>
      </c>
      <c r="N797" s="2">
        <v>9196.58</v>
      </c>
      <c r="O797" s="2" t="s">
        <v>48</v>
      </c>
      <c r="P797" s="2" t="s">
        <v>80</v>
      </c>
      <c r="Q797" s="2" t="s">
        <v>35</v>
      </c>
      <c r="R797" s="2">
        <v>11</v>
      </c>
      <c r="S797" s="2">
        <v>17230.78</v>
      </c>
      <c r="T797" s="38" t="s">
        <v>2871</v>
      </c>
      <c r="U797" s="13"/>
    </row>
    <row r="798" spans="1:21" x14ac:dyDescent="0.3">
      <c r="A798" s="3" t="s">
        <v>2251</v>
      </c>
      <c r="B798" s="3" t="s">
        <v>2252</v>
      </c>
      <c r="C798" s="3">
        <v>58</v>
      </c>
      <c r="D798" s="3" t="s">
        <v>72</v>
      </c>
      <c r="E798" s="3"/>
      <c r="F798" s="3">
        <v>200000</v>
      </c>
      <c r="G798" s="3">
        <v>84</v>
      </c>
      <c r="H798" s="3">
        <v>9.58</v>
      </c>
      <c r="I798" s="3" t="s">
        <v>22</v>
      </c>
      <c r="J798" s="3">
        <v>397</v>
      </c>
      <c r="K798" s="29">
        <v>44708</v>
      </c>
      <c r="L798" s="29" t="s">
        <v>433</v>
      </c>
      <c r="M798" s="3" t="s">
        <v>122</v>
      </c>
      <c r="N798" s="3">
        <v>3277</v>
      </c>
      <c r="O798" s="3" t="s">
        <v>54</v>
      </c>
      <c r="P798" s="3" t="s">
        <v>2996</v>
      </c>
      <c r="Q798" s="3" t="s">
        <v>42</v>
      </c>
      <c r="R798" s="3">
        <v>0</v>
      </c>
      <c r="S798" s="3">
        <v>17143.400000000001</v>
      </c>
      <c r="T798" s="38" t="s">
        <v>2879</v>
      </c>
      <c r="U798" s="13"/>
    </row>
    <row r="799" spans="1:21" x14ac:dyDescent="0.3">
      <c r="A799" s="2" t="s">
        <v>1326</v>
      </c>
      <c r="B799" s="2" t="s">
        <v>879</v>
      </c>
      <c r="C799" s="2">
        <v>29</v>
      </c>
      <c r="D799" s="2" t="s">
        <v>21</v>
      </c>
      <c r="E799" s="2">
        <v>241932</v>
      </c>
      <c r="F799" s="2">
        <v>50000</v>
      </c>
      <c r="G799" s="2">
        <v>48</v>
      </c>
      <c r="H799" s="2">
        <v>13.76</v>
      </c>
      <c r="I799" s="2" t="s">
        <v>73</v>
      </c>
      <c r="J799" s="2">
        <v>625</v>
      </c>
      <c r="K799" s="30">
        <v>44629</v>
      </c>
      <c r="L799" s="30" t="s">
        <v>68</v>
      </c>
      <c r="M799" s="2" t="s">
        <v>33</v>
      </c>
      <c r="N799" s="2">
        <v>1360.31</v>
      </c>
      <c r="O799" s="2" t="s">
        <v>60</v>
      </c>
      <c r="P799" s="2" t="s">
        <v>2997</v>
      </c>
      <c r="Q799" s="2" t="s">
        <v>42</v>
      </c>
      <c r="R799" s="2">
        <v>1</v>
      </c>
      <c r="S799" s="2">
        <v>16944.47</v>
      </c>
      <c r="T799" s="38" t="s">
        <v>2875</v>
      </c>
      <c r="U799" s="13"/>
    </row>
    <row r="800" spans="1:21" x14ac:dyDescent="0.3">
      <c r="A800" s="3" t="s">
        <v>2363</v>
      </c>
      <c r="B800" s="3" t="s">
        <v>2364</v>
      </c>
      <c r="C800" s="3">
        <v>58</v>
      </c>
      <c r="D800" s="3" t="s">
        <v>21</v>
      </c>
      <c r="E800" s="3">
        <v>170825</v>
      </c>
      <c r="F800" s="3">
        <v>50000</v>
      </c>
      <c r="G800" s="3">
        <v>36</v>
      </c>
      <c r="H800" s="3">
        <v>9.65</v>
      </c>
      <c r="I800" s="3" t="s">
        <v>66</v>
      </c>
      <c r="J800" s="3">
        <v>326</v>
      </c>
      <c r="K800" s="29">
        <v>44793</v>
      </c>
      <c r="L800" s="29" t="s">
        <v>2365</v>
      </c>
      <c r="M800" s="3" t="s">
        <v>24</v>
      </c>
      <c r="N800" s="3">
        <v>1605.16</v>
      </c>
      <c r="O800" s="3" t="s">
        <v>105</v>
      </c>
      <c r="P800" s="3" t="s">
        <v>130</v>
      </c>
      <c r="Q800" s="3" t="s">
        <v>42</v>
      </c>
      <c r="R800" s="3">
        <v>2</v>
      </c>
      <c r="S800" s="3">
        <v>16773.189999999999</v>
      </c>
      <c r="T800" s="38" t="s">
        <v>2879</v>
      </c>
      <c r="U800" s="13"/>
    </row>
    <row r="801" spans="1:21" x14ac:dyDescent="0.3">
      <c r="A801" s="3" t="s">
        <v>1781</v>
      </c>
      <c r="B801" s="3" t="s">
        <v>1782</v>
      </c>
      <c r="C801" s="3">
        <v>52</v>
      </c>
      <c r="D801" s="3" t="s">
        <v>21</v>
      </c>
      <c r="E801" s="3">
        <v>235610</v>
      </c>
      <c r="F801" s="3">
        <v>100000</v>
      </c>
      <c r="G801" s="3">
        <v>36</v>
      </c>
      <c r="H801" s="3">
        <v>19.66</v>
      </c>
      <c r="I801" s="3" t="s">
        <v>22</v>
      </c>
      <c r="J801" s="3">
        <v>481</v>
      </c>
      <c r="K801" s="29">
        <v>44541</v>
      </c>
      <c r="L801" s="29" t="s">
        <v>1253</v>
      </c>
      <c r="M801" s="3" t="s">
        <v>33</v>
      </c>
      <c r="N801" s="3">
        <v>3699.06</v>
      </c>
      <c r="O801" s="3" t="s">
        <v>48</v>
      </c>
      <c r="P801" s="3" t="s">
        <v>49</v>
      </c>
      <c r="Q801" s="3" t="s">
        <v>42</v>
      </c>
      <c r="R801" s="3">
        <v>2</v>
      </c>
      <c r="S801" s="3">
        <v>16771.150000000001</v>
      </c>
      <c r="T801" s="38" t="s">
        <v>2879</v>
      </c>
      <c r="U801" s="13"/>
    </row>
    <row r="802" spans="1:21" x14ac:dyDescent="0.3">
      <c r="A802" s="2" t="s">
        <v>1216</v>
      </c>
      <c r="B802" s="2" t="s">
        <v>1217</v>
      </c>
      <c r="C802" s="2">
        <v>25</v>
      </c>
      <c r="D802" s="2" t="s">
        <v>21</v>
      </c>
      <c r="E802" s="2">
        <v>67611</v>
      </c>
      <c r="F802" s="2">
        <v>2000000</v>
      </c>
      <c r="G802" s="2">
        <v>60</v>
      </c>
      <c r="H802" s="2">
        <v>8.27</v>
      </c>
      <c r="I802" s="2" t="s">
        <v>46</v>
      </c>
      <c r="J802" s="2">
        <v>368</v>
      </c>
      <c r="K802" s="30">
        <v>44934</v>
      </c>
      <c r="L802" s="30" t="s">
        <v>440</v>
      </c>
      <c r="M802" s="2" t="s">
        <v>24</v>
      </c>
      <c r="N802" s="2">
        <v>40811.72</v>
      </c>
      <c r="O802" s="2" t="s">
        <v>60</v>
      </c>
      <c r="P802" s="2" t="s">
        <v>61</v>
      </c>
      <c r="Q802" s="2" t="s">
        <v>42</v>
      </c>
      <c r="R802" s="2">
        <v>2</v>
      </c>
      <c r="S802" s="2">
        <v>16550.41</v>
      </c>
      <c r="T802" s="38" t="s">
        <v>2879</v>
      </c>
      <c r="U802" s="13"/>
    </row>
    <row r="803" spans="1:21" x14ac:dyDescent="0.3">
      <c r="A803" s="2" t="s">
        <v>2446</v>
      </c>
      <c r="B803" s="2" t="s">
        <v>2447</v>
      </c>
      <c r="C803" s="2">
        <v>34</v>
      </c>
      <c r="D803" s="2" t="s">
        <v>21</v>
      </c>
      <c r="E803" s="2">
        <v>27822</v>
      </c>
      <c r="F803" s="2">
        <v>300000</v>
      </c>
      <c r="G803" s="2">
        <v>60</v>
      </c>
      <c r="H803" s="2">
        <v>13.15</v>
      </c>
      <c r="I803" s="2" t="s">
        <v>73</v>
      </c>
      <c r="J803" s="2">
        <v>787</v>
      </c>
      <c r="K803" s="30">
        <v>44811</v>
      </c>
      <c r="L803" s="30" t="s">
        <v>224</v>
      </c>
      <c r="M803" s="2" t="s">
        <v>24</v>
      </c>
      <c r="N803" s="2">
        <v>6848.98</v>
      </c>
      <c r="O803" s="2" t="s">
        <v>60</v>
      </c>
      <c r="P803" s="2" t="s">
        <v>61</v>
      </c>
      <c r="Q803" s="2" t="s">
        <v>42</v>
      </c>
      <c r="R803" s="2">
        <v>0</v>
      </c>
      <c r="S803" s="2">
        <v>16452.23</v>
      </c>
      <c r="T803" s="38" t="s">
        <v>2867</v>
      </c>
      <c r="U803" s="13"/>
    </row>
    <row r="804" spans="1:21" x14ac:dyDescent="0.3">
      <c r="A804" s="2" t="s">
        <v>869</v>
      </c>
      <c r="B804" s="2" t="s">
        <v>870</v>
      </c>
      <c r="C804" s="2">
        <v>48</v>
      </c>
      <c r="D804" s="2" t="s">
        <v>45</v>
      </c>
      <c r="E804" s="2">
        <v>184228</v>
      </c>
      <c r="F804" s="2">
        <v>75000</v>
      </c>
      <c r="G804" s="2">
        <v>48</v>
      </c>
      <c r="H804" s="2">
        <v>13.9</v>
      </c>
      <c r="I804" s="2" t="s">
        <v>73</v>
      </c>
      <c r="J804" s="2">
        <v>796</v>
      </c>
      <c r="K804" s="30">
        <v>44522</v>
      </c>
      <c r="L804" s="30" t="s">
        <v>872</v>
      </c>
      <c r="M804" s="2" t="s">
        <v>24</v>
      </c>
      <c r="N804" s="2">
        <v>2045.73</v>
      </c>
      <c r="O804" s="2" t="s">
        <v>54</v>
      </c>
      <c r="P804" s="2" t="s">
        <v>183</v>
      </c>
      <c r="Q804" s="2" t="s">
        <v>35</v>
      </c>
      <c r="R804" s="2">
        <v>0</v>
      </c>
      <c r="S804" s="2">
        <v>16082.98</v>
      </c>
      <c r="T804" s="38" t="s">
        <v>2867</v>
      </c>
      <c r="U804" s="13"/>
    </row>
    <row r="805" spans="1:21" x14ac:dyDescent="0.3">
      <c r="A805" s="2" t="s">
        <v>645</v>
      </c>
      <c r="B805" s="2" t="s">
        <v>646</v>
      </c>
      <c r="C805" s="2">
        <v>36</v>
      </c>
      <c r="D805" s="2" t="s">
        <v>21</v>
      </c>
      <c r="E805" s="2">
        <v>194317</v>
      </c>
      <c r="F805" s="2">
        <v>75000</v>
      </c>
      <c r="G805" s="2">
        <v>12</v>
      </c>
      <c r="H805" s="2">
        <v>8.86</v>
      </c>
      <c r="I805" s="2" t="s">
        <v>73</v>
      </c>
      <c r="J805" s="2">
        <v>686</v>
      </c>
      <c r="K805" s="30">
        <v>44216</v>
      </c>
      <c r="L805" s="30" t="s">
        <v>647</v>
      </c>
      <c r="M805" s="2" t="s">
        <v>24</v>
      </c>
      <c r="N805" s="2">
        <v>6553.99</v>
      </c>
      <c r="O805" s="2" t="s">
        <v>54</v>
      </c>
      <c r="P805" s="2" t="s">
        <v>164</v>
      </c>
      <c r="Q805" s="2" t="s">
        <v>42</v>
      </c>
      <c r="R805" s="2">
        <v>0</v>
      </c>
      <c r="S805" s="2">
        <v>16014.09</v>
      </c>
      <c r="T805" s="38" t="s">
        <v>2871</v>
      </c>
      <c r="U805" s="13"/>
    </row>
    <row r="806" spans="1:21" x14ac:dyDescent="0.3">
      <c r="A806" s="2" t="s">
        <v>1947</v>
      </c>
      <c r="B806" s="2" t="s">
        <v>1948</v>
      </c>
      <c r="C806" s="2">
        <v>39</v>
      </c>
      <c r="D806" s="2" t="s">
        <v>30</v>
      </c>
      <c r="E806" s="2">
        <v>82105</v>
      </c>
      <c r="F806" s="2">
        <v>50000</v>
      </c>
      <c r="G806" s="2">
        <v>240</v>
      </c>
      <c r="H806" s="2">
        <v>17.03</v>
      </c>
      <c r="I806" s="2" t="s">
        <v>22</v>
      </c>
      <c r="J806" s="2">
        <v>691</v>
      </c>
      <c r="K806" s="30">
        <v>45102</v>
      </c>
      <c r="L806" s="30" t="s">
        <v>963</v>
      </c>
      <c r="M806" s="2" t="s">
        <v>122</v>
      </c>
      <c r="N806" s="2">
        <v>734.54</v>
      </c>
      <c r="O806" s="2" t="s">
        <v>48</v>
      </c>
      <c r="P806" s="2" t="s">
        <v>375</v>
      </c>
      <c r="Q806" s="2" t="s">
        <v>42</v>
      </c>
      <c r="R806" s="2">
        <v>2</v>
      </c>
      <c r="S806" s="2">
        <v>15623.53</v>
      </c>
      <c r="T806" s="38" t="s">
        <v>2871</v>
      </c>
      <c r="U806" s="13"/>
    </row>
    <row r="807" spans="1:21" x14ac:dyDescent="0.3">
      <c r="A807" s="2" t="s">
        <v>741</v>
      </c>
      <c r="B807" s="2" t="s">
        <v>742</v>
      </c>
      <c r="C807" s="2">
        <v>23</v>
      </c>
      <c r="D807" s="2" t="s">
        <v>72</v>
      </c>
      <c r="E807" s="2">
        <v>239828</v>
      </c>
      <c r="F807" s="2">
        <v>100000</v>
      </c>
      <c r="G807" s="2">
        <v>180</v>
      </c>
      <c r="H807" s="2">
        <v>14.12</v>
      </c>
      <c r="I807" s="2" t="s">
        <v>73</v>
      </c>
      <c r="J807" s="2">
        <v>507</v>
      </c>
      <c r="K807" s="30">
        <v>44388</v>
      </c>
      <c r="L807" s="30" t="s">
        <v>744</v>
      </c>
      <c r="M807" s="2" t="s">
        <v>24</v>
      </c>
      <c r="N807" s="2">
        <v>1339.81</v>
      </c>
      <c r="O807" s="2" t="s">
        <v>105</v>
      </c>
      <c r="P807" s="2" t="s">
        <v>130</v>
      </c>
      <c r="Q807" s="2" t="s">
        <v>27</v>
      </c>
      <c r="R807" s="2">
        <v>0</v>
      </c>
      <c r="S807" s="2">
        <v>15591.97</v>
      </c>
      <c r="T807" s="38" t="s">
        <v>2879</v>
      </c>
      <c r="U807" s="13"/>
    </row>
    <row r="808" spans="1:21" x14ac:dyDescent="0.3">
      <c r="A808" s="2" t="s">
        <v>1991</v>
      </c>
      <c r="B808" s="2" t="s">
        <v>1992</v>
      </c>
      <c r="C808" s="2">
        <v>26</v>
      </c>
      <c r="D808" s="2" t="s">
        <v>30</v>
      </c>
      <c r="E808" s="2">
        <v>171529</v>
      </c>
      <c r="F808" s="2">
        <v>50000</v>
      </c>
      <c r="G808" s="2">
        <v>60</v>
      </c>
      <c r="H808" s="2">
        <v>10.220000000000001</v>
      </c>
      <c r="I808" s="2" t="s">
        <v>83</v>
      </c>
      <c r="J808" s="2">
        <v>333</v>
      </c>
      <c r="K808" s="30">
        <v>44288</v>
      </c>
      <c r="L808" s="30" t="s">
        <v>1110</v>
      </c>
      <c r="M808" s="2" t="s">
        <v>24</v>
      </c>
      <c r="N808" s="2">
        <v>1067.77</v>
      </c>
      <c r="O808" s="2" t="s">
        <v>105</v>
      </c>
      <c r="P808" s="2" t="s">
        <v>130</v>
      </c>
      <c r="Q808" s="2" t="s">
        <v>27</v>
      </c>
      <c r="R808" s="2">
        <v>0</v>
      </c>
      <c r="S808" s="2">
        <v>15404.25</v>
      </c>
      <c r="T808" s="38" t="s">
        <v>2879</v>
      </c>
      <c r="U808" s="13"/>
    </row>
    <row r="809" spans="1:21" x14ac:dyDescent="0.3">
      <c r="A809" s="3" t="s">
        <v>2689</v>
      </c>
      <c r="B809" s="3" t="s">
        <v>128</v>
      </c>
      <c r="C809" s="3">
        <v>32</v>
      </c>
      <c r="D809" s="3" t="s">
        <v>45</v>
      </c>
      <c r="E809" s="3">
        <v>212791</v>
      </c>
      <c r="F809" s="3">
        <v>50000</v>
      </c>
      <c r="G809" s="3">
        <v>24</v>
      </c>
      <c r="H809" s="3">
        <v>21.75</v>
      </c>
      <c r="I809" s="3" t="s">
        <v>251</v>
      </c>
      <c r="J809" s="3">
        <v>300</v>
      </c>
      <c r="K809" s="29">
        <v>45005</v>
      </c>
      <c r="L809" s="29" t="s">
        <v>1118</v>
      </c>
      <c r="M809" s="3" t="s">
        <v>33</v>
      </c>
      <c r="N809" s="3">
        <v>2587.7399999999998</v>
      </c>
      <c r="O809" s="3" t="s">
        <v>48</v>
      </c>
      <c r="P809" s="3" t="s">
        <v>80</v>
      </c>
      <c r="Q809" s="3" t="s">
        <v>100</v>
      </c>
      <c r="R809" s="3">
        <v>8</v>
      </c>
      <c r="S809" s="3">
        <v>15065.51</v>
      </c>
      <c r="T809" s="38" t="s">
        <v>2879</v>
      </c>
      <c r="U809" s="13"/>
    </row>
    <row r="810" spans="1:21" x14ac:dyDescent="0.3">
      <c r="A810" s="2" t="s">
        <v>1929</v>
      </c>
      <c r="B810" s="2" t="s">
        <v>157</v>
      </c>
      <c r="C810" s="2">
        <v>42</v>
      </c>
      <c r="D810" s="2" t="s">
        <v>72</v>
      </c>
      <c r="E810" s="2">
        <v>62645</v>
      </c>
      <c r="F810" s="2">
        <v>50000</v>
      </c>
      <c r="G810" s="2">
        <v>12</v>
      </c>
      <c r="H810" s="2">
        <v>8.26</v>
      </c>
      <c r="I810" s="2" t="s">
        <v>38</v>
      </c>
      <c r="J810" s="2">
        <v>517</v>
      </c>
      <c r="K810" s="30">
        <v>44403</v>
      </c>
      <c r="L810" s="30" t="s">
        <v>1026</v>
      </c>
      <c r="M810" s="2" t="s">
        <v>24</v>
      </c>
      <c r="N810" s="2">
        <v>4355.43</v>
      </c>
      <c r="O810" s="2" t="s">
        <v>48</v>
      </c>
      <c r="P810" s="2" t="s">
        <v>80</v>
      </c>
      <c r="Q810" s="2" t="s">
        <v>42</v>
      </c>
      <c r="R810" s="2">
        <v>1</v>
      </c>
      <c r="S810" s="2">
        <v>14721.02</v>
      </c>
      <c r="T810" s="38" t="s">
        <v>2879</v>
      </c>
      <c r="U810" s="13"/>
    </row>
    <row r="811" spans="1:21" x14ac:dyDescent="0.3">
      <c r="A811" s="2" t="s">
        <v>1937</v>
      </c>
      <c r="B811" s="2" t="s">
        <v>1938</v>
      </c>
      <c r="C811" s="2">
        <v>54</v>
      </c>
      <c r="D811" s="2" t="s">
        <v>65</v>
      </c>
      <c r="E811" s="2">
        <v>162455</v>
      </c>
      <c r="F811" s="2">
        <v>2000000</v>
      </c>
      <c r="G811" s="2">
        <v>120</v>
      </c>
      <c r="H811" s="2">
        <v>13.31</v>
      </c>
      <c r="I811" s="2" t="s">
        <v>66</v>
      </c>
      <c r="J811" s="2">
        <v>511</v>
      </c>
      <c r="K811" s="30">
        <v>44643</v>
      </c>
      <c r="L811" s="30" t="s">
        <v>1939</v>
      </c>
      <c r="M811" s="2" t="s">
        <v>24</v>
      </c>
      <c r="N811" s="2">
        <v>30228.95</v>
      </c>
      <c r="O811" s="2" t="s">
        <v>105</v>
      </c>
      <c r="P811" s="2" t="s">
        <v>114</v>
      </c>
      <c r="Q811" s="2" t="s">
        <v>42</v>
      </c>
      <c r="R811" s="2">
        <v>0</v>
      </c>
      <c r="S811" s="2">
        <v>13957.98</v>
      </c>
      <c r="T811" s="38" t="s">
        <v>2879</v>
      </c>
      <c r="U811" s="13"/>
    </row>
    <row r="812" spans="1:21" x14ac:dyDescent="0.3">
      <c r="A812" s="3" t="s">
        <v>2162</v>
      </c>
      <c r="B812" s="3" t="s">
        <v>1290</v>
      </c>
      <c r="C812" s="3">
        <v>44</v>
      </c>
      <c r="D812" s="3" t="s">
        <v>30</v>
      </c>
      <c r="E812" s="3">
        <v>104948</v>
      </c>
      <c r="F812" s="3">
        <v>300000</v>
      </c>
      <c r="G812" s="3">
        <v>12</v>
      </c>
      <c r="H812" s="3">
        <v>10.95</v>
      </c>
      <c r="I812" s="3" t="s">
        <v>22</v>
      </c>
      <c r="J812" s="3">
        <v>310</v>
      </c>
      <c r="K812" s="29">
        <v>44290</v>
      </c>
      <c r="L812" s="29" t="s">
        <v>2163</v>
      </c>
      <c r="M812" s="3" t="s">
        <v>24</v>
      </c>
      <c r="N812" s="3">
        <v>26507.5</v>
      </c>
      <c r="O812" s="3" t="s">
        <v>105</v>
      </c>
      <c r="P812" s="3" t="s">
        <v>118</v>
      </c>
      <c r="Q812" s="3" t="s">
        <v>27</v>
      </c>
      <c r="R812" s="3">
        <v>2</v>
      </c>
      <c r="S812" s="3">
        <v>13719</v>
      </c>
      <c r="T812" s="38" t="s">
        <v>2879</v>
      </c>
      <c r="U812" s="13"/>
    </row>
    <row r="813" spans="1:21" x14ac:dyDescent="0.3">
      <c r="A813" s="2" t="s">
        <v>571</v>
      </c>
      <c r="B813" s="2" t="s">
        <v>572</v>
      </c>
      <c r="C813" s="2">
        <v>27</v>
      </c>
      <c r="D813" s="2" t="s">
        <v>65</v>
      </c>
      <c r="E813" s="2">
        <v>190441</v>
      </c>
      <c r="F813" s="2">
        <v>75000</v>
      </c>
      <c r="G813" s="2">
        <v>36</v>
      </c>
      <c r="H813" s="2">
        <v>21.73</v>
      </c>
      <c r="I813" s="2" t="s">
        <v>31</v>
      </c>
      <c r="J813" s="2">
        <v>631</v>
      </c>
      <c r="K813" s="30">
        <v>44679</v>
      </c>
      <c r="L813" s="30" t="s">
        <v>574</v>
      </c>
      <c r="M813" s="2" t="s">
        <v>33</v>
      </c>
      <c r="N813" s="2">
        <v>2853.82</v>
      </c>
      <c r="O813" s="2" t="s">
        <v>105</v>
      </c>
      <c r="P813" s="2" t="s">
        <v>114</v>
      </c>
      <c r="Q813" s="2" t="s">
        <v>42</v>
      </c>
      <c r="R813" s="2">
        <v>1</v>
      </c>
      <c r="S813" s="2">
        <v>13357.49</v>
      </c>
      <c r="T813" s="38" t="s">
        <v>2875</v>
      </c>
      <c r="U813" s="13"/>
    </row>
    <row r="814" spans="1:21" x14ac:dyDescent="0.3">
      <c r="A814" s="3" t="s">
        <v>2834</v>
      </c>
      <c r="B814" s="3" t="s">
        <v>78</v>
      </c>
      <c r="C814" s="3">
        <v>22</v>
      </c>
      <c r="D814" s="3" t="s">
        <v>30</v>
      </c>
      <c r="E814" s="3">
        <v>69710</v>
      </c>
      <c r="F814" s="3">
        <v>50000</v>
      </c>
      <c r="G814" s="3">
        <v>12</v>
      </c>
      <c r="H814" s="3">
        <v>16</v>
      </c>
      <c r="I814" s="3" t="s">
        <v>38</v>
      </c>
      <c r="J814" s="3">
        <v>724</v>
      </c>
      <c r="K814" s="29">
        <v>45269</v>
      </c>
      <c r="L814" s="29" t="s">
        <v>1295</v>
      </c>
      <c r="M814" s="3" t="s">
        <v>24</v>
      </c>
      <c r="N814" s="3">
        <v>4536.54</v>
      </c>
      <c r="O814" s="3" t="s">
        <v>25</v>
      </c>
      <c r="P814" s="3" t="s">
        <v>123</v>
      </c>
      <c r="Q814" s="3" t="s">
        <v>35</v>
      </c>
      <c r="R814" s="3">
        <v>2</v>
      </c>
      <c r="S814" s="3">
        <v>13254.03</v>
      </c>
      <c r="T814" s="38" t="s">
        <v>2871</v>
      </c>
      <c r="U814" s="13"/>
    </row>
    <row r="815" spans="1:21" x14ac:dyDescent="0.3">
      <c r="A815" s="2" t="s">
        <v>1918</v>
      </c>
      <c r="B815" s="2" t="s">
        <v>1919</v>
      </c>
      <c r="C815" s="2">
        <v>48</v>
      </c>
      <c r="D815" s="2" t="s">
        <v>21</v>
      </c>
      <c r="E815" s="2">
        <v>23285</v>
      </c>
      <c r="F815" s="2">
        <v>100000</v>
      </c>
      <c r="G815" s="2">
        <v>48</v>
      </c>
      <c r="H815" s="2">
        <v>21.25</v>
      </c>
      <c r="I815" s="2" t="s">
        <v>66</v>
      </c>
      <c r="J815" s="2">
        <v>421</v>
      </c>
      <c r="K815" s="30">
        <v>44457</v>
      </c>
      <c r="L815" s="30" t="s">
        <v>1591</v>
      </c>
      <c r="M815" s="2" t="s">
        <v>33</v>
      </c>
      <c r="N815" s="2">
        <v>3110.03</v>
      </c>
      <c r="O815" s="2" t="s">
        <v>60</v>
      </c>
      <c r="P815" s="2" t="s">
        <v>2997</v>
      </c>
      <c r="Q815" s="2" t="s">
        <v>42</v>
      </c>
      <c r="R815" s="2">
        <v>2</v>
      </c>
      <c r="S815" s="2">
        <v>13230.16</v>
      </c>
      <c r="T815" s="38" t="s">
        <v>2879</v>
      </c>
      <c r="U815" s="13"/>
    </row>
    <row r="816" spans="1:21" x14ac:dyDescent="0.3">
      <c r="A816" s="3" t="s">
        <v>633</v>
      </c>
      <c r="B816" s="3" t="s">
        <v>634</v>
      </c>
      <c r="C816" s="3">
        <v>64</v>
      </c>
      <c r="D816" s="3" t="s">
        <v>72</v>
      </c>
      <c r="E816" s="3">
        <v>215366</v>
      </c>
      <c r="F816" s="3">
        <v>50000</v>
      </c>
      <c r="G816" s="3">
        <v>120</v>
      </c>
      <c r="H816" s="3">
        <v>9.49</v>
      </c>
      <c r="I816" s="3" t="s">
        <v>83</v>
      </c>
      <c r="J816" s="3">
        <v>369</v>
      </c>
      <c r="K816" s="29">
        <v>45130</v>
      </c>
      <c r="L816" s="29" t="s">
        <v>636</v>
      </c>
      <c r="M816" s="3" t="s">
        <v>24</v>
      </c>
      <c r="N816" s="3">
        <v>646.71</v>
      </c>
      <c r="O816" s="3" t="s">
        <v>105</v>
      </c>
      <c r="P816" s="3" t="s">
        <v>114</v>
      </c>
      <c r="Q816" s="3" t="s">
        <v>42</v>
      </c>
      <c r="R816" s="3">
        <v>0</v>
      </c>
      <c r="S816" s="3">
        <v>12749.5</v>
      </c>
      <c r="T816" s="38" t="s">
        <v>2879</v>
      </c>
      <c r="U816" s="13"/>
    </row>
    <row r="817" spans="1:21" x14ac:dyDescent="0.3">
      <c r="A817" s="2" t="s">
        <v>483</v>
      </c>
      <c r="B817" s="2" t="s">
        <v>484</v>
      </c>
      <c r="C817" s="2">
        <v>61</v>
      </c>
      <c r="D817" s="2" t="s">
        <v>21</v>
      </c>
      <c r="E817" s="2">
        <v>196922</v>
      </c>
      <c r="F817" s="2">
        <v>400000</v>
      </c>
      <c r="G817" s="2">
        <v>48</v>
      </c>
      <c r="H817" s="2">
        <v>9.2799999999999994</v>
      </c>
      <c r="I817" s="2" t="s">
        <v>22</v>
      </c>
      <c r="J817" s="2">
        <v>762</v>
      </c>
      <c r="K817" s="30">
        <v>44851</v>
      </c>
      <c r="L817" s="30" t="s">
        <v>162</v>
      </c>
      <c r="M817" s="2" t="s">
        <v>24</v>
      </c>
      <c r="N817" s="2">
        <v>10007.280000000001</v>
      </c>
      <c r="O817" s="2" t="s">
        <v>105</v>
      </c>
      <c r="P817" s="2" t="s">
        <v>118</v>
      </c>
      <c r="Q817" s="2" t="s">
        <v>27</v>
      </c>
      <c r="R817" s="2">
        <v>0</v>
      </c>
      <c r="S817" s="2">
        <v>12718.26</v>
      </c>
      <c r="T817" s="38" t="s">
        <v>2867</v>
      </c>
      <c r="U817" s="13"/>
    </row>
    <row r="818" spans="1:21" x14ac:dyDescent="0.3">
      <c r="A818" s="2" t="s">
        <v>2005</v>
      </c>
      <c r="B818" s="2" t="s">
        <v>2006</v>
      </c>
      <c r="C818" s="2">
        <v>58</v>
      </c>
      <c r="D818" s="2" t="s">
        <v>21</v>
      </c>
      <c r="E818" s="2">
        <v>107633</v>
      </c>
      <c r="F818" s="2">
        <v>75000</v>
      </c>
      <c r="G818" s="2">
        <v>24</v>
      </c>
      <c r="H818" s="2">
        <v>10.1</v>
      </c>
      <c r="I818" s="2" t="s">
        <v>31</v>
      </c>
      <c r="J818" s="2">
        <v>564</v>
      </c>
      <c r="K818" s="30">
        <v>44484</v>
      </c>
      <c r="L818" s="30" t="s">
        <v>2007</v>
      </c>
      <c r="M818" s="2" t="s">
        <v>122</v>
      </c>
      <c r="N818" s="2">
        <v>3464.33</v>
      </c>
      <c r="O818" s="2" t="s">
        <v>60</v>
      </c>
      <c r="P818" s="2" t="s">
        <v>61</v>
      </c>
      <c r="Q818" s="2" t="s">
        <v>42</v>
      </c>
      <c r="R818" s="2">
        <v>1</v>
      </c>
      <c r="S818" s="2">
        <v>12642.06</v>
      </c>
      <c r="T818" s="38" t="s">
        <v>2875</v>
      </c>
      <c r="U818" s="13"/>
    </row>
    <row r="819" spans="1:21" x14ac:dyDescent="0.3">
      <c r="A819" s="2" t="s">
        <v>591</v>
      </c>
      <c r="B819" s="2" t="s">
        <v>592</v>
      </c>
      <c r="C819" s="2">
        <v>26</v>
      </c>
      <c r="D819" s="2" t="s">
        <v>45</v>
      </c>
      <c r="E819" s="2">
        <v>30795</v>
      </c>
      <c r="F819" s="2">
        <v>75000</v>
      </c>
      <c r="G819" s="2">
        <v>180</v>
      </c>
      <c r="H819" s="2">
        <v>7.96</v>
      </c>
      <c r="I819" s="2" t="s">
        <v>73</v>
      </c>
      <c r="J819" s="2">
        <v>484</v>
      </c>
      <c r="K819" s="30">
        <v>45115</v>
      </c>
      <c r="L819" s="30" t="s">
        <v>594</v>
      </c>
      <c r="M819" s="2" t="s">
        <v>33</v>
      </c>
      <c r="N819" s="2">
        <v>715.01</v>
      </c>
      <c r="O819" s="2" t="s">
        <v>105</v>
      </c>
      <c r="P819" s="2" t="s">
        <v>118</v>
      </c>
      <c r="Q819" s="2" t="s">
        <v>42</v>
      </c>
      <c r="R819" s="2">
        <v>1</v>
      </c>
      <c r="S819" s="2">
        <v>12579.63</v>
      </c>
      <c r="T819" s="38" t="s">
        <v>2879</v>
      </c>
      <c r="U819" s="13"/>
    </row>
    <row r="820" spans="1:21" x14ac:dyDescent="0.3">
      <c r="A820" s="2" t="s">
        <v>2622</v>
      </c>
      <c r="B820" s="2" t="s">
        <v>439</v>
      </c>
      <c r="C820" s="2">
        <v>60</v>
      </c>
      <c r="D820" s="2" t="s">
        <v>21</v>
      </c>
      <c r="E820" s="2">
        <v>246937</v>
      </c>
      <c r="F820" s="2">
        <v>100000</v>
      </c>
      <c r="G820" s="2">
        <v>84</v>
      </c>
      <c r="H820" s="2">
        <v>20.91</v>
      </c>
      <c r="I820" s="2" t="s">
        <v>31</v>
      </c>
      <c r="J820" s="2">
        <v>761</v>
      </c>
      <c r="K820" s="30">
        <v>45234</v>
      </c>
      <c r="L820" s="30" t="s">
        <v>695</v>
      </c>
      <c r="M820" s="2" t="s">
        <v>33</v>
      </c>
      <c r="N820" s="2">
        <v>2275.7399999999998</v>
      </c>
      <c r="O820" s="2" t="s">
        <v>54</v>
      </c>
      <c r="P820" s="2" t="s">
        <v>2996</v>
      </c>
      <c r="Q820" s="2" t="s">
        <v>35</v>
      </c>
      <c r="R820" s="2">
        <v>0</v>
      </c>
      <c r="S820" s="2">
        <v>11928.86</v>
      </c>
      <c r="T820" s="38" t="s">
        <v>2867</v>
      </c>
      <c r="U820" s="13"/>
    </row>
    <row r="821" spans="1:21" x14ac:dyDescent="0.3">
      <c r="A821" s="2" t="s">
        <v>2503</v>
      </c>
      <c r="B821" s="2" t="s">
        <v>2504</v>
      </c>
      <c r="C821" s="2">
        <v>47</v>
      </c>
      <c r="D821" s="2" t="s">
        <v>65</v>
      </c>
      <c r="E821" s="2">
        <v>113845</v>
      </c>
      <c r="F821" s="2">
        <v>75000</v>
      </c>
      <c r="G821" s="2">
        <v>180</v>
      </c>
      <c r="H821" s="2">
        <v>7.85</v>
      </c>
      <c r="I821" s="2" t="s">
        <v>22</v>
      </c>
      <c r="J821" s="2">
        <v>629</v>
      </c>
      <c r="K821" s="30">
        <v>44823</v>
      </c>
      <c r="L821" s="30" t="s">
        <v>58</v>
      </c>
      <c r="M821" s="2" t="s">
        <v>24</v>
      </c>
      <c r="N821" s="2">
        <v>710.26</v>
      </c>
      <c r="O821" s="2" t="s">
        <v>54</v>
      </c>
      <c r="P821" s="2" t="s">
        <v>164</v>
      </c>
      <c r="Q821" s="2" t="s">
        <v>42</v>
      </c>
      <c r="R821" s="2">
        <v>2</v>
      </c>
      <c r="S821" s="2">
        <v>11715.83</v>
      </c>
      <c r="T821" s="38" t="s">
        <v>2875</v>
      </c>
      <c r="U821" s="13"/>
    </row>
    <row r="822" spans="1:21" x14ac:dyDescent="0.3">
      <c r="A822" s="2" t="s">
        <v>2308</v>
      </c>
      <c r="B822" s="2" t="s">
        <v>2309</v>
      </c>
      <c r="C822" s="2">
        <v>22</v>
      </c>
      <c r="D822" s="2" t="s">
        <v>65</v>
      </c>
      <c r="E822" s="2">
        <v>56767</v>
      </c>
      <c r="F822" s="2">
        <v>250000</v>
      </c>
      <c r="G822" s="2">
        <v>24</v>
      </c>
      <c r="H822" s="2">
        <v>14.33</v>
      </c>
      <c r="I822" s="2" t="s">
        <v>73</v>
      </c>
      <c r="J822" s="2">
        <v>517</v>
      </c>
      <c r="K822" s="30">
        <v>44694</v>
      </c>
      <c r="L822" s="30" t="s">
        <v>1569</v>
      </c>
      <c r="M822" s="2" t="s">
        <v>33</v>
      </c>
      <c r="N822" s="2">
        <v>12042.23</v>
      </c>
      <c r="O822" s="2" t="s">
        <v>60</v>
      </c>
      <c r="P822" s="2" t="s">
        <v>2997</v>
      </c>
      <c r="Q822" s="2" t="s">
        <v>42</v>
      </c>
      <c r="R822" s="2">
        <v>1</v>
      </c>
      <c r="S822" s="2">
        <v>11563.85</v>
      </c>
      <c r="T822" s="38" t="s">
        <v>2879</v>
      </c>
      <c r="U822" s="13"/>
    </row>
    <row r="823" spans="1:21" x14ac:dyDescent="0.3">
      <c r="A823" s="2" t="s">
        <v>2208</v>
      </c>
      <c r="B823" s="2" t="s">
        <v>2209</v>
      </c>
      <c r="C823" s="2">
        <v>52</v>
      </c>
      <c r="D823" s="2" t="s">
        <v>30</v>
      </c>
      <c r="E823" s="2">
        <v>207267</v>
      </c>
      <c r="F823" s="2">
        <v>100000</v>
      </c>
      <c r="G823" s="2">
        <v>240</v>
      </c>
      <c r="H823" s="2">
        <v>8.7100000000000009</v>
      </c>
      <c r="I823" s="2" t="s">
        <v>46</v>
      </c>
      <c r="J823" s="2">
        <v>678</v>
      </c>
      <c r="K823" s="30">
        <v>44558</v>
      </c>
      <c r="L823" s="30" t="s">
        <v>1069</v>
      </c>
      <c r="M823" s="2" t="s">
        <v>24</v>
      </c>
      <c r="N823" s="2">
        <v>881.16</v>
      </c>
      <c r="O823" s="2" t="s">
        <v>60</v>
      </c>
      <c r="P823" s="2" t="s">
        <v>2997</v>
      </c>
      <c r="Q823" s="2" t="s">
        <v>100</v>
      </c>
      <c r="R823" s="2">
        <v>5</v>
      </c>
      <c r="S823" s="2">
        <v>11179.07</v>
      </c>
      <c r="T823" s="38" t="s">
        <v>2871</v>
      </c>
      <c r="U823" s="13"/>
    </row>
    <row r="824" spans="1:21" x14ac:dyDescent="0.3">
      <c r="A824" s="2" t="s">
        <v>1449</v>
      </c>
      <c r="B824" s="2" t="s">
        <v>1450</v>
      </c>
      <c r="C824" s="2">
        <v>54</v>
      </c>
      <c r="D824" s="2" t="s">
        <v>65</v>
      </c>
      <c r="E824" s="2">
        <v>65973</v>
      </c>
      <c r="F824" s="2">
        <v>400000</v>
      </c>
      <c r="G824" s="2">
        <v>84</v>
      </c>
      <c r="H824" s="2">
        <v>16.25</v>
      </c>
      <c r="I824" s="2" t="s">
        <v>46</v>
      </c>
      <c r="J824" s="2">
        <v>669</v>
      </c>
      <c r="K824" s="30">
        <v>44954</v>
      </c>
      <c r="L824" s="30" t="s">
        <v>293</v>
      </c>
      <c r="M824" s="2" t="s">
        <v>24</v>
      </c>
      <c r="N824" s="2">
        <v>8001.89</v>
      </c>
      <c r="O824" s="2" t="s">
        <v>60</v>
      </c>
      <c r="P824" s="2" t="s">
        <v>192</v>
      </c>
      <c r="Q824" s="2" t="s">
        <v>35</v>
      </c>
      <c r="R824" s="2">
        <v>11</v>
      </c>
      <c r="S824" s="2">
        <v>11108.15</v>
      </c>
      <c r="T824" s="38" t="s">
        <v>2871</v>
      </c>
      <c r="U824" s="13"/>
    </row>
    <row r="825" spans="1:21" x14ac:dyDescent="0.3">
      <c r="A825" s="3" t="s">
        <v>1930</v>
      </c>
      <c r="B825" s="3" t="s">
        <v>352</v>
      </c>
      <c r="C825" s="3">
        <v>53</v>
      </c>
      <c r="D825" s="3" t="s">
        <v>65</v>
      </c>
      <c r="E825" s="3">
        <v>102630</v>
      </c>
      <c r="F825" s="3">
        <v>200000</v>
      </c>
      <c r="G825" s="3">
        <v>24</v>
      </c>
      <c r="H825" s="3">
        <v>8.9</v>
      </c>
      <c r="I825" s="3" t="s">
        <v>46</v>
      </c>
      <c r="J825" s="3">
        <v>865</v>
      </c>
      <c r="K825" s="29">
        <v>44937</v>
      </c>
      <c r="L825" s="29" t="s">
        <v>331</v>
      </c>
      <c r="M825" s="3" t="s">
        <v>122</v>
      </c>
      <c r="N825" s="3">
        <v>9127.77</v>
      </c>
      <c r="O825" s="3" t="s">
        <v>105</v>
      </c>
      <c r="P825" s="3" t="s">
        <v>130</v>
      </c>
      <c r="Q825" s="3" t="s">
        <v>42</v>
      </c>
      <c r="R825" s="3">
        <v>1</v>
      </c>
      <c r="S825" s="3">
        <v>11055.16</v>
      </c>
      <c r="T825" s="38" t="s">
        <v>2867</v>
      </c>
      <c r="U825" s="13"/>
    </row>
    <row r="826" spans="1:21" x14ac:dyDescent="0.3">
      <c r="A826" s="2" t="s">
        <v>1687</v>
      </c>
      <c r="B826" s="2" t="s">
        <v>1114</v>
      </c>
      <c r="C826" s="2">
        <v>62</v>
      </c>
      <c r="D826" s="2" t="s">
        <v>30</v>
      </c>
      <c r="E826" s="2">
        <v>247300</v>
      </c>
      <c r="F826" s="2">
        <v>50000</v>
      </c>
      <c r="G826" s="2">
        <v>60</v>
      </c>
      <c r="H826" s="2">
        <v>15.53</v>
      </c>
      <c r="I826" s="2" t="s">
        <v>22</v>
      </c>
      <c r="J826" s="2">
        <v>552</v>
      </c>
      <c r="K826" s="30">
        <v>45030</v>
      </c>
      <c r="L826" s="30" t="s">
        <v>1688</v>
      </c>
      <c r="M826" s="2" t="s">
        <v>33</v>
      </c>
      <c r="N826" s="2">
        <v>1203.45</v>
      </c>
      <c r="O826" s="2" t="s">
        <v>54</v>
      </c>
      <c r="P826" s="2" t="s">
        <v>2996</v>
      </c>
      <c r="Q826" s="2" t="s">
        <v>42</v>
      </c>
      <c r="R826" s="2">
        <v>1</v>
      </c>
      <c r="S826" s="2">
        <v>11008.22</v>
      </c>
      <c r="T826" s="38" t="s">
        <v>2875</v>
      </c>
      <c r="U826" s="13"/>
    </row>
    <row r="827" spans="1:21" x14ac:dyDescent="0.3">
      <c r="A827" s="2" t="s">
        <v>95</v>
      </c>
      <c r="B827" s="2" t="s">
        <v>96</v>
      </c>
      <c r="C827" s="2">
        <v>50</v>
      </c>
      <c r="D827" s="2" t="s">
        <v>45</v>
      </c>
      <c r="E827" s="2">
        <v>133354</v>
      </c>
      <c r="F827" s="2">
        <v>75000</v>
      </c>
      <c r="G827" s="2">
        <v>48</v>
      </c>
      <c r="H827" s="2">
        <v>10.76</v>
      </c>
      <c r="I827" s="2" t="s">
        <v>38</v>
      </c>
      <c r="J827" s="2">
        <v>321</v>
      </c>
      <c r="K827" s="30">
        <v>44648</v>
      </c>
      <c r="L827" s="30" t="s">
        <v>98</v>
      </c>
      <c r="M827" s="2" t="s">
        <v>24</v>
      </c>
      <c r="N827" s="2">
        <v>1929.68</v>
      </c>
      <c r="O827" s="2" t="s">
        <v>54</v>
      </c>
      <c r="P827" s="2" t="s">
        <v>99</v>
      </c>
      <c r="Q827" s="2" t="s">
        <v>100</v>
      </c>
      <c r="R827" s="2">
        <v>3</v>
      </c>
      <c r="S827" s="2">
        <v>10741.66</v>
      </c>
      <c r="T827" s="38" t="s">
        <v>2879</v>
      </c>
      <c r="U827" s="13"/>
    </row>
    <row r="828" spans="1:21" x14ac:dyDescent="0.3">
      <c r="A828" s="3" t="s">
        <v>1736</v>
      </c>
      <c r="B828" s="3" t="s">
        <v>1737</v>
      </c>
      <c r="C828" s="3">
        <v>43</v>
      </c>
      <c r="D828" s="3" t="s">
        <v>45</v>
      </c>
      <c r="E828" s="3">
        <v>79478</v>
      </c>
      <c r="F828" s="3">
        <v>100000</v>
      </c>
      <c r="G828" s="3">
        <v>48</v>
      </c>
      <c r="H828" s="3">
        <v>7.81</v>
      </c>
      <c r="I828" s="3" t="s">
        <v>66</v>
      </c>
      <c r="J828" s="3">
        <v>403</v>
      </c>
      <c r="K828" s="29">
        <v>44424</v>
      </c>
      <c r="L828" s="29" t="s">
        <v>353</v>
      </c>
      <c r="M828" s="3" t="s">
        <v>24</v>
      </c>
      <c r="N828" s="3">
        <v>2432.38</v>
      </c>
      <c r="O828" s="3" t="s">
        <v>25</v>
      </c>
      <c r="P828" s="3" t="s">
        <v>34</v>
      </c>
      <c r="Q828" s="3" t="s">
        <v>42</v>
      </c>
      <c r="R828" s="3">
        <v>1</v>
      </c>
      <c r="S828" s="3">
        <v>10245.18</v>
      </c>
      <c r="T828" s="38" t="s">
        <v>2879</v>
      </c>
      <c r="U828" s="13"/>
    </row>
    <row r="829" spans="1:21" x14ac:dyDescent="0.3">
      <c r="A829" s="3" t="s">
        <v>276</v>
      </c>
      <c r="B829" s="3" t="s">
        <v>277</v>
      </c>
      <c r="C829" s="3">
        <v>43</v>
      </c>
      <c r="D829" s="3" t="s">
        <v>21</v>
      </c>
      <c r="E829" s="3">
        <v>190671</v>
      </c>
      <c r="F829" s="3">
        <v>75000</v>
      </c>
      <c r="G829" s="3">
        <v>36</v>
      </c>
      <c r="H829" s="3">
        <v>12.28</v>
      </c>
      <c r="I829" s="3" t="s">
        <v>31</v>
      </c>
      <c r="J829" s="3">
        <v>595</v>
      </c>
      <c r="K829" s="29">
        <v>44377</v>
      </c>
      <c r="L829" s="29" t="s">
        <v>279</v>
      </c>
      <c r="M829" s="3" t="s">
        <v>33</v>
      </c>
      <c r="N829" s="3">
        <v>2501.12</v>
      </c>
      <c r="O829" s="3" t="s">
        <v>60</v>
      </c>
      <c r="P829" s="3" t="s">
        <v>69</v>
      </c>
      <c r="Q829" s="3" t="s">
        <v>35</v>
      </c>
      <c r="R829" s="3">
        <v>0</v>
      </c>
      <c r="S829" s="3">
        <v>9720.77</v>
      </c>
      <c r="T829" s="38" t="s">
        <v>2875</v>
      </c>
      <c r="U829" s="13"/>
    </row>
    <row r="830" spans="1:21" x14ac:dyDescent="0.3">
      <c r="A830" s="3" t="s">
        <v>2548</v>
      </c>
      <c r="B830" s="3" t="s">
        <v>1190</v>
      </c>
      <c r="C830" s="3">
        <v>65</v>
      </c>
      <c r="D830" s="3" t="s">
        <v>65</v>
      </c>
      <c r="E830" s="3">
        <v>54186</v>
      </c>
      <c r="F830" s="3">
        <v>75000</v>
      </c>
      <c r="G830" s="3">
        <v>48</v>
      </c>
      <c r="H830" s="3">
        <v>21.44</v>
      </c>
      <c r="I830" s="3" t="s">
        <v>38</v>
      </c>
      <c r="J830" s="3">
        <v>599</v>
      </c>
      <c r="K830" s="29">
        <v>44229</v>
      </c>
      <c r="L830" s="29" t="s">
        <v>640</v>
      </c>
      <c r="M830" s="3" t="s">
        <v>24</v>
      </c>
      <c r="N830" s="3">
        <v>2340.21</v>
      </c>
      <c r="O830" s="3" t="s">
        <v>25</v>
      </c>
      <c r="P830" s="3" t="s">
        <v>151</v>
      </c>
      <c r="Q830" s="3" t="s">
        <v>42</v>
      </c>
      <c r="R830" s="3">
        <v>2</v>
      </c>
      <c r="S830" s="3">
        <v>9708.14</v>
      </c>
      <c r="T830" s="38" t="s">
        <v>2875</v>
      </c>
      <c r="U830" s="13"/>
    </row>
    <row r="831" spans="1:21" x14ac:dyDescent="0.3">
      <c r="A831" s="3" t="s">
        <v>815</v>
      </c>
      <c r="B831" s="3" t="s">
        <v>816</v>
      </c>
      <c r="C831" s="3">
        <v>46</v>
      </c>
      <c r="D831" s="3" t="s">
        <v>21</v>
      </c>
      <c r="E831" s="3">
        <v>62137</v>
      </c>
      <c r="F831" s="3">
        <v>50000</v>
      </c>
      <c r="G831" s="3">
        <v>84</v>
      </c>
      <c r="H831" s="3">
        <v>16.16</v>
      </c>
      <c r="I831" s="3" t="s">
        <v>46</v>
      </c>
      <c r="J831" s="3">
        <v>587</v>
      </c>
      <c r="K831" s="29">
        <v>44673</v>
      </c>
      <c r="L831" s="29" t="s">
        <v>818</v>
      </c>
      <c r="M831" s="3" t="s">
        <v>24</v>
      </c>
      <c r="N831" s="3">
        <v>997.66</v>
      </c>
      <c r="O831" s="3" t="s">
        <v>25</v>
      </c>
      <c r="P831" s="3" t="s">
        <v>2998</v>
      </c>
      <c r="Q831" s="3" t="s">
        <v>42</v>
      </c>
      <c r="R831" s="3">
        <v>2</v>
      </c>
      <c r="S831" s="3">
        <v>9594.77</v>
      </c>
      <c r="T831" s="38" t="s">
        <v>2875</v>
      </c>
      <c r="U831" s="13"/>
    </row>
    <row r="832" spans="1:21" x14ac:dyDescent="0.3">
      <c r="A832" s="3" t="s">
        <v>1007</v>
      </c>
      <c r="B832" s="3" t="s">
        <v>1008</v>
      </c>
      <c r="C832" s="3">
        <v>50</v>
      </c>
      <c r="D832" s="3" t="s">
        <v>65</v>
      </c>
      <c r="E832" s="3">
        <v>128514</v>
      </c>
      <c r="F832" s="3">
        <v>250000</v>
      </c>
      <c r="G832" s="3">
        <v>12</v>
      </c>
      <c r="H832" s="3">
        <v>13.15</v>
      </c>
      <c r="I832" s="3" t="s">
        <v>22</v>
      </c>
      <c r="J832" s="3">
        <v>847</v>
      </c>
      <c r="K832" s="29">
        <v>44290</v>
      </c>
      <c r="L832" s="29" t="s">
        <v>1009</v>
      </c>
      <c r="M832" s="3" t="s">
        <v>33</v>
      </c>
      <c r="N832" s="3">
        <v>22346.92</v>
      </c>
      <c r="O832" s="3" t="s">
        <v>25</v>
      </c>
      <c r="P832" s="3" t="s">
        <v>123</v>
      </c>
      <c r="Q832" s="3" t="s">
        <v>42</v>
      </c>
      <c r="R832" s="3">
        <v>0</v>
      </c>
      <c r="S832" s="3">
        <v>8653.26</v>
      </c>
      <c r="T832" s="38" t="s">
        <v>2867</v>
      </c>
      <c r="U832" s="13"/>
    </row>
    <row r="833" spans="1:21" x14ac:dyDescent="0.3">
      <c r="A833" s="3" t="s">
        <v>2465</v>
      </c>
      <c r="B833" s="3" t="s">
        <v>2466</v>
      </c>
      <c r="C833" s="3">
        <v>47</v>
      </c>
      <c r="D833" s="3" t="s">
        <v>21</v>
      </c>
      <c r="E833" s="3">
        <v>219726</v>
      </c>
      <c r="F833" s="3">
        <v>100000</v>
      </c>
      <c r="G833" s="3">
        <v>180</v>
      </c>
      <c r="H833" s="3">
        <v>19.920000000000002</v>
      </c>
      <c r="I833" s="3" t="s">
        <v>38</v>
      </c>
      <c r="J833" s="3">
        <v>660</v>
      </c>
      <c r="K833" s="29">
        <v>44845</v>
      </c>
      <c r="L833" s="29" t="s">
        <v>2467</v>
      </c>
      <c r="M833" s="3" t="s">
        <v>24</v>
      </c>
      <c r="N833" s="3">
        <v>1750.39</v>
      </c>
      <c r="O833" s="3" t="s">
        <v>54</v>
      </c>
      <c r="P833" s="3" t="s">
        <v>99</v>
      </c>
      <c r="Q833" s="3" t="s">
        <v>42</v>
      </c>
      <c r="R833" s="3">
        <v>2</v>
      </c>
      <c r="S833" s="3">
        <v>8629.64</v>
      </c>
      <c r="T833" s="38" t="s">
        <v>2871</v>
      </c>
      <c r="U833" s="13"/>
    </row>
    <row r="834" spans="1:21" x14ac:dyDescent="0.3">
      <c r="A834" s="3" t="s">
        <v>2469</v>
      </c>
      <c r="B834" s="3" t="s">
        <v>2470</v>
      </c>
      <c r="C834" s="3">
        <v>42</v>
      </c>
      <c r="D834" s="3" t="s">
        <v>72</v>
      </c>
      <c r="E834" s="3">
        <v>44223</v>
      </c>
      <c r="F834" s="3">
        <v>150000</v>
      </c>
      <c r="G834" s="3">
        <v>60</v>
      </c>
      <c r="H834" s="3">
        <v>20.68</v>
      </c>
      <c r="I834" s="3" t="s">
        <v>66</v>
      </c>
      <c r="J834" s="3">
        <v>873</v>
      </c>
      <c r="K834" s="29">
        <v>44352</v>
      </c>
      <c r="L834" s="29" t="s">
        <v>2471</v>
      </c>
      <c r="M834" s="3" t="s">
        <v>24</v>
      </c>
      <c r="N834" s="3">
        <v>4031.05</v>
      </c>
      <c r="O834" s="3" t="s">
        <v>54</v>
      </c>
      <c r="P834" s="3" t="s">
        <v>2996</v>
      </c>
      <c r="Q834" s="3" t="s">
        <v>42</v>
      </c>
      <c r="R834" s="3">
        <v>1</v>
      </c>
      <c r="S834" s="3">
        <v>8510.14</v>
      </c>
      <c r="T834" s="38" t="s">
        <v>2867</v>
      </c>
      <c r="U834" s="13"/>
    </row>
    <row r="835" spans="1:21" x14ac:dyDescent="0.3">
      <c r="A835" s="2" t="s">
        <v>2234</v>
      </c>
      <c r="B835" s="2" t="s">
        <v>2235</v>
      </c>
      <c r="C835" s="2">
        <v>30</v>
      </c>
      <c r="D835" s="2" t="s">
        <v>45</v>
      </c>
      <c r="E835" s="2">
        <v>156496</v>
      </c>
      <c r="F835" s="2">
        <v>50000</v>
      </c>
      <c r="G835" s="2">
        <v>12</v>
      </c>
      <c r="H835" s="2">
        <v>19.13</v>
      </c>
      <c r="I835" s="2" t="s">
        <v>22</v>
      </c>
      <c r="J835" s="2">
        <v>641</v>
      </c>
      <c r="K835" s="30">
        <v>44297</v>
      </c>
      <c r="L835" s="30" t="s">
        <v>2019</v>
      </c>
      <c r="M835" s="2" t="s">
        <v>33</v>
      </c>
      <c r="N835" s="2">
        <v>4610.93</v>
      </c>
      <c r="O835" s="2" t="s">
        <v>48</v>
      </c>
      <c r="P835" s="2" t="s">
        <v>375</v>
      </c>
      <c r="Q835" s="2" t="s">
        <v>100</v>
      </c>
      <c r="R835" s="2">
        <v>1</v>
      </c>
      <c r="S835" s="2">
        <v>8501.6299999999992</v>
      </c>
      <c r="T835" s="38" t="s">
        <v>2875</v>
      </c>
      <c r="U835" s="13"/>
    </row>
    <row r="836" spans="1:21" x14ac:dyDescent="0.3">
      <c r="A836" s="3" t="s">
        <v>2306</v>
      </c>
      <c r="B836" s="3" t="s">
        <v>2307</v>
      </c>
      <c r="C836" s="3">
        <v>64</v>
      </c>
      <c r="D836" s="3" t="s">
        <v>30</v>
      </c>
      <c r="E836" s="3">
        <v>67535</v>
      </c>
      <c r="F836" s="3">
        <v>100000</v>
      </c>
      <c r="G836" s="3">
        <v>60</v>
      </c>
      <c r="H836" s="3">
        <v>11.96</v>
      </c>
      <c r="I836" s="3" t="s">
        <v>251</v>
      </c>
      <c r="J836" s="3">
        <v>541</v>
      </c>
      <c r="K836" s="29">
        <v>44698</v>
      </c>
      <c r="L836" s="29" t="s">
        <v>1566</v>
      </c>
      <c r="M836" s="3" t="s">
        <v>24</v>
      </c>
      <c r="N836" s="3">
        <v>2222.42</v>
      </c>
      <c r="O836" s="3" t="s">
        <v>105</v>
      </c>
      <c r="P836" s="3" t="s">
        <v>118</v>
      </c>
      <c r="Q836" s="3" t="s">
        <v>42</v>
      </c>
      <c r="R836" s="3">
        <v>0</v>
      </c>
      <c r="S836" s="3">
        <v>7991.81</v>
      </c>
      <c r="T836" s="38" t="s">
        <v>2879</v>
      </c>
      <c r="U836" s="13"/>
    </row>
    <row r="837" spans="1:21" x14ac:dyDescent="0.3">
      <c r="A837" s="2" t="s">
        <v>806</v>
      </c>
      <c r="B837" s="2" t="s">
        <v>807</v>
      </c>
      <c r="C837" s="2">
        <v>24</v>
      </c>
      <c r="D837" s="2" t="s">
        <v>65</v>
      </c>
      <c r="E837" s="2">
        <v>28274</v>
      </c>
      <c r="F837" s="2">
        <v>100000</v>
      </c>
      <c r="G837" s="2">
        <v>120</v>
      </c>
      <c r="H837" s="2">
        <v>19.41</v>
      </c>
      <c r="I837" s="2" t="s">
        <v>73</v>
      </c>
      <c r="J837" s="2">
        <v>808</v>
      </c>
      <c r="K837" s="30">
        <v>44550</v>
      </c>
      <c r="L837" s="30" t="s">
        <v>808</v>
      </c>
      <c r="M837" s="2" t="s">
        <v>24</v>
      </c>
      <c r="N837" s="2">
        <v>1893.6</v>
      </c>
      <c r="O837" s="2" t="s">
        <v>25</v>
      </c>
      <c r="P837" s="2" t="s">
        <v>2998</v>
      </c>
      <c r="Q837" s="2" t="s">
        <v>27</v>
      </c>
      <c r="R837" s="2">
        <v>2</v>
      </c>
      <c r="S837" s="2">
        <v>7971.04</v>
      </c>
      <c r="T837" s="38" t="s">
        <v>2867</v>
      </c>
      <c r="U837" s="13"/>
    </row>
    <row r="838" spans="1:21" x14ac:dyDescent="0.3">
      <c r="A838" s="3" t="s">
        <v>670</v>
      </c>
      <c r="B838" s="3" t="s">
        <v>671</v>
      </c>
      <c r="C838" s="3">
        <v>41</v>
      </c>
      <c r="D838" s="3" t="s">
        <v>65</v>
      </c>
      <c r="E838" s="3">
        <v>220171</v>
      </c>
      <c r="F838" s="3">
        <v>75000</v>
      </c>
      <c r="G838" s="3">
        <v>84</v>
      </c>
      <c r="H838" s="3">
        <v>11.15</v>
      </c>
      <c r="I838" s="3" t="s">
        <v>83</v>
      </c>
      <c r="J838" s="3">
        <v>807</v>
      </c>
      <c r="K838" s="29">
        <v>44416</v>
      </c>
      <c r="L838" s="29" t="s">
        <v>673</v>
      </c>
      <c r="M838" s="3" t="s">
        <v>122</v>
      </c>
      <c r="N838" s="3">
        <v>1290.1099999999999</v>
      </c>
      <c r="O838" s="3" t="s">
        <v>54</v>
      </c>
      <c r="P838" s="3" t="s">
        <v>99</v>
      </c>
      <c r="Q838" s="3" t="s">
        <v>35</v>
      </c>
      <c r="R838" s="3">
        <v>3</v>
      </c>
      <c r="S838" s="3">
        <v>7656.26</v>
      </c>
      <c r="T838" s="38" t="s">
        <v>2867</v>
      </c>
      <c r="U838" s="13"/>
    </row>
    <row r="839" spans="1:21" x14ac:dyDescent="0.3">
      <c r="A839" s="3" t="s">
        <v>2620</v>
      </c>
      <c r="B839" s="3" t="s">
        <v>529</v>
      </c>
      <c r="C839" s="3">
        <v>42</v>
      </c>
      <c r="D839" s="3" t="s">
        <v>21</v>
      </c>
      <c r="E839" s="3">
        <v>121693</v>
      </c>
      <c r="F839" s="3">
        <v>100000</v>
      </c>
      <c r="G839" s="3">
        <v>120</v>
      </c>
      <c r="H839" s="3">
        <v>12.9</v>
      </c>
      <c r="I839" s="3" t="s">
        <v>38</v>
      </c>
      <c r="J839" s="3">
        <v>599</v>
      </c>
      <c r="K839" s="29">
        <v>45032</v>
      </c>
      <c r="L839" s="29" t="s">
        <v>2621</v>
      </c>
      <c r="M839" s="3" t="s">
        <v>33</v>
      </c>
      <c r="N839" s="3">
        <v>1487.21</v>
      </c>
      <c r="O839" s="3" t="s">
        <v>105</v>
      </c>
      <c r="P839" s="3" t="s">
        <v>118</v>
      </c>
      <c r="Q839" s="3" t="s">
        <v>42</v>
      </c>
      <c r="R839" s="3">
        <v>2</v>
      </c>
      <c r="S839" s="3">
        <v>7644.26</v>
      </c>
      <c r="T839" s="38" t="s">
        <v>2875</v>
      </c>
      <c r="U839" s="13"/>
    </row>
    <row r="840" spans="1:21" x14ac:dyDescent="0.3">
      <c r="A840" s="2" t="s">
        <v>1106</v>
      </c>
      <c r="B840" s="2" t="s">
        <v>1107</v>
      </c>
      <c r="C840" s="2">
        <v>47</v>
      </c>
      <c r="D840" s="2" t="s">
        <v>21</v>
      </c>
      <c r="E840" s="2">
        <v>133155</v>
      </c>
      <c r="F840" s="2">
        <v>100000</v>
      </c>
      <c r="G840" s="2">
        <v>36</v>
      </c>
      <c r="H840" s="2">
        <v>21.7</v>
      </c>
      <c r="I840" s="2" t="s">
        <v>83</v>
      </c>
      <c r="J840" s="2">
        <v>402</v>
      </c>
      <c r="K840" s="30">
        <v>44977</v>
      </c>
      <c r="L840" s="30" t="s">
        <v>47</v>
      </c>
      <c r="M840" s="2" t="s">
        <v>24</v>
      </c>
      <c r="N840" s="2">
        <v>3803.54</v>
      </c>
      <c r="O840" s="2" t="s">
        <v>48</v>
      </c>
      <c r="P840" s="2" t="s">
        <v>86</v>
      </c>
      <c r="Q840" s="2" t="s">
        <v>42</v>
      </c>
      <c r="R840" s="2">
        <v>2</v>
      </c>
      <c r="S840" s="2">
        <v>7573.98</v>
      </c>
      <c r="T840" s="38" t="s">
        <v>2879</v>
      </c>
      <c r="U840" s="13"/>
    </row>
    <row r="841" spans="1:21" x14ac:dyDescent="0.3">
      <c r="A841" s="3" t="s">
        <v>2858</v>
      </c>
      <c r="B841" s="3" t="s">
        <v>2859</v>
      </c>
      <c r="C841" s="3">
        <v>64</v>
      </c>
      <c r="D841" s="3" t="s">
        <v>45</v>
      </c>
      <c r="E841" s="3">
        <v>213446</v>
      </c>
      <c r="F841" s="3">
        <v>50000</v>
      </c>
      <c r="G841" s="3">
        <v>60</v>
      </c>
      <c r="H841" s="3">
        <v>19.510000000000002</v>
      </c>
      <c r="I841" s="3" t="s">
        <v>38</v>
      </c>
      <c r="J841" s="3">
        <v>717</v>
      </c>
      <c r="K841" s="29">
        <v>45086</v>
      </c>
      <c r="L841" s="29" t="s">
        <v>2860</v>
      </c>
      <c r="M841" s="3" t="s">
        <v>24</v>
      </c>
      <c r="N841" s="3">
        <v>1311.1</v>
      </c>
      <c r="O841" s="3" t="s">
        <v>25</v>
      </c>
      <c r="P841" s="3" t="s">
        <v>34</v>
      </c>
      <c r="Q841" s="3" t="s">
        <v>35</v>
      </c>
      <c r="R841" s="3">
        <v>11</v>
      </c>
      <c r="S841" s="3">
        <v>7520.36</v>
      </c>
      <c r="T841" s="38" t="s">
        <v>2871</v>
      </c>
      <c r="U841" s="13"/>
    </row>
    <row r="842" spans="1:21" x14ac:dyDescent="0.3">
      <c r="A842" s="2" t="s">
        <v>2179</v>
      </c>
      <c r="B842" s="2" t="s">
        <v>2180</v>
      </c>
      <c r="C842" s="2">
        <v>43</v>
      </c>
      <c r="D842" s="2" t="s">
        <v>45</v>
      </c>
      <c r="E842" s="2">
        <v>118442</v>
      </c>
      <c r="F842" s="2">
        <v>50000</v>
      </c>
      <c r="G842" s="2">
        <v>60</v>
      </c>
      <c r="H842" s="2">
        <v>12.74</v>
      </c>
      <c r="I842" s="2" t="s">
        <v>66</v>
      </c>
      <c r="J842" s="2">
        <v>312</v>
      </c>
      <c r="K842" s="30">
        <v>44854</v>
      </c>
      <c r="L842" s="30" t="s">
        <v>1432</v>
      </c>
      <c r="M842" s="2" t="s">
        <v>122</v>
      </c>
      <c r="N842" s="2">
        <v>1131.01</v>
      </c>
      <c r="O842" s="2" t="s">
        <v>25</v>
      </c>
      <c r="P842" s="2" t="s">
        <v>151</v>
      </c>
      <c r="Q842" s="2" t="s">
        <v>35</v>
      </c>
      <c r="R842" s="2">
        <v>9</v>
      </c>
      <c r="S842" s="2">
        <v>7247.82</v>
      </c>
      <c r="T842" s="38" t="s">
        <v>2879</v>
      </c>
      <c r="U842" s="13"/>
    </row>
    <row r="843" spans="1:21" x14ac:dyDescent="0.3">
      <c r="A843" s="2" t="s">
        <v>2857</v>
      </c>
      <c r="B843" s="2" t="s">
        <v>1790</v>
      </c>
      <c r="C843" s="2">
        <v>63</v>
      </c>
      <c r="D843" s="2" t="s">
        <v>65</v>
      </c>
      <c r="E843" s="2">
        <v>60590</v>
      </c>
      <c r="F843" s="2">
        <v>1500000</v>
      </c>
      <c r="G843" s="2">
        <v>48</v>
      </c>
      <c r="H843" s="2">
        <v>11.99</v>
      </c>
      <c r="I843" s="2" t="s">
        <v>83</v>
      </c>
      <c r="J843" s="2">
        <v>832</v>
      </c>
      <c r="K843" s="30">
        <v>44937</v>
      </c>
      <c r="L843" s="30" t="s">
        <v>875</v>
      </c>
      <c r="M843" s="2" t="s">
        <v>24</v>
      </c>
      <c r="N843" s="2">
        <v>39493.39</v>
      </c>
      <c r="O843" s="2" t="s">
        <v>54</v>
      </c>
      <c r="P843" s="2" t="s">
        <v>2996</v>
      </c>
      <c r="Q843" s="2" t="s">
        <v>42</v>
      </c>
      <c r="R843" s="2">
        <v>1</v>
      </c>
      <c r="S843" s="2">
        <v>7149.86</v>
      </c>
      <c r="T843" s="38" t="s">
        <v>2867</v>
      </c>
      <c r="U843" s="13"/>
    </row>
    <row r="844" spans="1:21" x14ac:dyDescent="0.3">
      <c r="A844" s="2" t="s">
        <v>285</v>
      </c>
      <c r="B844" s="2" t="s">
        <v>78</v>
      </c>
      <c r="C844" s="2">
        <v>57</v>
      </c>
      <c r="D844" s="2" t="s">
        <v>65</v>
      </c>
      <c r="E844" s="2">
        <v>39434</v>
      </c>
      <c r="F844" s="2">
        <v>150000</v>
      </c>
      <c r="G844" s="2">
        <v>24</v>
      </c>
      <c r="H844" s="2">
        <v>14.19</v>
      </c>
      <c r="I844" s="2" t="s">
        <v>22</v>
      </c>
      <c r="J844" s="2">
        <v>457</v>
      </c>
      <c r="K844" s="30">
        <v>44756</v>
      </c>
      <c r="L844" s="30" t="s">
        <v>287</v>
      </c>
      <c r="M844" s="2" t="s">
        <v>24</v>
      </c>
      <c r="N844" s="2">
        <v>7215.4</v>
      </c>
      <c r="O844" s="2" t="s">
        <v>60</v>
      </c>
      <c r="P844" s="2" t="s">
        <v>61</v>
      </c>
      <c r="Q844" s="2" t="s">
        <v>42</v>
      </c>
      <c r="R844" s="2">
        <v>2</v>
      </c>
      <c r="S844" s="2">
        <v>7135.08</v>
      </c>
      <c r="T844" s="38" t="s">
        <v>2879</v>
      </c>
      <c r="U844" s="13"/>
    </row>
    <row r="845" spans="1:21" x14ac:dyDescent="0.3">
      <c r="A845" s="3" t="s">
        <v>2844</v>
      </c>
      <c r="B845" s="3" t="s">
        <v>2845</v>
      </c>
      <c r="C845" s="3">
        <v>34</v>
      </c>
      <c r="D845" s="3" t="s">
        <v>72</v>
      </c>
      <c r="E845" s="3">
        <v>151382</v>
      </c>
      <c r="F845" s="3">
        <v>150000</v>
      </c>
      <c r="G845" s="3">
        <v>84</v>
      </c>
      <c r="H845" s="3">
        <v>13.16</v>
      </c>
      <c r="I845" s="3" t="s">
        <v>22</v>
      </c>
      <c r="J845" s="3">
        <v>327</v>
      </c>
      <c r="K845" s="29">
        <v>44345</v>
      </c>
      <c r="L845" s="29" t="s">
        <v>2846</v>
      </c>
      <c r="M845" s="3" t="s">
        <v>24</v>
      </c>
      <c r="N845" s="3">
        <v>2741.86</v>
      </c>
      <c r="O845" s="3" t="s">
        <v>60</v>
      </c>
      <c r="P845" s="3" t="s">
        <v>192</v>
      </c>
      <c r="Q845" s="3" t="s">
        <v>100</v>
      </c>
      <c r="R845" s="3">
        <v>10</v>
      </c>
      <c r="S845" s="3">
        <v>6874.91</v>
      </c>
      <c r="T845" s="38" t="s">
        <v>2879</v>
      </c>
      <c r="U845" s="13"/>
    </row>
    <row r="846" spans="1:21" x14ac:dyDescent="0.3">
      <c r="A846" s="3" t="s">
        <v>2131</v>
      </c>
      <c r="B846" s="3" t="s">
        <v>2132</v>
      </c>
      <c r="C846" s="3">
        <v>31</v>
      </c>
      <c r="D846" s="3" t="s">
        <v>45</v>
      </c>
      <c r="E846" s="3">
        <v>245660</v>
      </c>
      <c r="F846" s="3">
        <v>75000</v>
      </c>
      <c r="G846" s="3">
        <v>240</v>
      </c>
      <c r="H846" s="3">
        <v>8.9</v>
      </c>
      <c r="I846" s="3" t="s">
        <v>83</v>
      </c>
      <c r="J846" s="3">
        <v>406</v>
      </c>
      <c r="K846" s="29">
        <v>44997</v>
      </c>
      <c r="L846" s="29" t="s">
        <v>679</v>
      </c>
      <c r="M846" s="3" t="s">
        <v>33</v>
      </c>
      <c r="N846" s="3">
        <v>669.98</v>
      </c>
      <c r="O846" s="3" t="s">
        <v>60</v>
      </c>
      <c r="P846" s="3" t="s">
        <v>172</v>
      </c>
      <c r="Q846" s="3" t="s">
        <v>42</v>
      </c>
      <c r="R846" s="3">
        <v>2</v>
      </c>
      <c r="S846" s="3">
        <v>6863.03</v>
      </c>
      <c r="T846" s="38" t="s">
        <v>2879</v>
      </c>
      <c r="U846" s="13"/>
    </row>
    <row r="847" spans="1:21" x14ac:dyDescent="0.3">
      <c r="A847" s="3" t="s">
        <v>1445</v>
      </c>
      <c r="B847" s="3" t="s">
        <v>1446</v>
      </c>
      <c r="C847" s="3">
        <v>44</v>
      </c>
      <c r="D847" s="3" t="s">
        <v>72</v>
      </c>
      <c r="E847" s="3">
        <v>100555</v>
      </c>
      <c r="F847" s="3">
        <v>50000</v>
      </c>
      <c r="G847" s="3">
        <v>48</v>
      </c>
      <c r="H847" s="3">
        <v>15.96</v>
      </c>
      <c r="I847" s="3" t="s">
        <v>83</v>
      </c>
      <c r="J847" s="3">
        <v>584</v>
      </c>
      <c r="K847" s="29">
        <v>45109</v>
      </c>
      <c r="L847" s="29" t="s">
        <v>1448</v>
      </c>
      <c r="M847" s="3" t="s">
        <v>24</v>
      </c>
      <c r="N847" s="3">
        <v>1415.99</v>
      </c>
      <c r="O847" s="3" t="s">
        <v>105</v>
      </c>
      <c r="P847" s="3" t="s">
        <v>114</v>
      </c>
      <c r="Q847" s="3" t="s">
        <v>35</v>
      </c>
      <c r="R847" s="3">
        <v>1</v>
      </c>
      <c r="S847" s="3">
        <v>6670.71</v>
      </c>
      <c r="T847" s="38" t="s">
        <v>2875</v>
      </c>
      <c r="U847" s="13"/>
    </row>
    <row r="848" spans="1:21" x14ac:dyDescent="0.3">
      <c r="A848" s="2" t="s">
        <v>2670</v>
      </c>
      <c r="B848" s="2" t="s">
        <v>2671</v>
      </c>
      <c r="C848" s="2">
        <v>57</v>
      </c>
      <c r="D848" s="2" t="s">
        <v>21</v>
      </c>
      <c r="E848" s="2">
        <v>235402</v>
      </c>
      <c r="F848" s="2">
        <v>150000</v>
      </c>
      <c r="G848" s="2">
        <v>36</v>
      </c>
      <c r="H848" s="2">
        <v>7.83</v>
      </c>
      <c r="I848" s="2" t="s">
        <v>38</v>
      </c>
      <c r="J848" s="2" t="s">
        <v>2882</v>
      </c>
      <c r="K848" s="30">
        <v>44232</v>
      </c>
      <c r="L848" s="30" t="s">
        <v>2030</v>
      </c>
      <c r="M848" s="2" t="s">
        <v>24</v>
      </c>
      <c r="N848" s="2">
        <v>4688.7</v>
      </c>
      <c r="O848" s="2" t="s">
        <v>105</v>
      </c>
      <c r="P848" s="2" t="s">
        <v>118</v>
      </c>
      <c r="Q848" s="2" t="s">
        <v>35</v>
      </c>
      <c r="R848" s="2">
        <v>3</v>
      </c>
      <c r="S848" s="2">
        <v>6525.78</v>
      </c>
      <c r="T848" s="38" t="s">
        <v>2883</v>
      </c>
      <c r="U848" s="13"/>
    </row>
    <row r="849" spans="1:21" x14ac:dyDescent="0.3">
      <c r="A849" s="2" t="s">
        <v>2779</v>
      </c>
      <c r="B849" s="2" t="s">
        <v>2951</v>
      </c>
      <c r="C849" s="2">
        <v>52</v>
      </c>
      <c r="D849" s="2" t="s">
        <v>30</v>
      </c>
      <c r="E849" s="2">
        <v>64118</v>
      </c>
      <c r="F849" s="2">
        <v>75000</v>
      </c>
      <c r="G849" s="2">
        <v>60</v>
      </c>
      <c r="H849" s="2">
        <v>17.95</v>
      </c>
      <c r="I849" s="2" t="s">
        <v>73</v>
      </c>
      <c r="J849" s="2">
        <v>557</v>
      </c>
      <c r="K849" s="30">
        <v>45020</v>
      </c>
      <c r="L849" s="30" t="s">
        <v>1062</v>
      </c>
      <c r="M849" s="2" t="s">
        <v>33</v>
      </c>
      <c r="N849" s="2">
        <v>1902.47</v>
      </c>
      <c r="O849" s="2" t="s">
        <v>48</v>
      </c>
      <c r="P849" s="2" t="s">
        <v>375</v>
      </c>
      <c r="Q849" s="2" t="s">
        <v>35</v>
      </c>
      <c r="R849" s="2">
        <v>3</v>
      </c>
      <c r="S849" s="2">
        <v>6511.08</v>
      </c>
      <c r="T849" s="38" t="s">
        <v>2875</v>
      </c>
      <c r="U849" s="13"/>
    </row>
    <row r="850" spans="1:21" x14ac:dyDescent="0.3">
      <c r="A850" s="2" t="s">
        <v>1894</v>
      </c>
      <c r="B850" s="2" t="s">
        <v>1895</v>
      </c>
      <c r="C850" s="2">
        <v>46</v>
      </c>
      <c r="D850" s="2" t="s">
        <v>30</v>
      </c>
      <c r="E850" s="2">
        <v>114256</v>
      </c>
      <c r="F850" s="2">
        <v>75000</v>
      </c>
      <c r="G850" s="2">
        <v>24</v>
      </c>
      <c r="H850" s="2">
        <v>10.050000000000001</v>
      </c>
      <c r="I850" s="2" t="s">
        <v>66</v>
      </c>
      <c r="J850" s="2">
        <v>801</v>
      </c>
      <c r="K850" s="30">
        <v>44774</v>
      </c>
      <c r="L850" s="30" t="s">
        <v>1392</v>
      </c>
      <c r="M850" s="2" t="s">
        <v>24</v>
      </c>
      <c r="N850" s="2">
        <v>3462.6</v>
      </c>
      <c r="O850" s="2" t="s">
        <v>25</v>
      </c>
      <c r="P850" s="2" t="s">
        <v>123</v>
      </c>
      <c r="Q850" s="2" t="s">
        <v>62</v>
      </c>
      <c r="R850" s="2">
        <v>1</v>
      </c>
      <c r="S850" s="2">
        <v>6440.52</v>
      </c>
      <c r="T850" s="38" t="s">
        <v>2867</v>
      </c>
      <c r="U850" s="13"/>
    </row>
    <row r="851" spans="1:21" x14ac:dyDescent="0.3">
      <c r="A851" s="2" t="s">
        <v>1433</v>
      </c>
      <c r="B851" s="2" t="s">
        <v>1434</v>
      </c>
      <c r="C851" s="2">
        <v>51</v>
      </c>
      <c r="D851" s="2" t="s">
        <v>21</v>
      </c>
      <c r="E851" s="2">
        <v>163701</v>
      </c>
      <c r="F851" s="2">
        <v>100000</v>
      </c>
      <c r="G851" s="2">
        <v>60</v>
      </c>
      <c r="H851" s="2">
        <v>9.99</v>
      </c>
      <c r="I851" s="2" t="s">
        <v>66</v>
      </c>
      <c r="J851" s="2">
        <v>532</v>
      </c>
      <c r="K851" s="30">
        <v>44293</v>
      </c>
      <c r="L851" s="30" t="s">
        <v>520</v>
      </c>
      <c r="M851" s="2" t="s">
        <v>24</v>
      </c>
      <c r="N851" s="2">
        <v>2124.21</v>
      </c>
      <c r="O851" s="2" t="s">
        <v>60</v>
      </c>
      <c r="P851" s="2" t="s">
        <v>61</v>
      </c>
      <c r="Q851" s="2" t="s">
        <v>42</v>
      </c>
      <c r="R851" s="2">
        <v>1</v>
      </c>
      <c r="S851" s="2">
        <v>6322.34</v>
      </c>
      <c r="T851" s="38" t="s">
        <v>2879</v>
      </c>
      <c r="U851" s="13"/>
    </row>
    <row r="852" spans="1:21" x14ac:dyDescent="0.3">
      <c r="A852" s="2" t="s">
        <v>657</v>
      </c>
      <c r="B852" s="2" t="s">
        <v>658</v>
      </c>
      <c r="C852" s="2">
        <v>60</v>
      </c>
      <c r="D852" s="2" t="s">
        <v>45</v>
      </c>
      <c r="E852" s="2">
        <v>171135</v>
      </c>
      <c r="F852" s="2">
        <v>300000</v>
      </c>
      <c r="G852" s="2">
        <v>84</v>
      </c>
      <c r="H852" s="2">
        <v>7.93</v>
      </c>
      <c r="I852" s="2" t="s">
        <v>66</v>
      </c>
      <c r="J852" s="2">
        <v>761</v>
      </c>
      <c r="K852" s="30">
        <v>44965</v>
      </c>
      <c r="L852" s="30" t="s">
        <v>659</v>
      </c>
      <c r="M852" s="2" t="s">
        <v>24</v>
      </c>
      <c r="N852" s="2">
        <v>4665.41</v>
      </c>
      <c r="O852" s="2" t="s">
        <v>60</v>
      </c>
      <c r="P852" s="2" t="s">
        <v>192</v>
      </c>
      <c r="Q852" s="2" t="s">
        <v>35</v>
      </c>
      <c r="R852" s="2">
        <v>5</v>
      </c>
      <c r="S852" s="2">
        <v>6079.17</v>
      </c>
      <c r="T852" s="38" t="s">
        <v>2867</v>
      </c>
      <c r="U852" s="13"/>
    </row>
    <row r="853" spans="1:21" x14ac:dyDescent="0.3">
      <c r="A853" s="3" t="s">
        <v>283</v>
      </c>
      <c r="B853" s="3" t="s">
        <v>1305</v>
      </c>
      <c r="C853" s="3">
        <v>35</v>
      </c>
      <c r="D853" s="3" t="s">
        <v>21</v>
      </c>
      <c r="E853" s="3">
        <v>158974</v>
      </c>
      <c r="F853" s="3">
        <v>100000</v>
      </c>
      <c r="G853" s="3">
        <v>60</v>
      </c>
      <c r="H853" s="3">
        <v>13.85</v>
      </c>
      <c r="I853" s="3" t="s">
        <v>31</v>
      </c>
      <c r="J853" s="3">
        <v>424</v>
      </c>
      <c r="K853" s="29">
        <v>44521</v>
      </c>
      <c r="L853" s="29" t="s">
        <v>284</v>
      </c>
      <c r="M853" s="3" t="s">
        <v>24</v>
      </c>
      <c r="N853" s="3">
        <v>2319.06</v>
      </c>
      <c r="O853" s="3" t="s">
        <v>25</v>
      </c>
      <c r="P853" s="3" t="s">
        <v>123</v>
      </c>
      <c r="Q853" s="3" t="s">
        <v>42</v>
      </c>
      <c r="R853" s="3">
        <v>0</v>
      </c>
      <c r="S853" s="3">
        <v>6078.07</v>
      </c>
      <c r="T853" s="38" t="s">
        <v>2879</v>
      </c>
      <c r="U853" s="13"/>
    </row>
    <row r="854" spans="1:21" x14ac:dyDescent="0.3">
      <c r="A854" s="3" t="s">
        <v>2166</v>
      </c>
      <c r="B854" s="3" t="s">
        <v>2167</v>
      </c>
      <c r="C854" s="3">
        <v>52</v>
      </c>
      <c r="D854" s="3" t="s">
        <v>72</v>
      </c>
      <c r="E854" s="3">
        <v>187121</v>
      </c>
      <c r="F854" s="3">
        <v>75000</v>
      </c>
      <c r="G854" s="3">
        <v>24</v>
      </c>
      <c r="H854" s="3">
        <v>11.13</v>
      </c>
      <c r="I854" s="3" t="s">
        <v>83</v>
      </c>
      <c r="J854" s="3">
        <v>806</v>
      </c>
      <c r="K854" s="29">
        <v>44816</v>
      </c>
      <c r="L854" s="29" t="s">
        <v>1834</v>
      </c>
      <c r="M854" s="3" t="s">
        <v>24</v>
      </c>
      <c r="N854" s="3">
        <v>3500.12</v>
      </c>
      <c r="O854" s="3" t="s">
        <v>48</v>
      </c>
      <c r="P854" s="3" t="s">
        <v>86</v>
      </c>
      <c r="Q854" s="3" t="s">
        <v>42</v>
      </c>
      <c r="R854" s="3">
        <v>1</v>
      </c>
      <c r="S854" s="3">
        <v>5697.62</v>
      </c>
      <c r="T854" s="38" t="s">
        <v>2867</v>
      </c>
      <c r="U854" s="13"/>
    </row>
    <row r="855" spans="1:21" x14ac:dyDescent="0.3">
      <c r="A855" s="3" t="s">
        <v>70</v>
      </c>
      <c r="B855" s="3" t="s">
        <v>71</v>
      </c>
      <c r="C855" s="3">
        <v>27</v>
      </c>
      <c r="D855" s="3" t="s">
        <v>72</v>
      </c>
      <c r="E855" s="3">
        <v>240732</v>
      </c>
      <c r="F855" s="3">
        <v>75000</v>
      </c>
      <c r="G855" s="3">
        <v>36</v>
      </c>
      <c r="H855" s="3">
        <v>16.600000000000001</v>
      </c>
      <c r="I855" s="3" t="s">
        <v>73</v>
      </c>
      <c r="J855" s="3">
        <v>365</v>
      </c>
      <c r="K855" s="29">
        <v>45280</v>
      </c>
      <c r="L855" s="29" t="s">
        <v>75</v>
      </c>
      <c r="M855" s="3" t="s">
        <v>24</v>
      </c>
      <c r="N855" s="3">
        <v>2659.05</v>
      </c>
      <c r="O855" s="3" t="s">
        <v>60</v>
      </c>
      <c r="P855" s="3" t="s">
        <v>2997</v>
      </c>
      <c r="Q855" s="3" t="s">
        <v>42</v>
      </c>
      <c r="R855" s="3">
        <v>2</v>
      </c>
      <c r="S855" s="3">
        <v>5598.79</v>
      </c>
      <c r="T855" s="38" t="s">
        <v>2879</v>
      </c>
      <c r="U855" s="13"/>
    </row>
    <row r="856" spans="1:21" x14ac:dyDescent="0.3">
      <c r="A856" s="2" t="s">
        <v>637</v>
      </c>
      <c r="B856" s="2" t="s">
        <v>638</v>
      </c>
      <c r="C856" s="2">
        <v>64</v>
      </c>
      <c r="D856" s="2" t="s">
        <v>65</v>
      </c>
      <c r="E856" s="2">
        <v>19123</v>
      </c>
      <c r="F856" s="2">
        <v>50000</v>
      </c>
      <c r="G856" s="2">
        <v>240</v>
      </c>
      <c r="H856" s="2">
        <v>15.5</v>
      </c>
      <c r="I856" s="2" t="s">
        <v>46</v>
      </c>
      <c r="J856" s="2">
        <v>317</v>
      </c>
      <c r="K856" s="30">
        <v>44232</v>
      </c>
      <c r="L856" s="30" t="s">
        <v>640</v>
      </c>
      <c r="M856" s="2" t="s">
        <v>33</v>
      </c>
      <c r="N856" s="2">
        <v>676.94</v>
      </c>
      <c r="O856" s="2" t="s">
        <v>54</v>
      </c>
      <c r="P856" s="2" t="s">
        <v>183</v>
      </c>
      <c r="Q856" s="2" t="s">
        <v>35</v>
      </c>
      <c r="R856" s="2">
        <v>8</v>
      </c>
      <c r="S856" s="2">
        <v>5525.04</v>
      </c>
      <c r="T856" s="38" t="s">
        <v>2879</v>
      </c>
      <c r="U856" s="13"/>
    </row>
    <row r="857" spans="1:21" x14ac:dyDescent="0.3">
      <c r="A857" s="2" t="s">
        <v>2150</v>
      </c>
      <c r="B857" s="2" t="s">
        <v>1525</v>
      </c>
      <c r="C857" s="2">
        <v>34</v>
      </c>
      <c r="D857" s="2" t="s">
        <v>72</v>
      </c>
      <c r="E857" s="2">
        <v>164519</v>
      </c>
      <c r="F857" s="2">
        <v>400000</v>
      </c>
      <c r="G857" s="2">
        <v>240</v>
      </c>
      <c r="H857" s="2">
        <v>12.61</v>
      </c>
      <c r="I857" s="2" t="s">
        <v>251</v>
      </c>
      <c r="J857" s="2">
        <v>368</v>
      </c>
      <c r="K857" s="30">
        <v>44342</v>
      </c>
      <c r="L857" s="30" t="s">
        <v>1847</v>
      </c>
      <c r="M857" s="2" t="s">
        <v>122</v>
      </c>
      <c r="N857" s="2">
        <v>4575.62</v>
      </c>
      <c r="O857" s="2" t="s">
        <v>60</v>
      </c>
      <c r="P857" s="2" t="s">
        <v>2997</v>
      </c>
      <c r="Q857" s="2" t="s">
        <v>42</v>
      </c>
      <c r="R857" s="2">
        <v>2</v>
      </c>
      <c r="S857" s="2">
        <v>4666.43</v>
      </c>
      <c r="T857" s="38" t="s">
        <v>2879</v>
      </c>
      <c r="U857" s="13"/>
    </row>
    <row r="858" spans="1:21" x14ac:dyDescent="0.3">
      <c r="A858" s="2" t="s">
        <v>784</v>
      </c>
      <c r="B858" s="2" t="s">
        <v>785</v>
      </c>
      <c r="C858" s="2">
        <v>56</v>
      </c>
      <c r="D858" s="2" t="s">
        <v>30</v>
      </c>
      <c r="E858" s="2">
        <v>54470</v>
      </c>
      <c r="F858" s="2">
        <v>50000</v>
      </c>
      <c r="G858" s="2">
        <v>120</v>
      </c>
      <c r="H858" s="2">
        <v>7.85</v>
      </c>
      <c r="I858" s="2" t="s">
        <v>38</v>
      </c>
      <c r="J858" s="2">
        <v>309</v>
      </c>
      <c r="K858" s="30">
        <v>44967</v>
      </c>
      <c r="L858" s="30" t="s">
        <v>175</v>
      </c>
      <c r="M858" s="2" t="s">
        <v>24</v>
      </c>
      <c r="N858" s="2">
        <v>602.67999999999995</v>
      </c>
      <c r="O858" s="2" t="s">
        <v>48</v>
      </c>
      <c r="P858" s="2" t="s">
        <v>49</v>
      </c>
      <c r="Q858" s="2" t="s">
        <v>100</v>
      </c>
      <c r="R858" s="2">
        <v>12</v>
      </c>
      <c r="S858" s="2">
        <v>4437.3900000000003</v>
      </c>
      <c r="T858" s="38" t="s">
        <v>2879</v>
      </c>
      <c r="U858" s="13"/>
    </row>
    <row r="859" spans="1:21" x14ac:dyDescent="0.3">
      <c r="A859" s="3" t="s">
        <v>1564</v>
      </c>
      <c r="B859" s="3" t="s">
        <v>1565</v>
      </c>
      <c r="C859" s="3">
        <v>65</v>
      </c>
      <c r="D859" s="3" t="s">
        <v>30</v>
      </c>
      <c r="E859" s="3">
        <v>124662</v>
      </c>
      <c r="F859" s="3">
        <v>100000</v>
      </c>
      <c r="G859" s="3">
        <v>120</v>
      </c>
      <c r="H859" s="3">
        <v>18.989999999999998</v>
      </c>
      <c r="I859" s="3" t="s">
        <v>46</v>
      </c>
      <c r="J859" s="3">
        <v>597</v>
      </c>
      <c r="K859" s="29">
        <v>44705</v>
      </c>
      <c r="L859" s="29" t="s">
        <v>987</v>
      </c>
      <c r="M859" s="3" t="s">
        <v>24</v>
      </c>
      <c r="N859" s="3">
        <v>1866.07</v>
      </c>
      <c r="O859" s="3" t="s">
        <v>48</v>
      </c>
      <c r="P859" s="3" t="s">
        <v>86</v>
      </c>
      <c r="Q859" s="3" t="s">
        <v>42</v>
      </c>
      <c r="R859" s="3">
        <v>2</v>
      </c>
      <c r="S859" s="3">
        <v>4270.6099999999997</v>
      </c>
      <c r="T859" s="38" t="s">
        <v>2875</v>
      </c>
      <c r="U859" s="13"/>
    </row>
    <row r="860" spans="1:21" x14ac:dyDescent="0.3">
      <c r="A860" s="2" t="s">
        <v>1821</v>
      </c>
      <c r="B860" s="2" t="s">
        <v>1822</v>
      </c>
      <c r="C860" s="2">
        <v>34</v>
      </c>
      <c r="D860" s="2" t="s">
        <v>30</v>
      </c>
      <c r="E860" s="2">
        <v>64709</v>
      </c>
      <c r="F860" s="2">
        <v>50000</v>
      </c>
      <c r="G860" s="2">
        <v>12</v>
      </c>
      <c r="H860" s="2">
        <v>19.989999999999998</v>
      </c>
      <c r="I860" s="2" t="s">
        <v>38</v>
      </c>
      <c r="J860" s="2">
        <v>803</v>
      </c>
      <c r="K860" s="30">
        <v>44961</v>
      </c>
      <c r="L860" s="30" t="s">
        <v>1240</v>
      </c>
      <c r="M860" s="2" t="s">
        <v>24</v>
      </c>
      <c r="N860" s="2">
        <v>4631.49</v>
      </c>
      <c r="O860" s="2" t="s">
        <v>60</v>
      </c>
      <c r="P860" s="2" t="s">
        <v>2997</v>
      </c>
      <c r="Q860" s="2" t="s">
        <v>100</v>
      </c>
      <c r="R860" s="2">
        <v>6</v>
      </c>
      <c r="S860" s="2">
        <v>4148.25</v>
      </c>
      <c r="T860" s="38" t="s">
        <v>2867</v>
      </c>
      <c r="U860" s="13"/>
    </row>
    <row r="861" spans="1:21" x14ac:dyDescent="0.3">
      <c r="A861" s="3" t="s">
        <v>1792</v>
      </c>
      <c r="B861" s="3" t="s">
        <v>1793</v>
      </c>
      <c r="C861" s="3">
        <v>57</v>
      </c>
      <c r="D861" s="3" t="s">
        <v>30</v>
      </c>
      <c r="E861" s="3">
        <v>178754</v>
      </c>
      <c r="F861" s="3">
        <v>150000</v>
      </c>
      <c r="G861" s="3">
        <v>240</v>
      </c>
      <c r="H861" s="3">
        <v>13.23</v>
      </c>
      <c r="I861" s="3" t="s">
        <v>73</v>
      </c>
      <c r="J861" s="3">
        <v>423</v>
      </c>
      <c r="K861" s="29">
        <v>44859</v>
      </c>
      <c r="L861" s="29" t="s">
        <v>1794</v>
      </c>
      <c r="M861" s="3" t="s">
        <v>122</v>
      </c>
      <c r="N861" s="3">
        <v>1782</v>
      </c>
      <c r="O861" s="3" t="s">
        <v>105</v>
      </c>
      <c r="P861" s="3" t="s">
        <v>159</v>
      </c>
      <c r="Q861" s="3" t="s">
        <v>42</v>
      </c>
      <c r="R861" s="3">
        <v>0</v>
      </c>
      <c r="S861" s="3">
        <v>4054.2</v>
      </c>
      <c r="T861" s="38" t="s">
        <v>2879</v>
      </c>
      <c r="U861" s="13"/>
    </row>
    <row r="862" spans="1:21" x14ac:dyDescent="0.3">
      <c r="A862" s="3" t="s">
        <v>2544</v>
      </c>
      <c r="B862" s="3" t="s">
        <v>2545</v>
      </c>
      <c r="C862" s="3">
        <v>64</v>
      </c>
      <c r="D862" s="3" t="s">
        <v>30</v>
      </c>
      <c r="E862" s="3">
        <v>131628</v>
      </c>
      <c r="F862" s="3">
        <v>75000</v>
      </c>
      <c r="G862" s="3">
        <v>12</v>
      </c>
      <c r="H862" s="3">
        <v>9.4700000000000006</v>
      </c>
      <c r="I862" s="3" t="s">
        <v>73</v>
      </c>
      <c r="J862" s="3">
        <v>784</v>
      </c>
      <c r="K862" s="29">
        <v>44237</v>
      </c>
      <c r="L862" s="29" t="s">
        <v>1312</v>
      </c>
      <c r="M862" s="3" t="s">
        <v>24</v>
      </c>
      <c r="N862" s="3">
        <v>6575.22</v>
      </c>
      <c r="O862" s="3" t="s">
        <v>60</v>
      </c>
      <c r="P862" s="3" t="s">
        <v>2997</v>
      </c>
      <c r="Q862" s="3" t="s">
        <v>100</v>
      </c>
      <c r="R862" s="3">
        <v>2</v>
      </c>
      <c r="S862" s="3">
        <v>3987.62</v>
      </c>
      <c r="T862" s="38" t="s">
        <v>2867</v>
      </c>
      <c r="U862" s="13"/>
    </row>
    <row r="863" spans="1:21" x14ac:dyDescent="0.3">
      <c r="A863" s="2" t="s">
        <v>1474</v>
      </c>
      <c r="B863" s="2" t="s">
        <v>1475</v>
      </c>
      <c r="C863" s="2">
        <v>48</v>
      </c>
      <c r="D863" s="2" t="s">
        <v>65</v>
      </c>
      <c r="E863" s="2">
        <v>35027</v>
      </c>
      <c r="F863" s="2">
        <v>75000</v>
      </c>
      <c r="G863" s="2">
        <v>36</v>
      </c>
      <c r="H863" s="2">
        <v>20.89</v>
      </c>
      <c r="I863" s="2" t="s">
        <v>31</v>
      </c>
      <c r="J863" s="2">
        <v>656</v>
      </c>
      <c r="K863" s="30">
        <v>45268</v>
      </c>
      <c r="L863" s="30" t="s">
        <v>1142</v>
      </c>
      <c r="M863" s="2" t="s">
        <v>24</v>
      </c>
      <c r="N863" s="2">
        <v>2821.4</v>
      </c>
      <c r="O863" s="2" t="s">
        <v>48</v>
      </c>
      <c r="P863" s="2" t="s">
        <v>199</v>
      </c>
      <c r="Q863" s="2" t="s">
        <v>35</v>
      </c>
      <c r="R863" s="2">
        <v>2</v>
      </c>
      <c r="S863" s="2">
        <v>3900.72</v>
      </c>
      <c r="T863" s="38" t="s">
        <v>2871</v>
      </c>
      <c r="U863" s="13"/>
    </row>
    <row r="864" spans="1:21" x14ac:dyDescent="0.3">
      <c r="A864" s="2" t="s">
        <v>1351</v>
      </c>
      <c r="B864" s="2" t="s">
        <v>1352</v>
      </c>
      <c r="C864" s="2">
        <v>25</v>
      </c>
      <c r="D864" s="2" t="s">
        <v>21</v>
      </c>
      <c r="E864" s="2">
        <v>213045</v>
      </c>
      <c r="F864" s="2">
        <v>75000</v>
      </c>
      <c r="G864" s="2">
        <v>12</v>
      </c>
      <c r="H864" s="2">
        <v>9.93</v>
      </c>
      <c r="I864" s="2" t="s">
        <v>73</v>
      </c>
      <c r="J864" s="2">
        <v>787</v>
      </c>
      <c r="K864" s="30">
        <v>45287</v>
      </c>
      <c r="L864" s="30" t="s">
        <v>1354</v>
      </c>
      <c r="M864" s="2" t="s">
        <v>24</v>
      </c>
      <c r="N864" s="2">
        <v>6591.25</v>
      </c>
      <c r="O864" s="2" t="s">
        <v>48</v>
      </c>
      <c r="P864" s="2" t="s">
        <v>80</v>
      </c>
      <c r="Q864" s="2" t="s">
        <v>42</v>
      </c>
      <c r="R864" s="2">
        <v>2</v>
      </c>
      <c r="S864" s="2">
        <v>3814.5</v>
      </c>
      <c r="T864" s="38" t="s">
        <v>2867</v>
      </c>
      <c r="U864" s="13"/>
    </row>
    <row r="865" spans="1:21" x14ac:dyDescent="0.3">
      <c r="A865" s="3" t="s">
        <v>2657</v>
      </c>
      <c r="B865" s="3" t="s">
        <v>29</v>
      </c>
      <c r="C865" s="3">
        <v>48</v>
      </c>
      <c r="D865" s="3" t="s">
        <v>72</v>
      </c>
      <c r="E865" s="3">
        <v>162242</v>
      </c>
      <c r="F865" s="3">
        <v>75000</v>
      </c>
      <c r="G865" s="3">
        <v>36</v>
      </c>
      <c r="H865" s="3">
        <v>18.71</v>
      </c>
      <c r="I865" s="3" t="s">
        <v>46</v>
      </c>
      <c r="J865" s="3">
        <v>678</v>
      </c>
      <c r="K865" s="29">
        <v>44896</v>
      </c>
      <c r="L865" s="29" t="s">
        <v>1806</v>
      </c>
      <c r="M865" s="3" t="s">
        <v>24</v>
      </c>
      <c r="N865" s="3">
        <v>2738.22</v>
      </c>
      <c r="O865" s="3" t="s">
        <v>48</v>
      </c>
      <c r="P865" s="3" t="s">
        <v>80</v>
      </c>
      <c r="Q865" s="3" t="s">
        <v>42</v>
      </c>
      <c r="R865" s="3">
        <v>1</v>
      </c>
      <c r="S865" s="3">
        <v>3532.46</v>
      </c>
      <c r="T865" s="38" t="s">
        <v>2871</v>
      </c>
      <c r="U865" s="13"/>
    </row>
    <row r="866" spans="1:21" x14ac:dyDescent="0.3">
      <c r="A866" s="3" t="s">
        <v>704</v>
      </c>
      <c r="B866" s="3" t="s">
        <v>705</v>
      </c>
      <c r="C866" s="3">
        <v>50</v>
      </c>
      <c r="D866" s="3" t="s">
        <v>45</v>
      </c>
      <c r="E866" s="3">
        <v>127604</v>
      </c>
      <c r="F866" s="3">
        <v>300000</v>
      </c>
      <c r="G866" s="3">
        <v>12</v>
      </c>
      <c r="H866" s="3">
        <v>17.72</v>
      </c>
      <c r="I866" s="3" t="s">
        <v>83</v>
      </c>
      <c r="J866" s="3">
        <v>585</v>
      </c>
      <c r="K866" s="29">
        <v>44579</v>
      </c>
      <c r="L866" s="29" t="s">
        <v>706</v>
      </c>
      <c r="M866" s="3" t="s">
        <v>33</v>
      </c>
      <c r="N866" s="3">
        <v>27464.04</v>
      </c>
      <c r="O866" s="3" t="s">
        <v>25</v>
      </c>
      <c r="P866" s="3" t="s">
        <v>123</v>
      </c>
      <c r="Q866" s="3" t="s">
        <v>42</v>
      </c>
      <c r="R866" s="3">
        <v>0</v>
      </c>
      <c r="S866" s="3">
        <v>3388.37</v>
      </c>
      <c r="T866" s="38" t="s">
        <v>2875</v>
      </c>
      <c r="U866" s="13"/>
    </row>
    <row r="867" spans="1:21" x14ac:dyDescent="0.3">
      <c r="A867" s="3" t="s">
        <v>755</v>
      </c>
      <c r="B867" s="3" t="s">
        <v>756</v>
      </c>
      <c r="C867" s="3">
        <v>37</v>
      </c>
      <c r="D867" s="3" t="s">
        <v>21</v>
      </c>
      <c r="E867" s="3">
        <v>183983</v>
      </c>
      <c r="F867" s="3">
        <v>75000</v>
      </c>
      <c r="G867" s="3">
        <v>48</v>
      </c>
      <c r="H867" s="3">
        <v>15.52</v>
      </c>
      <c r="I867" s="3" t="s">
        <v>66</v>
      </c>
      <c r="J867" s="3">
        <v>327</v>
      </c>
      <c r="K867" s="29">
        <v>45240</v>
      </c>
      <c r="L867" s="29" t="s">
        <v>757</v>
      </c>
      <c r="M867" s="3" t="s">
        <v>24</v>
      </c>
      <c r="N867" s="3">
        <v>2107.13</v>
      </c>
      <c r="O867" s="3" t="s">
        <v>48</v>
      </c>
      <c r="P867" s="3" t="s">
        <v>86</v>
      </c>
      <c r="Q867" s="3" t="s">
        <v>42</v>
      </c>
      <c r="R867" s="3">
        <v>2</v>
      </c>
      <c r="S867" s="3">
        <v>2936.15</v>
      </c>
      <c r="T867" s="38" t="s">
        <v>2879</v>
      </c>
      <c r="U867" s="13"/>
    </row>
    <row r="868" spans="1:21" x14ac:dyDescent="0.3">
      <c r="A868" s="3" t="s">
        <v>265</v>
      </c>
      <c r="B868" s="3" t="s">
        <v>266</v>
      </c>
      <c r="C868" s="3">
        <v>60</v>
      </c>
      <c r="D868" s="3" t="s">
        <v>65</v>
      </c>
      <c r="E868" s="3">
        <v>91351</v>
      </c>
      <c r="F868" s="3">
        <v>50000</v>
      </c>
      <c r="G868" s="3">
        <v>48</v>
      </c>
      <c r="H868" s="3">
        <v>11.68</v>
      </c>
      <c r="I868" s="3" t="s">
        <v>66</v>
      </c>
      <c r="J868" s="3">
        <v>764</v>
      </c>
      <c r="K868" s="29">
        <v>44602</v>
      </c>
      <c r="L868" s="29" t="s">
        <v>268</v>
      </c>
      <c r="M868" s="3" t="s">
        <v>24</v>
      </c>
      <c r="N868" s="3">
        <v>1308.8499999999999</v>
      </c>
      <c r="O868" s="3" t="s">
        <v>25</v>
      </c>
      <c r="P868" s="3" t="s">
        <v>34</v>
      </c>
      <c r="Q868" s="3" t="s">
        <v>42</v>
      </c>
      <c r="R868" s="3">
        <v>1</v>
      </c>
      <c r="S868" s="3">
        <v>2881.4</v>
      </c>
      <c r="T868" s="38" t="s">
        <v>2867</v>
      </c>
      <c r="U868" s="13"/>
    </row>
    <row r="869" spans="1:21" x14ac:dyDescent="0.3">
      <c r="A869" s="3" t="s">
        <v>1622</v>
      </c>
      <c r="B869" s="3" t="s">
        <v>1623</v>
      </c>
      <c r="C869" s="3">
        <v>36</v>
      </c>
      <c r="D869" s="3" t="s">
        <v>72</v>
      </c>
      <c r="E869" s="3">
        <v>153492</v>
      </c>
      <c r="F869" s="3">
        <v>50000</v>
      </c>
      <c r="G869" s="3">
        <v>120</v>
      </c>
      <c r="H869" s="3">
        <v>15.86</v>
      </c>
      <c r="I869" s="3" t="s">
        <v>22</v>
      </c>
      <c r="J869" s="3">
        <v>574</v>
      </c>
      <c r="K869" s="29">
        <v>44907</v>
      </c>
      <c r="L869" s="29" t="s">
        <v>1624</v>
      </c>
      <c r="M869" s="3" t="s">
        <v>24</v>
      </c>
      <c r="N869" s="3">
        <v>833.21</v>
      </c>
      <c r="O869" s="3" t="s">
        <v>60</v>
      </c>
      <c r="P869" s="3" t="s">
        <v>2997</v>
      </c>
      <c r="Q869" s="3" t="s">
        <v>27</v>
      </c>
      <c r="R869" s="3">
        <v>0</v>
      </c>
      <c r="S869" s="3">
        <v>2756.99</v>
      </c>
      <c r="T869" s="38" t="s">
        <v>2875</v>
      </c>
      <c r="U869" s="13"/>
    </row>
    <row r="870" spans="1:21" x14ac:dyDescent="0.3">
      <c r="A870" s="2" t="s">
        <v>1986</v>
      </c>
      <c r="B870" s="2" t="s">
        <v>1987</v>
      </c>
      <c r="C870" s="2">
        <v>47</v>
      </c>
      <c r="D870" s="2" t="s">
        <v>45</v>
      </c>
      <c r="E870" s="2">
        <v>29679</v>
      </c>
      <c r="F870" s="2">
        <v>150000</v>
      </c>
      <c r="G870" s="2">
        <v>120</v>
      </c>
      <c r="H870" s="2">
        <v>10.16</v>
      </c>
      <c r="I870" s="2" t="s">
        <v>22</v>
      </c>
      <c r="J870" s="2">
        <v>779</v>
      </c>
      <c r="K870" s="30">
        <v>45026</v>
      </c>
      <c r="L870" s="30" t="s">
        <v>337</v>
      </c>
      <c r="M870" s="2" t="s">
        <v>122</v>
      </c>
      <c r="N870" s="2">
        <v>1995.58</v>
      </c>
      <c r="O870" s="2" t="s">
        <v>60</v>
      </c>
      <c r="P870" s="2" t="s">
        <v>61</v>
      </c>
      <c r="Q870" s="2" t="s">
        <v>62</v>
      </c>
      <c r="R870" s="2">
        <v>2</v>
      </c>
      <c r="S870" s="2">
        <v>2726.2</v>
      </c>
      <c r="T870" s="38" t="s">
        <v>2867</v>
      </c>
      <c r="U870" s="13"/>
    </row>
    <row r="871" spans="1:21" x14ac:dyDescent="0.3">
      <c r="A871" s="3" t="s">
        <v>2087</v>
      </c>
      <c r="B871" s="3" t="s">
        <v>1041</v>
      </c>
      <c r="C871" s="3">
        <v>50</v>
      </c>
      <c r="D871" s="3" t="s">
        <v>45</v>
      </c>
      <c r="E871" s="3">
        <v>149601</v>
      </c>
      <c r="F871" s="3">
        <v>150000</v>
      </c>
      <c r="G871" s="3">
        <v>120</v>
      </c>
      <c r="H871" s="3">
        <v>10.23</v>
      </c>
      <c r="I871" s="3" t="s">
        <v>66</v>
      </c>
      <c r="J871" s="3">
        <v>733</v>
      </c>
      <c r="K871" s="29">
        <v>44406</v>
      </c>
      <c r="L871" s="29" t="s">
        <v>1309</v>
      </c>
      <c r="M871" s="3" t="s">
        <v>24</v>
      </c>
      <c r="N871" s="3">
        <v>2001.41</v>
      </c>
      <c r="O871" s="3" t="s">
        <v>105</v>
      </c>
      <c r="P871" s="3" t="s">
        <v>130</v>
      </c>
      <c r="Q871" s="3" t="s">
        <v>27</v>
      </c>
      <c r="R871" s="3">
        <v>2</v>
      </c>
      <c r="S871" s="3">
        <v>2295.94</v>
      </c>
      <c r="T871" s="38" t="s">
        <v>2871</v>
      </c>
      <c r="U871" s="13"/>
    </row>
    <row r="872" spans="1:21" x14ac:dyDescent="0.3">
      <c r="A872" s="3" t="s">
        <v>1413</v>
      </c>
      <c r="B872" s="3" t="s">
        <v>1414</v>
      </c>
      <c r="C872" s="3">
        <v>49</v>
      </c>
      <c r="D872" s="3" t="s">
        <v>45</v>
      </c>
      <c r="E872" s="3">
        <v>118368</v>
      </c>
      <c r="F872" s="3">
        <v>400000</v>
      </c>
      <c r="G872" s="3">
        <v>24</v>
      </c>
      <c r="H872" s="3">
        <v>14.06</v>
      </c>
      <c r="I872" s="3" t="s">
        <v>83</v>
      </c>
      <c r="J872" s="3">
        <v>385</v>
      </c>
      <c r="K872" s="29">
        <v>45029</v>
      </c>
      <c r="L872" s="29" t="s">
        <v>94</v>
      </c>
      <c r="M872" s="3" t="s">
        <v>24</v>
      </c>
      <c r="N872" s="3">
        <v>19216.490000000002</v>
      </c>
      <c r="O872" s="3" t="s">
        <v>54</v>
      </c>
      <c r="P872" s="3" t="s">
        <v>304</v>
      </c>
      <c r="Q872" s="3" t="s">
        <v>42</v>
      </c>
      <c r="R872" s="3">
        <v>2</v>
      </c>
      <c r="S872" s="3">
        <v>2218.66</v>
      </c>
      <c r="T872" s="38" t="s">
        <v>2879</v>
      </c>
      <c r="U872" s="13"/>
    </row>
    <row r="873" spans="1:21" x14ac:dyDescent="0.3">
      <c r="A873" s="2" t="s">
        <v>274</v>
      </c>
      <c r="B873" s="2" t="s">
        <v>213</v>
      </c>
      <c r="C873" s="2">
        <v>65</v>
      </c>
      <c r="D873" s="2" t="s">
        <v>21</v>
      </c>
      <c r="E873" s="2">
        <v>166059</v>
      </c>
      <c r="F873" s="2">
        <v>50000</v>
      </c>
      <c r="G873" s="2">
        <v>36</v>
      </c>
      <c r="H873" s="2">
        <v>14.32</v>
      </c>
      <c r="I873" s="2" t="s">
        <v>31</v>
      </c>
      <c r="J873" s="2">
        <v>584</v>
      </c>
      <c r="K873" s="30">
        <v>44383</v>
      </c>
      <c r="L873" s="30" t="s">
        <v>113</v>
      </c>
      <c r="M873" s="2" t="s">
        <v>33</v>
      </c>
      <c r="N873" s="2">
        <v>1716.66</v>
      </c>
      <c r="O873" s="2" t="s">
        <v>105</v>
      </c>
      <c r="P873" s="2" t="s">
        <v>2999</v>
      </c>
      <c r="Q873" s="2" t="s">
        <v>42</v>
      </c>
      <c r="R873" s="2">
        <v>1</v>
      </c>
      <c r="S873" s="2">
        <v>2105.19</v>
      </c>
      <c r="T873" s="38" t="s">
        <v>2875</v>
      </c>
      <c r="U873" s="13"/>
    </row>
    <row r="874" spans="1:21" x14ac:dyDescent="0.3">
      <c r="A874" s="3" t="s">
        <v>1870</v>
      </c>
      <c r="B874" s="3" t="s">
        <v>1550</v>
      </c>
      <c r="C874" s="3">
        <v>31</v>
      </c>
      <c r="D874" s="3" t="s">
        <v>65</v>
      </c>
      <c r="E874" s="3">
        <v>79225</v>
      </c>
      <c r="F874" s="3">
        <v>50000</v>
      </c>
      <c r="G874" s="3">
        <v>24</v>
      </c>
      <c r="H874" s="3">
        <v>10.99</v>
      </c>
      <c r="I874" s="3" t="s">
        <v>31</v>
      </c>
      <c r="J874" s="3">
        <v>609</v>
      </c>
      <c r="K874" s="29">
        <v>44965</v>
      </c>
      <c r="L874" s="29" t="s">
        <v>1871</v>
      </c>
      <c r="M874" s="3" t="s">
        <v>24</v>
      </c>
      <c r="N874" s="3">
        <v>2330.16</v>
      </c>
      <c r="O874" s="3" t="s">
        <v>54</v>
      </c>
      <c r="P874" s="3" t="s">
        <v>2996</v>
      </c>
      <c r="Q874" s="3" t="s">
        <v>27</v>
      </c>
      <c r="R874" s="3">
        <v>2</v>
      </c>
      <c r="S874" s="3">
        <v>1765.69</v>
      </c>
      <c r="T874" s="38" t="s">
        <v>2875</v>
      </c>
      <c r="U874" s="13"/>
    </row>
    <row r="875" spans="1:21" x14ac:dyDescent="0.3">
      <c r="A875" s="2" t="s">
        <v>1277</v>
      </c>
      <c r="B875" s="2" t="s">
        <v>1278</v>
      </c>
      <c r="C875" s="2">
        <v>43</v>
      </c>
      <c r="D875" s="2" t="s">
        <v>65</v>
      </c>
      <c r="E875" s="2">
        <v>204896</v>
      </c>
      <c r="F875" s="2">
        <v>750000</v>
      </c>
      <c r="G875" s="2">
        <v>12</v>
      </c>
      <c r="H875" s="2">
        <v>19.559999999999999</v>
      </c>
      <c r="I875" s="2" t="s">
        <v>83</v>
      </c>
      <c r="J875" s="2">
        <v>638</v>
      </c>
      <c r="K875" s="30">
        <v>44269</v>
      </c>
      <c r="L875" s="30" t="s">
        <v>1279</v>
      </c>
      <c r="M875" s="2" t="s">
        <v>24</v>
      </c>
      <c r="N875" s="2">
        <v>69318.039999999994</v>
      </c>
      <c r="O875" s="2" t="s">
        <v>48</v>
      </c>
      <c r="P875" s="2" t="s">
        <v>80</v>
      </c>
      <c r="Q875" s="2" t="s">
        <v>42</v>
      </c>
      <c r="R875" s="2">
        <v>1</v>
      </c>
      <c r="S875" s="2">
        <v>1365.17</v>
      </c>
      <c r="T875" s="38" t="s">
        <v>2875</v>
      </c>
      <c r="U875" s="13"/>
    </row>
    <row r="876" spans="1:21" x14ac:dyDescent="0.3">
      <c r="A876" s="2" t="s">
        <v>1955</v>
      </c>
      <c r="B876" s="2" t="s">
        <v>1956</v>
      </c>
      <c r="C876" s="2">
        <v>30</v>
      </c>
      <c r="D876" s="2" t="s">
        <v>30</v>
      </c>
      <c r="E876" s="2">
        <v>216881</v>
      </c>
      <c r="F876" s="2">
        <v>75000</v>
      </c>
      <c r="G876" s="2">
        <v>60</v>
      </c>
      <c r="H876" s="2">
        <v>9.57</v>
      </c>
      <c r="I876" s="2" t="s">
        <v>46</v>
      </c>
      <c r="J876" s="2">
        <v>309</v>
      </c>
      <c r="K876" s="30">
        <v>44890</v>
      </c>
      <c r="L876" s="30" t="s">
        <v>1957</v>
      </c>
      <c r="M876" s="2" t="s">
        <v>24</v>
      </c>
      <c r="N876" s="2">
        <v>1577.71</v>
      </c>
      <c r="O876" s="2" t="s">
        <v>25</v>
      </c>
      <c r="P876" s="2" t="s">
        <v>123</v>
      </c>
      <c r="Q876" s="2" t="s">
        <v>42</v>
      </c>
      <c r="R876" s="2">
        <v>2</v>
      </c>
      <c r="S876" s="2">
        <v>1163.17</v>
      </c>
      <c r="T876" s="38" t="s">
        <v>2879</v>
      </c>
      <c r="U876" s="13"/>
    </row>
    <row r="877" spans="1:21" x14ac:dyDescent="0.3">
      <c r="A877" s="3" t="s">
        <v>1490</v>
      </c>
      <c r="B877" s="3" t="s">
        <v>1491</v>
      </c>
      <c r="C877" s="3">
        <v>40</v>
      </c>
      <c r="D877" s="3" t="s">
        <v>45</v>
      </c>
      <c r="E877" s="3">
        <v>204303</v>
      </c>
      <c r="F877" s="3">
        <v>50000</v>
      </c>
      <c r="G877" s="3">
        <v>24</v>
      </c>
      <c r="H877" s="3">
        <v>12.26</v>
      </c>
      <c r="I877" s="3" t="s">
        <v>22</v>
      </c>
      <c r="J877" s="3">
        <v>694</v>
      </c>
      <c r="K877" s="29">
        <v>44835</v>
      </c>
      <c r="L877" s="29" t="s">
        <v>1163</v>
      </c>
      <c r="M877" s="3" t="s">
        <v>24</v>
      </c>
      <c r="N877" s="3">
        <v>2359.75</v>
      </c>
      <c r="O877" s="3" t="s">
        <v>48</v>
      </c>
      <c r="P877" s="3" t="s">
        <v>80</v>
      </c>
      <c r="Q877" s="3" t="s">
        <v>42</v>
      </c>
      <c r="R877" s="3">
        <v>2</v>
      </c>
      <c r="S877" s="3">
        <v>1153.17</v>
      </c>
      <c r="T877" s="38" t="s">
        <v>2871</v>
      </c>
      <c r="U877" s="13"/>
    </row>
    <row r="878" spans="1:21" x14ac:dyDescent="0.3">
      <c r="A878" s="2" t="s">
        <v>2851</v>
      </c>
      <c r="B878" s="2" t="s">
        <v>1056</v>
      </c>
      <c r="C878" s="2">
        <v>40</v>
      </c>
      <c r="D878" s="2" t="s">
        <v>21</v>
      </c>
      <c r="E878" s="2">
        <v>165493</v>
      </c>
      <c r="F878" s="2">
        <v>100000</v>
      </c>
      <c r="G878" s="2">
        <v>12</v>
      </c>
      <c r="H878" s="2">
        <v>17.86</v>
      </c>
      <c r="I878" s="2" t="s">
        <v>31</v>
      </c>
      <c r="J878" s="2">
        <v>561</v>
      </c>
      <c r="K878" s="30">
        <v>45058</v>
      </c>
      <c r="L878" s="30" t="s">
        <v>906</v>
      </c>
      <c r="M878" s="2" t="s">
        <v>24</v>
      </c>
      <c r="N878" s="2">
        <v>9161.34</v>
      </c>
      <c r="O878" s="2" t="s">
        <v>54</v>
      </c>
      <c r="P878" s="2" t="s">
        <v>2996</v>
      </c>
      <c r="Q878" s="2" t="s">
        <v>35</v>
      </c>
      <c r="R878" s="2">
        <v>6</v>
      </c>
      <c r="S878" s="2">
        <v>1057.53</v>
      </c>
      <c r="T878" s="38" t="s">
        <v>2875</v>
      </c>
      <c r="U878" s="13"/>
    </row>
    <row r="879" spans="1:21" x14ac:dyDescent="0.3">
      <c r="A879" s="3" t="s">
        <v>2634</v>
      </c>
      <c r="B879" s="3" t="s">
        <v>2635</v>
      </c>
      <c r="C879" s="3">
        <v>46</v>
      </c>
      <c r="D879" s="3" t="s">
        <v>45</v>
      </c>
      <c r="E879" s="3">
        <v>216795</v>
      </c>
      <c r="F879" s="3">
        <v>75000</v>
      </c>
      <c r="G879" s="3">
        <v>120</v>
      </c>
      <c r="H879" s="3">
        <v>17.48</v>
      </c>
      <c r="I879" s="3" t="s">
        <v>38</v>
      </c>
      <c r="J879" s="3">
        <v>802</v>
      </c>
      <c r="K879" s="29">
        <v>44374</v>
      </c>
      <c r="L879" s="29" t="s">
        <v>2636</v>
      </c>
      <c r="M879" s="3" t="s">
        <v>24</v>
      </c>
      <c r="N879" s="3">
        <v>1326.38</v>
      </c>
      <c r="O879" s="3" t="s">
        <v>25</v>
      </c>
      <c r="P879" s="3" t="s">
        <v>2998</v>
      </c>
      <c r="Q879" s="3" t="s">
        <v>42</v>
      </c>
      <c r="R879" s="3">
        <v>0</v>
      </c>
      <c r="S879" s="3">
        <v>988</v>
      </c>
      <c r="T879" s="38" t="s">
        <v>2867</v>
      </c>
      <c r="U879" s="13"/>
    </row>
    <row r="880" spans="1:21" x14ac:dyDescent="0.3">
      <c r="A880" s="2" t="s">
        <v>2336</v>
      </c>
      <c r="B880" s="2" t="s">
        <v>2337</v>
      </c>
      <c r="C880" s="2">
        <v>51</v>
      </c>
      <c r="D880" s="2" t="s">
        <v>65</v>
      </c>
      <c r="E880" s="2">
        <v>70217</v>
      </c>
      <c r="F880" s="2">
        <v>500000</v>
      </c>
      <c r="G880" s="2">
        <v>36</v>
      </c>
      <c r="H880" s="2">
        <v>17.260000000000002</v>
      </c>
      <c r="I880" s="2" t="s">
        <v>66</v>
      </c>
      <c r="J880" s="2">
        <v>712</v>
      </c>
      <c r="K880" s="30">
        <v>44904</v>
      </c>
      <c r="L880" s="30" t="s">
        <v>708</v>
      </c>
      <c r="M880" s="2" t="s">
        <v>24</v>
      </c>
      <c r="N880" s="2">
        <v>17891.13</v>
      </c>
      <c r="O880" s="2" t="s">
        <v>25</v>
      </c>
      <c r="P880" s="2" t="s">
        <v>123</v>
      </c>
      <c r="Q880" s="2" t="s">
        <v>27</v>
      </c>
      <c r="R880" s="2">
        <v>0</v>
      </c>
      <c r="S880" s="2">
        <v>837.47</v>
      </c>
      <c r="T880" s="38" t="s">
        <v>2871</v>
      </c>
      <c r="U880" s="13"/>
    </row>
    <row r="881" spans="1:21" x14ac:dyDescent="0.3">
      <c r="A881" s="3" t="s">
        <v>1592</v>
      </c>
      <c r="B881" s="3" t="s">
        <v>1343</v>
      </c>
      <c r="C881" s="3">
        <v>42</v>
      </c>
      <c r="D881" s="3" t="s">
        <v>72</v>
      </c>
      <c r="E881" s="3">
        <v>209982</v>
      </c>
      <c r="F881" s="3">
        <v>75000</v>
      </c>
      <c r="G881" s="3">
        <v>240</v>
      </c>
      <c r="H881" s="3">
        <v>21.3</v>
      </c>
      <c r="I881" s="3" t="s">
        <v>73</v>
      </c>
      <c r="J881" s="3">
        <v>394</v>
      </c>
      <c r="K881" s="29">
        <v>45013</v>
      </c>
      <c r="L881" s="29" t="s">
        <v>317</v>
      </c>
      <c r="M881" s="3" t="s">
        <v>24</v>
      </c>
      <c r="N881" s="3">
        <v>1351.06</v>
      </c>
      <c r="O881" s="3" t="s">
        <v>60</v>
      </c>
      <c r="P881" s="3" t="s">
        <v>61</v>
      </c>
      <c r="Q881" s="3" t="s">
        <v>35</v>
      </c>
      <c r="R881" s="3">
        <v>2</v>
      </c>
      <c r="S881" s="3">
        <v>826.81</v>
      </c>
      <c r="T881" s="38" t="s">
        <v>2879</v>
      </c>
      <c r="U881" s="13"/>
    </row>
    <row r="882" spans="1:21" x14ac:dyDescent="0.3">
      <c r="A882" s="3" t="s">
        <v>2053</v>
      </c>
      <c r="B882" s="3" t="s">
        <v>2054</v>
      </c>
      <c r="C882" s="3">
        <v>29</v>
      </c>
      <c r="D882" s="3" t="s">
        <v>21</v>
      </c>
      <c r="E882" s="3">
        <v>105907</v>
      </c>
      <c r="F882" s="3">
        <v>400000</v>
      </c>
      <c r="G882" s="3">
        <v>240</v>
      </c>
      <c r="H882" s="3">
        <v>7.57</v>
      </c>
      <c r="I882" s="3" t="s">
        <v>66</v>
      </c>
      <c r="J882" s="3">
        <v>424</v>
      </c>
      <c r="K882" s="29">
        <v>44244</v>
      </c>
      <c r="L882" s="29" t="s">
        <v>977</v>
      </c>
      <c r="M882" s="3" t="s">
        <v>24</v>
      </c>
      <c r="N882" s="3">
        <v>3239.52</v>
      </c>
      <c r="O882" s="3" t="s">
        <v>105</v>
      </c>
      <c r="P882" s="3" t="s">
        <v>2999</v>
      </c>
      <c r="Q882" s="3" t="s">
        <v>35</v>
      </c>
      <c r="R882" s="3">
        <v>0</v>
      </c>
      <c r="S882" s="3">
        <v>567.17999999999995</v>
      </c>
      <c r="T882" s="38" t="s">
        <v>2879</v>
      </c>
      <c r="U882" s="13"/>
    </row>
    <row r="883" spans="1:21" x14ac:dyDescent="0.3">
      <c r="A883" s="3" t="s">
        <v>2094</v>
      </c>
      <c r="B883" s="3" t="s">
        <v>2095</v>
      </c>
      <c r="C883" s="3">
        <v>25</v>
      </c>
      <c r="D883" s="3" t="s">
        <v>72</v>
      </c>
      <c r="E883" s="3">
        <v>165793</v>
      </c>
      <c r="F883" s="3">
        <v>200000</v>
      </c>
      <c r="G883" s="3">
        <v>48</v>
      </c>
      <c r="H883" s="3">
        <v>8.4499999999999993</v>
      </c>
      <c r="I883" s="3" t="s">
        <v>22</v>
      </c>
      <c r="J883" s="3">
        <v>582</v>
      </c>
      <c r="K883" s="29">
        <v>45025</v>
      </c>
      <c r="L883" s="29" t="s">
        <v>2096</v>
      </c>
      <c r="M883" s="3" t="s">
        <v>24</v>
      </c>
      <c r="N883" s="3">
        <v>4924.9399999999996</v>
      </c>
      <c r="O883" s="3" t="s">
        <v>105</v>
      </c>
      <c r="P883" s="3" t="s">
        <v>2999</v>
      </c>
      <c r="Q883" s="3" t="s">
        <v>42</v>
      </c>
      <c r="R883" s="3">
        <v>2</v>
      </c>
      <c r="S883" s="3">
        <v>539.92999999999995</v>
      </c>
      <c r="T883" s="38" t="s">
        <v>2875</v>
      </c>
      <c r="U883" s="13"/>
    </row>
    <row r="884" spans="1:21" x14ac:dyDescent="0.3">
      <c r="A884" s="3" t="s">
        <v>2528</v>
      </c>
      <c r="B884" s="3" t="s">
        <v>1052</v>
      </c>
      <c r="C884" s="3">
        <v>58</v>
      </c>
      <c r="D884" s="3" t="s">
        <v>45</v>
      </c>
      <c r="E884" s="3">
        <v>34378</v>
      </c>
      <c r="F884" s="3">
        <v>50000</v>
      </c>
      <c r="G884" s="3">
        <v>180</v>
      </c>
      <c r="H884" s="3">
        <v>21.09</v>
      </c>
      <c r="I884" s="3" t="s">
        <v>73</v>
      </c>
      <c r="J884" s="3">
        <v>589</v>
      </c>
      <c r="K884" s="29">
        <v>45201</v>
      </c>
      <c r="L884" s="29" t="s">
        <v>2529</v>
      </c>
      <c r="M884" s="3" t="s">
        <v>33</v>
      </c>
      <c r="N884" s="3">
        <v>918.67</v>
      </c>
      <c r="O884" s="3" t="s">
        <v>54</v>
      </c>
      <c r="P884" s="3" t="s">
        <v>164</v>
      </c>
      <c r="Q884" s="3" t="s">
        <v>42</v>
      </c>
      <c r="R884" s="3">
        <v>1</v>
      </c>
      <c r="S884" s="3">
        <v>391.82</v>
      </c>
      <c r="T884" s="38" t="s">
        <v>2875</v>
      </c>
      <c r="U884" s="13"/>
    </row>
    <row r="885" spans="1:21" x14ac:dyDescent="0.3">
      <c r="A885" s="3" t="s">
        <v>933</v>
      </c>
      <c r="B885" s="3" t="s">
        <v>793</v>
      </c>
      <c r="C885" s="3">
        <v>51</v>
      </c>
      <c r="D885" s="3" t="s">
        <v>72</v>
      </c>
      <c r="E885" s="3">
        <v>41164</v>
      </c>
      <c r="F885" s="3">
        <v>100000</v>
      </c>
      <c r="G885" s="3">
        <v>12</v>
      </c>
      <c r="H885" s="3">
        <v>19.86</v>
      </c>
      <c r="I885" s="3" t="s">
        <v>38</v>
      </c>
      <c r="J885" s="3">
        <v>620</v>
      </c>
      <c r="K885" s="29">
        <v>44290</v>
      </c>
      <c r="L885" s="29" t="s">
        <v>934</v>
      </c>
      <c r="M885" s="3" t="s">
        <v>24</v>
      </c>
      <c r="N885" s="3">
        <v>9256.75</v>
      </c>
      <c r="O885" s="3" t="s">
        <v>60</v>
      </c>
      <c r="P885" s="3" t="s">
        <v>172</v>
      </c>
      <c r="Q885" s="3" t="s">
        <v>35</v>
      </c>
      <c r="R885" s="3">
        <v>1</v>
      </c>
      <c r="S885" s="3">
        <v>27.1</v>
      </c>
      <c r="T885" s="38" t="s">
        <v>2875</v>
      </c>
      <c r="U885" s="13"/>
    </row>
    <row r="886" spans="1:21" x14ac:dyDescent="0.3">
      <c r="A886" s="3" t="s">
        <v>28</v>
      </c>
      <c r="B886" s="3" t="s">
        <v>29</v>
      </c>
      <c r="C886" s="3">
        <v>57</v>
      </c>
      <c r="D886" s="3" t="s">
        <v>30</v>
      </c>
      <c r="E886" s="3">
        <v>202700</v>
      </c>
      <c r="F886" s="3">
        <v>1000000</v>
      </c>
      <c r="G886" s="3">
        <v>240</v>
      </c>
      <c r="H886" s="3">
        <v>13.58</v>
      </c>
      <c r="I886" s="3" t="s">
        <v>31</v>
      </c>
      <c r="J886" s="3">
        <v>584</v>
      </c>
      <c r="K886" s="29">
        <v>44893</v>
      </c>
      <c r="L886" s="29" t="s">
        <v>32</v>
      </c>
      <c r="M886" s="3" t="s">
        <v>33</v>
      </c>
      <c r="N886" s="3">
        <v>12131.35</v>
      </c>
      <c r="O886" s="3" t="s">
        <v>25</v>
      </c>
      <c r="P886" s="3" t="s">
        <v>34</v>
      </c>
      <c r="Q886" s="3" t="s">
        <v>35</v>
      </c>
      <c r="R886" s="3">
        <v>11</v>
      </c>
      <c r="S886" s="3">
        <v>0</v>
      </c>
      <c r="T886" s="38" t="s">
        <v>2875</v>
      </c>
      <c r="U886" s="13"/>
    </row>
    <row r="887" spans="1:21" x14ac:dyDescent="0.3">
      <c r="A887" s="3" t="s">
        <v>81</v>
      </c>
      <c r="B887" s="3" t="s">
        <v>82</v>
      </c>
      <c r="C887" s="3">
        <v>54</v>
      </c>
      <c r="D887" s="3" t="s">
        <v>30</v>
      </c>
      <c r="E887" s="3">
        <v>148085</v>
      </c>
      <c r="F887" s="3">
        <v>75000</v>
      </c>
      <c r="G887" s="3">
        <v>60</v>
      </c>
      <c r="H887" s="3">
        <v>19.7</v>
      </c>
      <c r="I887" s="3" t="s">
        <v>83</v>
      </c>
      <c r="J887" s="3">
        <v>456</v>
      </c>
      <c r="K887" s="29">
        <v>45283</v>
      </c>
      <c r="L887" s="29" t="s">
        <v>85</v>
      </c>
      <c r="M887" s="3" t="s">
        <v>24</v>
      </c>
      <c r="N887" s="3">
        <v>1974.54</v>
      </c>
      <c r="O887" s="3" t="s">
        <v>48</v>
      </c>
      <c r="P887" s="3" t="s">
        <v>86</v>
      </c>
      <c r="Q887" s="3" t="s">
        <v>42</v>
      </c>
      <c r="R887" s="3">
        <v>2</v>
      </c>
      <c r="S887" s="3">
        <v>0</v>
      </c>
      <c r="T887" s="38" t="s">
        <v>2879</v>
      </c>
      <c r="U887" s="13"/>
    </row>
    <row r="888" spans="1:21" x14ac:dyDescent="0.3">
      <c r="A888" s="3" t="s">
        <v>101</v>
      </c>
      <c r="B888" s="3" t="s">
        <v>102</v>
      </c>
      <c r="C888" s="3">
        <v>36</v>
      </c>
      <c r="D888" s="3" t="s">
        <v>21</v>
      </c>
      <c r="E888" s="3">
        <v>23234</v>
      </c>
      <c r="F888" s="3">
        <v>250000</v>
      </c>
      <c r="G888" s="3">
        <v>24</v>
      </c>
      <c r="H888" s="3">
        <v>14.96</v>
      </c>
      <c r="I888" s="3" t="s">
        <v>66</v>
      </c>
      <c r="J888" s="3">
        <v>797</v>
      </c>
      <c r="K888" s="29">
        <v>45165</v>
      </c>
      <c r="L888" s="29" t="s">
        <v>104</v>
      </c>
      <c r="M888" s="3" t="s">
        <v>24</v>
      </c>
      <c r="N888" s="3">
        <v>12116.91</v>
      </c>
      <c r="O888" s="3" t="s">
        <v>105</v>
      </c>
      <c r="P888" s="3" t="s">
        <v>2999</v>
      </c>
      <c r="Q888" s="3" t="s">
        <v>42</v>
      </c>
      <c r="R888" s="3">
        <v>0</v>
      </c>
      <c r="S888" s="3">
        <v>0</v>
      </c>
      <c r="T888" s="38" t="s">
        <v>2867</v>
      </c>
      <c r="U888" s="13"/>
    </row>
    <row r="889" spans="1:21" x14ac:dyDescent="0.3">
      <c r="A889" s="3" t="s">
        <v>110</v>
      </c>
      <c r="B889" s="3" t="s">
        <v>111</v>
      </c>
      <c r="C889" s="3">
        <v>34</v>
      </c>
      <c r="D889" s="3" t="s">
        <v>30</v>
      </c>
      <c r="E889" s="3">
        <v>155584</v>
      </c>
      <c r="F889" s="3">
        <v>400000</v>
      </c>
      <c r="G889" s="3">
        <v>36</v>
      </c>
      <c r="H889" s="3">
        <v>13.62</v>
      </c>
      <c r="I889" s="3" t="s">
        <v>66</v>
      </c>
      <c r="J889" s="3">
        <v>773</v>
      </c>
      <c r="K889" s="29">
        <v>44397</v>
      </c>
      <c r="L889" s="29" t="s">
        <v>113</v>
      </c>
      <c r="M889" s="3" t="s">
        <v>24</v>
      </c>
      <c r="N889" s="3">
        <v>13597.34</v>
      </c>
      <c r="O889" s="3" t="s">
        <v>105</v>
      </c>
      <c r="P889" s="3" t="s">
        <v>114</v>
      </c>
      <c r="Q889" s="3" t="s">
        <v>42</v>
      </c>
      <c r="R889" s="3">
        <v>1</v>
      </c>
      <c r="S889" s="3">
        <v>0</v>
      </c>
      <c r="T889" s="38" t="s">
        <v>2867</v>
      </c>
      <c r="U889" s="13"/>
    </row>
    <row r="890" spans="1:21" x14ac:dyDescent="0.3">
      <c r="A890" s="2" t="s">
        <v>115</v>
      </c>
      <c r="B890" s="2" t="s">
        <v>116</v>
      </c>
      <c r="C890" s="2">
        <v>27</v>
      </c>
      <c r="D890" s="2" t="s">
        <v>30</v>
      </c>
      <c r="E890" s="2">
        <v>58597</v>
      </c>
      <c r="F890" s="2">
        <v>300000</v>
      </c>
      <c r="G890" s="2">
        <v>180</v>
      </c>
      <c r="H890" s="2">
        <v>14.48</v>
      </c>
      <c r="I890" s="2" t="s">
        <v>73</v>
      </c>
      <c r="J890" s="2">
        <v>360</v>
      </c>
      <c r="K890" s="30">
        <v>44740</v>
      </c>
      <c r="L890" s="30" t="s">
        <v>117</v>
      </c>
      <c r="M890" s="2" t="s">
        <v>24</v>
      </c>
      <c r="N890" s="2">
        <v>4092.43</v>
      </c>
      <c r="O890" s="2" t="s">
        <v>105</v>
      </c>
      <c r="P890" s="2" t="s">
        <v>118</v>
      </c>
      <c r="Q890" s="2" t="s">
        <v>27</v>
      </c>
      <c r="R890" s="2">
        <v>0</v>
      </c>
      <c r="S890" s="2">
        <v>0</v>
      </c>
      <c r="T890" s="38" t="s">
        <v>2879</v>
      </c>
      <c r="U890" s="13"/>
    </row>
    <row r="891" spans="1:21" x14ac:dyDescent="0.3">
      <c r="A891" s="3" t="s">
        <v>119</v>
      </c>
      <c r="B891" s="3" t="s">
        <v>120</v>
      </c>
      <c r="C891" s="3">
        <v>49</v>
      </c>
      <c r="D891" s="3" t="s">
        <v>45</v>
      </c>
      <c r="E891" s="3">
        <v>188505</v>
      </c>
      <c r="F891" s="3">
        <v>1500000</v>
      </c>
      <c r="G891" s="3">
        <v>180</v>
      </c>
      <c r="H891" s="3">
        <v>9.74</v>
      </c>
      <c r="I891" s="3" t="s">
        <v>66</v>
      </c>
      <c r="J891" s="3">
        <v>522</v>
      </c>
      <c r="K891" s="29">
        <v>44321</v>
      </c>
      <c r="L891" s="29" t="s">
        <v>121</v>
      </c>
      <c r="M891" s="3" t="s">
        <v>122</v>
      </c>
      <c r="N891" s="3">
        <v>15881.33</v>
      </c>
      <c r="O891" s="3" t="s">
        <v>25</v>
      </c>
      <c r="P891" s="3" t="s">
        <v>123</v>
      </c>
      <c r="Q891" s="3" t="s">
        <v>100</v>
      </c>
      <c r="R891" s="3">
        <v>11</v>
      </c>
      <c r="S891" s="3">
        <v>0</v>
      </c>
      <c r="T891" s="38" t="s">
        <v>2879</v>
      </c>
      <c r="U891" s="13"/>
    </row>
    <row r="892" spans="1:21" x14ac:dyDescent="0.3">
      <c r="A892" s="2" t="s">
        <v>124</v>
      </c>
      <c r="B892" s="2" t="s">
        <v>125</v>
      </c>
      <c r="C892" s="2">
        <v>25</v>
      </c>
      <c r="D892" s="2" t="s">
        <v>45</v>
      </c>
      <c r="E892" s="2">
        <v>139987</v>
      </c>
      <c r="F892" s="2">
        <v>500000</v>
      </c>
      <c r="G892" s="2">
        <v>240</v>
      </c>
      <c r="H892" s="2">
        <v>9.7799999999999994</v>
      </c>
      <c r="I892" s="2" t="s">
        <v>22</v>
      </c>
      <c r="J892" s="2">
        <v>490</v>
      </c>
      <c r="K892" s="30">
        <v>44678</v>
      </c>
      <c r="L892" s="30" t="s">
        <v>126</v>
      </c>
      <c r="M892" s="2" t="s">
        <v>24</v>
      </c>
      <c r="N892" s="2">
        <v>4752.46</v>
      </c>
      <c r="O892" s="2" t="s">
        <v>25</v>
      </c>
      <c r="P892" s="2" t="s">
        <v>123</v>
      </c>
      <c r="Q892" s="2" t="s">
        <v>42</v>
      </c>
      <c r="R892" s="2">
        <v>0</v>
      </c>
      <c r="S892" s="2">
        <v>0</v>
      </c>
      <c r="T892" s="38" t="s">
        <v>2879</v>
      </c>
      <c r="U892" s="13"/>
    </row>
    <row r="893" spans="1:21" x14ac:dyDescent="0.3">
      <c r="A893" s="2" t="s">
        <v>147</v>
      </c>
      <c r="B893" s="2" t="s">
        <v>148</v>
      </c>
      <c r="C893" s="2">
        <v>45</v>
      </c>
      <c r="D893" s="2" t="s">
        <v>45</v>
      </c>
      <c r="E893" s="2">
        <v>159841</v>
      </c>
      <c r="F893" s="2">
        <v>100000</v>
      </c>
      <c r="G893" s="2">
        <v>120</v>
      </c>
      <c r="H893" s="2">
        <v>9.35</v>
      </c>
      <c r="I893" s="2" t="s">
        <v>66</v>
      </c>
      <c r="J893" s="2">
        <v>673</v>
      </c>
      <c r="K893" s="30">
        <v>44708</v>
      </c>
      <c r="L893" s="30" t="s">
        <v>150</v>
      </c>
      <c r="M893" s="2" t="s">
        <v>24</v>
      </c>
      <c r="N893" s="2">
        <v>1285.78</v>
      </c>
      <c r="O893" s="2" t="s">
        <v>25</v>
      </c>
      <c r="P893" s="2" t="s">
        <v>151</v>
      </c>
      <c r="Q893" s="2" t="s">
        <v>42</v>
      </c>
      <c r="R893" s="2">
        <v>0</v>
      </c>
      <c r="S893" s="2">
        <v>0</v>
      </c>
      <c r="T893" s="38" t="s">
        <v>2871</v>
      </c>
      <c r="U893" s="13"/>
    </row>
    <row r="894" spans="1:21" x14ac:dyDescent="0.3">
      <c r="A894" s="3" t="s">
        <v>160</v>
      </c>
      <c r="B894" s="3" t="s">
        <v>161</v>
      </c>
      <c r="C894" s="3">
        <v>23</v>
      </c>
      <c r="D894" s="3" t="s">
        <v>30</v>
      </c>
      <c r="E894" s="3">
        <v>119455</v>
      </c>
      <c r="F894" s="3">
        <v>250000</v>
      </c>
      <c r="G894" s="3">
        <v>60</v>
      </c>
      <c r="H894" s="3">
        <v>20.03</v>
      </c>
      <c r="I894" s="3" t="s">
        <v>66</v>
      </c>
      <c r="J894" s="3">
        <v>659</v>
      </c>
      <c r="K894" s="29">
        <v>44875</v>
      </c>
      <c r="L894" s="29" t="s">
        <v>163</v>
      </c>
      <c r="M894" s="3" t="s">
        <v>24</v>
      </c>
      <c r="N894" s="3">
        <v>6627.64</v>
      </c>
      <c r="O894" s="3" t="s">
        <v>54</v>
      </c>
      <c r="P894" s="3" t="s">
        <v>164</v>
      </c>
      <c r="Q894" s="3" t="s">
        <v>27</v>
      </c>
      <c r="R894" s="3">
        <v>2</v>
      </c>
      <c r="S894" s="3">
        <v>0</v>
      </c>
      <c r="T894" s="38" t="s">
        <v>2871</v>
      </c>
      <c r="U894" s="13"/>
    </row>
    <row r="895" spans="1:21" x14ac:dyDescent="0.3">
      <c r="A895" s="3" t="s">
        <v>168</v>
      </c>
      <c r="B895" s="3" t="s">
        <v>169</v>
      </c>
      <c r="C895" s="3">
        <v>24</v>
      </c>
      <c r="D895" s="3" t="s">
        <v>65</v>
      </c>
      <c r="E895" s="3">
        <v>15443</v>
      </c>
      <c r="F895" s="3">
        <v>500000</v>
      </c>
      <c r="G895" s="3">
        <v>240</v>
      </c>
      <c r="H895" s="3">
        <v>17.46</v>
      </c>
      <c r="I895" s="3" t="s">
        <v>83</v>
      </c>
      <c r="J895" s="3">
        <v>672</v>
      </c>
      <c r="K895" s="29">
        <v>44873</v>
      </c>
      <c r="L895" s="29" t="s">
        <v>171</v>
      </c>
      <c r="M895" s="3" t="s">
        <v>24</v>
      </c>
      <c r="N895" s="3">
        <v>7509.41</v>
      </c>
      <c r="O895" s="3" t="s">
        <v>60</v>
      </c>
      <c r="P895" s="3" t="s">
        <v>172</v>
      </c>
      <c r="Q895" s="3" t="s">
        <v>42</v>
      </c>
      <c r="R895" s="3">
        <v>2</v>
      </c>
      <c r="S895" s="3">
        <v>0</v>
      </c>
      <c r="T895" s="38" t="s">
        <v>2871</v>
      </c>
      <c r="U895" s="13"/>
    </row>
    <row r="896" spans="1:21" x14ac:dyDescent="0.3">
      <c r="A896" s="2" t="s">
        <v>173</v>
      </c>
      <c r="B896" s="2" t="s">
        <v>2943</v>
      </c>
      <c r="C896" s="2">
        <v>41</v>
      </c>
      <c r="D896" s="2" t="s">
        <v>45</v>
      </c>
      <c r="E896" s="2">
        <v>96077</v>
      </c>
      <c r="F896" s="2">
        <v>1000000</v>
      </c>
      <c r="G896" s="2">
        <v>120</v>
      </c>
      <c r="H896" s="2">
        <v>12.23</v>
      </c>
      <c r="I896" s="2" t="s">
        <v>66</v>
      </c>
      <c r="J896" s="2">
        <v>867</v>
      </c>
      <c r="K896" s="30">
        <v>44973</v>
      </c>
      <c r="L896" s="30" t="s">
        <v>175</v>
      </c>
      <c r="M896" s="2" t="s">
        <v>24</v>
      </c>
      <c r="N896" s="2">
        <v>14480.37</v>
      </c>
      <c r="O896" s="2" t="s">
        <v>105</v>
      </c>
      <c r="P896" s="2" t="s">
        <v>159</v>
      </c>
      <c r="Q896" s="2" t="s">
        <v>42</v>
      </c>
      <c r="R896" s="2">
        <v>1</v>
      </c>
      <c r="S896" s="2">
        <v>0</v>
      </c>
      <c r="T896" s="38" t="s">
        <v>2867</v>
      </c>
      <c r="U896" s="13"/>
    </row>
    <row r="897" spans="1:21" x14ac:dyDescent="0.3">
      <c r="A897" s="3" t="s">
        <v>176</v>
      </c>
      <c r="B897" s="3" t="s">
        <v>177</v>
      </c>
      <c r="C897" s="3">
        <v>61</v>
      </c>
      <c r="D897" s="3" t="s">
        <v>45</v>
      </c>
      <c r="E897" s="3">
        <v>93892</v>
      </c>
      <c r="F897" s="3">
        <v>300000</v>
      </c>
      <c r="G897" s="3">
        <v>240</v>
      </c>
      <c r="H897" s="3">
        <v>19.59</v>
      </c>
      <c r="I897" s="3" t="s">
        <v>66</v>
      </c>
      <c r="J897" s="3">
        <v>593</v>
      </c>
      <c r="K897" s="29">
        <v>44856</v>
      </c>
      <c r="L897" s="29" t="s">
        <v>170</v>
      </c>
      <c r="M897" s="3" t="s">
        <v>33</v>
      </c>
      <c r="N897" s="3">
        <v>5000.1000000000004</v>
      </c>
      <c r="O897" s="3" t="s">
        <v>105</v>
      </c>
      <c r="P897" s="3" t="s">
        <v>118</v>
      </c>
      <c r="Q897" s="3" t="s">
        <v>42</v>
      </c>
      <c r="R897" s="3">
        <v>2</v>
      </c>
      <c r="S897" s="3">
        <v>0</v>
      </c>
      <c r="T897" s="38" t="s">
        <v>2875</v>
      </c>
      <c r="U897" s="13"/>
    </row>
    <row r="898" spans="1:21" x14ac:dyDescent="0.3">
      <c r="A898" s="2" t="s">
        <v>188</v>
      </c>
      <c r="B898" s="2" t="s">
        <v>189</v>
      </c>
      <c r="C898" s="2">
        <v>36</v>
      </c>
      <c r="D898" s="2" t="s">
        <v>30</v>
      </c>
      <c r="E898" s="2">
        <v>225792</v>
      </c>
      <c r="F898" s="2">
        <v>1500000</v>
      </c>
      <c r="G898" s="2">
        <v>240</v>
      </c>
      <c r="H898" s="2">
        <v>14.24</v>
      </c>
      <c r="I898" s="2" t="s">
        <v>83</v>
      </c>
      <c r="J898" s="2" t="s">
        <v>2882</v>
      </c>
      <c r="K898" s="30">
        <v>45284</v>
      </c>
      <c r="L898" s="30" t="s">
        <v>191</v>
      </c>
      <c r="M898" s="2" t="s">
        <v>24</v>
      </c>
      <c r="N898" s="2">
        <v>18914.84</v>
      </c>
      <c r="O898" s="2" t="s">
        <v>60</v>
      </c>
      <c r="P898" s="2" t="s">
        <v>192</v>
      </c>
      <c r="Q898" s="2" t="s">
        <v>62</v>
      </c>
      <c r="R898" s="2">
        <v>1</v>
      </c>
      <c r="S898" s="2">
        <v>0</v>
      </c>
      <c r="T898" s="38" t="s">
        <v>2883</v>
      </c>
      <c r="U898" s="13"/>
    </row>
    <row r="899" spans="1:21" x14ac:dyDescent="0.3">
      <c r="A899" s="3" t="s">
        <v>193</v>
      </c>
      <c r="B899" s="3" t="s">
        <v>88</v>
      </c>
      <c r="C899" s="3">
        <v>50</v>
      </c>
      <c r="D899" s="3" t="s">
        <v>45</v>
      </c>
      <c r="E899" s="3">
        <v>228649</v>
      </c>
      <c r="F899" s="3">
        <v>1500000</v>
      </c>
      <c r="G899" s="3">
        <v>240</v>
      </c>
      <c r="H899" s="3">
        <v>13.69</v>
      </c>
      <c r="I899" s="3" t="s">
        <v>31</v>
      </c>
      <c r="J899" s="3">
        <v>462</v>
      </c>
      <c r="K899" s="29">
        <v>44703</v>
      </c>
      <c r="L899" s="29" t="s">
        <v>150</v>
      </c>
      <c r="M899" s="3" t="s">
        <v>33</v>
      </c>
      <c r="N899" s="3">
        <v>18316.05</v>
      </c>
      <c r="O899" s="3" t="s">
        <v>60</v>
      </c>
      <c r="P899" s="3" t="s">
        <v>2997</v>
      </c>
      <c r="Q899" s="3" t="s">
        <v>42</v>
      </c>
      <c r="R899" s="3">
        <v>1</v>
      </c>
      <c r="S899" s="3">
        <v>0</v>
      </c>
      <c r="T899" s="38" t="s">
        <v>2879</v>
      </c>
      <c r="U899" s="13"/>
    </row>
    <row r="900" spans="1:21" x14ac:dyDescent="0.3">
      <c r="A900" s="2" t="s">
        <v>195</v>
      </c>
      <c r="B900" s="2" t="s">
        <v>196</v>
      </c>
      <c r="C900" s="2">
        <v>55</v>
      </c>
      <c r="D900" s="2" t="s">
        <v>65</v>
      </c>
      <c r="E900" s="2">
        <v>179298</v>
      </c>
      <c r="F900" s="2">
        <v>150000</v>
      </c>
      <c r="G900" s="2">
        <v>60</v>
      </c>
      <c r="H900" s="2">
        <v>13.88</v>
      </c>
      <c r="I900" s="2" t="s">
        <v>66</v>
      </c>
      <c r="J900" s="2">
        <v>540</v>
      </c>
      <c r="K900" s="30">
        <v>44362</v>
      </c>
      <c r="L900" s="30" t="s">
        <v>198</v>
      </c>
      <c r="M900" s="2" t="s">
        <v>24</v>
      </c>
      <c r="N900" s="2">
        <v>3480.91</v>
      </c>
      <c r="O900" s="2" t="s">
        <v>48</v>
      </c>
      <c r="P900" s="2" t="s">
        <v>199</v>
      </c>
      <c r="Q900" s="2" t="s">
        <v>100</v>
      </c>
      <c r="R900" s="2">
        <v>5</v>
      </c>
      <c r="S900" s="2">
        <v>0</v>
      </c>
      <c r="T900" s="38" t="s">
        <v>2879</v>
      </c>
      <c r="U900" s="13"/>
    </row>
    <row r="901" spans="1:21" x14ac:dyDescent="0.3">
      <c r="A901" s="3" t="s">
        <v>208</v>
      </c>
      <c r="B901" s="3" t="s">
        <v>209</v>
      </c>
      <c r="C901" s="3">
        <v>53</v>
      </c>
      <c r="D901" s="3" t="s">
        <v>72</v>
      </c>
      <c r="E901" s="3"/>
      <c r="F901" s="3">
        <v>250000</v>
      </c>
      <c r="G901" s="3">
        <v>120</v>
      </c>
      <c r="H901" s="3">
        <v>18</v>
      </c>
      <c r="I901" s="3" t="s">
        <v>31</v>
      </c>
      <c r="J901" s="3">
        <v>430</v>
      </c>
      <c r="K901" s="29">
        <v>45003</v>
      </c>
      <c r="L901" s="29" t="s">
        <v>211</v>
      </c>
      <c r="M901" s="3" t="s">
        <v>24</v>
      </c>
      <c r="N901" s="3">
        <v>4504.63</v>
      </c>
      <c r="O901" s="3" t="s">
        <v>54</v>
      </c>
      <c r="P901" s="3" t="s">
        <v>99</v>
      </c>
      <c r="Q901" s="3" t="s">
        <v>42</v>
      </c>
      <c r="R901" s="3">
        <v>0</v>
      </c>
      <c r="S901" s="3">
        <v>0</v>
      </c>
      <c r="T901" s="38" t="s">
        <v>2879</v>
      </c>
      <c r="U901" s="13"/>
    </row>
    <row r="902" spans="1:21" x14ac:dyDescent="0.3">
      <c r="A902" s="3" t="s">
        <v>222</v>
      </c>
      <c r="B902" s="3" t="s">
        <v>223</v>
      </c>
      <c r="C902" s="3">
        <v>28</v>
      </c>
      <c r="D902" s="3" t="s">
        <v>45</v>
      </c>
      <c r="E902" s="3">
        <v>21731</v>
      </c>
      <c r="F902" s="3">
        <v>200000</v>
      </c>
      <c r="G902" s="3">
        <v>120</v>
      </c>
      <c r="H902" s="3">
        <v>13.25</v>
      </c>
      <c r="I902" s="3" t="s">
        <v>83</v>
      </c>
      <c r="J902" s="3">
        <v>377</v>
      </c>
      <c r="K902" s="29">
        <v>44814</v>
      </c>
      <c r="L902" s="29" t="s">
        <v>225</v>
      </c>
      <c r="M902" s="3" t="s">
        <v>33</v>
      </c>
      <c r="N902" s="3">
        <v>3015.78</v>
      </c>
      <c r="O902" s="3" t="s">
        <v>54</v>
      </c>
      <c r="P902" s="3" t="s">
        <v>2996</v>
      </c>
      <c r="Q902" s="3" t="s">
        <v>35</v>
      </c>
      <c r="R902" s="3">
        <v>1</v>
      </c>
      <c r="S902" s="3">
        <v>0</v>
      </c>
      <c r="T902" s="38" t="s">
        <v>2879</v>
      </c>
      <c r="U902" s="13"/>
    </row>
    <row r="903" spans="1:21" x14ac:dyDescent="0.3">
      <c r="A903" s="2" t="s">
        <v>226</v>
      </c>
      <c r="B903" s="2" t="s">
        <v>227</v>
      </c>
      <c r="C903" s="2">
        <v>58</v>
      </c>
      <c r="D903" s="2" t="s">
        <v>72</v>
      </c>
      <c r="E903" s="2">
        <v>106017</v>
      </c>
      <c r="F903" s="2">
        <v>500000</v>
      </c>
      <c r="G903" s="2">
        <v>120</v>
      </c>
      <c r="H903" s="2">
        <v>17.09</v>
      </c>
      <c r="I903" s="2" t="s">
        <v>22</v>
      </c>
      <c r="J903" s="2">
        <v>818</v>
      </c>
      <c r="K903" s="30">
        <v>45200</v>
      </c>
      <c r="L903" s="30" t="s">
        <v>207</v>
      </c>
      <c r="M903" s="2" t="s">
        <v>33</v>
      </c>
      <c r="N903" s="2">
        <v>8718.42</v>
      </c>
      <c r="O903" s="2" t="s">
        <v>48</v>
      </c>
      <c r="P903" s="2" t="s">
        <v>49</v>
      </c>
      <c r="Q903" s="2" t="s">
        <v>42</v>
      </c>
      <c r="R903" s="2">
        <v>1</v>
      </c>
      <c r="S903" s="2">
        <v>0</v>
      </c>
      <c r="T903" s="38" t="s">
        <v>2867</v>
      </c>
      <c r="U903" s="13"/>
    </row>
    <row r="904" spans="1:21" x14ac:dyDescent="0.3">
      <c r="A904" s="3" t="s">
        <v>228</v>
      </c>
      <c r="B904" s="3" t="s">
        <v>229</v>
      </c>
      <c r="C904" s="3">
        <v>62</v>
      </c>
      <c r="D904" s="3" t="s">
        <v>65</v>
      </c>
      <c r="E904" s="3">
        <v>200416</v>
      </c>
      <c r="F904" s="3">
        <v>100000</v>
      </c>
      <c r="G904" s="3">
        <v>120</v>
      </c>
      <c r="H904" s="3">
        <v>10.050000000000001</v>
      </c>
      <c r="I904" s="3" t="s">
        <v>66</v>
      </c>
      <c r="J904" s="3">
        <v>851</v>
      </c>
      <c r="K904" s="29">
        <v>44746</v>
      </c>
      <c r="L904" s="29" t="s">
        <v>231</v>
      </c>
      <c r="M904" s="3" t="s">
        <v>24</v>
      </c>
      <c r="N904" s="3">
        <v>1324.28</v>
      </c>
      <c r="O904" s="3" t="s">
        <v>60</v>
      </c>
      <c r="P904" s="3" t="s">
        <v>2997</v>
      </c>
      <c r="Q904" s="3" t="s">
        <v>35</v>
      </c>
      <c r="R904" s="3">
        <v>6</v>
      </c>
      <c r="S904" s="3">
        <v>0</v>
      </c>
      <c r="T904" s="38" t="s">
        <v>2867</v>
      </c>
      <c r="U904" s="13"/>
    </row>
    <row r="905" spans="1:21" x14ac:dyDescent="0.3">
      <c r="A905" s="3" t="s">
        <v>288</v>
      </c>
      <c r="B905" s="3" t="s">
        <v>289</v>
      </c>
      <c r="C905" s="3">
        <v>37</v>
      </c>
      <c r="D905" s="3" t="s">
        <v>65</v>
      </c>
      <c r="E905" s="3">
        <v>159510</v>
      </c>
      <c r="F905" s="3">
        <v>100000</v>
      </c>
      <c r="G905" s="3">
        <v>120</v>
      </c>
      <c r="H905" s="3">
        <v>10.26</v>
      </c>
      <c r="I905" s="3" t="s">
        <v>251</v>
      </c>
      <c r="J905" s="3">
        <v>371</v>
      </c>
      <c r="K905" s="29">
        <v>45236</v>
      </c>
      <c r="L905" s="29" t="s">
        <v>290</v>
      </c>
      <c r="M905" s="3" t="s">
        <v>33</v>
      </c>
      <c r="N905" s="3">
        <v>1335.95</v>
      </c>
      <c r="O905" s="3" t="s">
        <v>48</v>
      </c>
      <c r="P905" s="3" t="s">
        <v>80</v>
      </c>
      <c r="Q905" s="3" t="s">
        <v>27</v>
      </c>
      <c r="R905" s="3">
        <v>1</v>
      </c>
      <c r="S905" s="3">
        <v>0</v>
      </c>
      <c r="T905" s="38" t="s">
        <v>2879</v>
      </c>
      <c r="U905" s="13"/>
    </row>
    <row r="906" spans="1:21" x14ac:dyDescent="0.3">
      <c r="A906" s="2" t="s">
        <v>291</v>
      </c>
      <c r="B906" s="2" t="s">
        <v>292</v>
      </c>
      <c r="C906" s="2">
        <v>41</v>
      </c>
      <c r="D906" s="2" t="s">
        <v>45</v>
      </c>
      <c r="E906" s="2">
        <v>167023</v>
      </c>
      <c r="F906" s="2">
        <v>1000000</v>
      </c>
      <c r="G906" s="2">
        <v>180</v>
      </c>
      <c r="H906" s="2">
        <v>20.05</v>
      </c>
      <c r="I906" s="2" t="s">
        <v>31</v>
      </c>
      <c r="J906" s="2">
        <v>851</v>
      </c>
      <c r="K906" s="30">
        <v>44969</v>
      </c>
      <c r="L906" s="30" t="s">
        <v>47</v>
      </c>
      <c r="M906" s="2" t="s">
        <v>24</v>
      </c>
      <c r="N906" s="2">
        <v>17599.919999999998</v>
      </c>
      <c r="O906" s="2" t="s">
        <v>60</v>
      </c>
      <c r="P906" s="2" t="s">
        <v>61</v>
      </c>
      <c r="Q906" s="2" t="s">
        <v>42</v>
      </c>
      <c r="R906" s="2">
        <v>1</v>
      </c>
      <c r="S906" s="2">
        <v>0</v>
      </c>
      <c r="T906" s="38" t="s">
        <v>2867</v>
      </c>
      <c r="U906" s="13"/>
    </row>
    <row r="907" spans="1:21" x14ac:dyDescent="0.3">
      <c r="A907" s="2" t="s">
        <v>311</v>
      </c>
      <c r="B907" s="2" t="s">
        <v>312</v>
      </c>
      <c r="C907" s="2">
        <v>51</v>
      </c>
      <c r="D907" s="2" t="s">
        <v>21</v>
      </c>
      <c r="E907" s="2">
        <v>189808</v>
      </c>
      <c r="F907" s="2">
        <v>50000</v>
      </c>
      <c r="G907" s="2">
        <v>180</v>
      </c>
      <c r="H907" s="2">
        <v>20.57</v>
      </c>
      <c r="I907" s="2" t="s">
        <v>251</v>
      </c>
      <c r="J907" s="2">
        <v>375</v>
      </c>
      <c r="K907" s="30">
        <v>45065</v>
      </c>
      <c r="L907" s="30" t="s">
        <v>314</v>
      </c>
      <c r="M907" s="2" t="s">
        <v>122</v>
      </c>
      <c r="N907" s="2">
        <v>899.28</v>
      </c>
      <c r="O907" s="2" t="s">
        <v>60</v>
      </c>
      <c r="P907" s="2" t="s">
        <v>61</v>
      </c>
      <c r="Q907" s="2" t="s">
        <v>42</v>
      </c>
      <c r="R907" s="2">
        <v>2</v>
      </c>
      <c r="S907" s="2">
        <v>0</v>
      </c>
      <c r="T907" s="38" t="s">
        <v>2879</v>
      </c>
      <c r="U907" s="13"/>
    </row>
    <row r="908" spans="1:21" x14ac:dyDescent="0.3">
      <c r="A908" s="2" t="s">
        <v>318</v>
      </c>
      <c r="B908" s="2" t="s">
        <v>319</v>
      </c>
      <c r="C908" s="2">
        <v>60</v>
      </c>
      <c r="D908" s="2" t="s">
        <v>65</v>
      </c>
      <c r="E908" s="2">
        <v>233323</v>
      </c>
      <c r="F908" s="2">
        <v>200000</v>
      </c>
      <c r="G908" s="2">
        <v>48</v>
      </c>
      <c r="H908" s="2">
        <v>16.3</v>
      </c>
      <c r="I908" s="2" t="s">
        <v>38</v>
      </c>
      <c r="J908" s="2">
        <v>524</v>
      </c>
      <c r="K908" s="30">
        <v>44477</v>
      </c>
      <c r="L908" s="30" t="s">
        <v>321</v>
      </c>
      <c r="M908" s="2" t="s">
        <v>24</v>
      </c>
      <c r="N908" s="2">
        <v>5698.83</v>
      </c>
      <c r="O908" s="2" t="s">
        <v>105</v>
      </c>
      <c r="P908" s="2" t="s">
        <v>2999</v>
      </c>
      <c r="Q908" s="2" t="s">
        <v>42</v>
      </c>
      <c r="R908" s="2">
        <v>1</v>
      </c>
      <c r="S908" s="2">
        <v>0</v>
      </c>
      <c r="T908" s="38" t="s">
        <v>2879</v>
      </c>
      <c r="U908" s="13"/>
    </row>
    <row r="909" spans="1:21" x14ac:dyDescent="0.3">
      <c r="A909" s="2" t="s">
        <v>332</v>
      </c>
      <c r="B909" s="2" t="s">
        <v>333</v>
      </c>
      <c r="C909" s="2">
        <v>52</v>
      </c>
      <c r="D909" s="2" t="s">
        <v>72</v>
      </c>
      <c r="E909" s="2">
        <v>177410</v>
      </c>
      <c r="F909" s="2">
        <v>500000</v>
      </c>
      <c r="G909" s="2">
        <v>84</v>
      </c>
      <c r="H909" s="2">
        <v>20.77</v>
      </c>
      <c r="I909" s="2" t="s">
        <v>83</v>
      </c>
      <c r="J909" s="2">
        <v>364</v>
      </c>
      <c r="K909" s="30">
        <v>44435</v>
      </c>
      <c r="L909" s="30" t="s">
        <v>334</v>
      </c>
      <c r="M909" s="2" t="s">
        <v>24</v>
      </c>
      <c r="N909" s="2">
        <v>11336.08</v>
      </c>
      <c r="O909" s="2" t="s">
        <v>60</v>
      </c>
      <c r="P909" s="2" t="s">
        <v>61</v>
      </c>
      <c r="Q909" s="2" t="s">
        <v>42</v>
      </c>
      <c r="R909" s="2">
        <v>2</v>
      </c>
      <c r="S909" s="2">
        <v>0</v>
      </c>
      <c r="T909" s="38" t="s">
        <v>2879</v>
      </c>
      <c r="U909" s="13"/>
    </row>
    <row r="910" spans="1:21" x14ac:dyDescent="0.3">
      <c r="A910" s="3" t="s">
        <v>335</v>
      </c>
      <c r="B910" s="3" t="s">
        <v>336</v>
      </c>
      <c r="C910" s="3">
        <v>41</v>
      </c>
      <c r="D910" s="3" t="s">
        <v>65</v>
      </c>
      <c r="E910" s="3">
        <v>45440</v>
      </c>
      <c r="F910" s="3">
        <v>75000</v>
      </c>
      <c r="G910" s="3">
        <v>48</v>
      </c>
      <c r="H910" s="3">
        <v>20.37</v>
      </c>
      <c r="I910" s="3" t="s">
        <v>251</v>
      </c>
      <c r="J910" s="3">
        <v>697</v>
      </c>
      <c r="K910" s="29">
        <v>45055</v>
      </c>
      <c r="L910" s="29" t="s">
        <v>338</v>
      </c>
      <c r="M910" s="3" t="s">
        <v>122</v>
      </c>
      <c r="N910" s="3">
        <v>2297.09</v>
      </c>
      <c r="O910" s="3" t="s">
        <v>60</v>
      </c>
      <c r="P910" s="3" t="s">
        <v>61</v>
      </c>
      <c r="Q910" s="3" t="s">
        <v>42</v>
      </c>
      <c r="R910" s="3">
        <v>2</v>
      </c>
      <c r="S910" s="3">
        <v>0</v>
      </c>
      <c r="T910" s="38" t="s">
        <v>2871</v>
      </c>
      <c r="U910" s="13"/>
    </row>
    <row r="911" spans="1:21" x14ac:dyDescent="0.3">
      <c r="A911" s="2" t="s">
        <v>339</v>
      </c>
      <c r="B911" s="2" t="s">
        <v>140</v>
      </c>
      <c r="C911" s="2">
        <v>48</v>
      </c>
      <c r="D911" s="2" t="s">
        <v>72</v>
      </c>
      <c r="E911" s="2">
        <v>233547</v>
      </c>
      <c r="F911" s="2">
        <v>400000</v>
      </c>
      <c r="G911" s="2">
        <v>120</v>
      </c>
      <c r="H911" s="2">
        <v>21.12</v>
      </c>
      <c r="I911" s="2" t="s">
        <v>66</v>
      </c>
      <c r="J911" s="2">
        <v>333</v>
      </c>
      <c r="K911" s="30">
        <v>44680</v>
      </c>
      <c r="L911" s="30" t="s">
        <v>341</v>
      </c>
      <c r="M911" s="2" t="s">
        <v>24</v>
      </c>
      <c r="N911" s="2">
        <v>8029.55</v>
      </c>
      <c r="O911" s="2" t="s">
        <v>48</v>
      </c>
      <c r="P911" s="2" t="s">
        <v>86</v>
      </c>
      <c r="Q911" s="2" t="s">
        <v>100</v>
      </c>
      <c r="R911" s="2">
        <v>7</v>
      </c>
      <c r="S911" s="2">
        <v>0</v>
      </c>
      <c r="T911" s="38" t="s">
        <v>2879</v>
      </c>
      <c r="U911" s="13"/>
    </row>
    <row r="912" spans="1:21" x14ac:dyDescent="0.3">
      <c r="A912" s="3" t="s">
        <v>342</v>
      </c>
      <c r="B912" s="3" t="s">
        <v>343</v>
      </c>
      <c r="C912" s="3">
        <v>65</v>
      </c>
      <c r="D912" s="3" t="s">
        <v>21</v>
      </c>
      <c r="E912" s="3">
        <v>157728</v>
      </c>
      <c r="F912" s="3">
        <v>1000000</v>
      </c>
      <c r="G912" s="3">
        <v>84</v>
      </c>
      <c r="H912" s="3">
        <v>8.3800000000000008</v>
      </c>
      <c r="I912" s="3" t="s">
        <v>66</v>
      </c>
      <c r="J912" s="3">
        <v>494</v>
      </c>
      <c r="K912" s="29">
        <v>44631</v>
      </c>
      <c r="L912" s="29" t="s">
        <v>344</v>
      </c>
      <c r="M912" s="3" t="s">
        <v>24</v>
      </c>
      <c r="N912" s="3">
        <v>15776.21</v>
      </c>
      <c r="O912" s="3" t="s">
        <v>25</v>
      </c>
      <c r="P912" s="3" t="s">
        <v>2998</v>
      </c>
      <c r="Q912" s="3" t="s">
        <v>35</v>
      </c>
      <c r="R912" s="3">
        <v>1</v>
      </c>
      <c r="S912" s="3">
        <v>0</v>
      </c>
      <c r="T912" s="38" t="s">
        <v>2879</v>
      </c>
      <c r="U912" s="13"/>
    </row>
    <row r="913" spans="1:21" x14ac:dyDescent="0.3">
      <c r="A913" s="2" t="s">
        <v>351</v>
      </c>
      <c r="B913" s="2" t="s">
        <v>352</v>
      </c>
      <c r="C913" s="2">
        <v>25</v>
      </c>
      <c r="D913" s="2" t="s">
        <v>30</v>
      </c>
      <c r="E913" s="2">
        <v>209436</v>
      </c>
      <c r="F913" s="2">
        <v>300000</v>
      </c>
      <c r="G913" s="2">
        <v>240</v>
      </c>
      <c r="H913" s="2">
        <v>9.15</v>
      </c>
      <c r="I913" s="2" t="s">
        <v>22</v>
      </c>
      <c r="J913" s="2">
        <v>787</v>
      </c>
      <c r="K913" s="30">
        <v>44420</v>
      </c>
      <c r="L913" s="30" t="s">
        <v>353</v>
      </c>
      <c r="M913" s="2" t="s">
        <v>24</v>
      </c>
      <c r="N913" s="2">
        <v>2728.19</v>
      </c>
      <c r="O913" s="2" t="s">
        <v>60</v>
      </c>
      <c r="P913" s="2" t="s">
        <v>61</v>
      </c>
      <c r="Q913" s="2" t="s">
        <v>100</v>
      </c>
      <c r="R913" s="2">
        <v>8</v>
      </c>
      <c r="S913" s="2">
        <v>0</v>
      </c>
      <c r="T913" s="38" t="s">
        <v>2867</v>
      </c>
      <c r="U913" s="13"/>
    </row>
    <row r="914" spans="1:21" x14ac:dyDescent="0.3">
      <c r="A914" s="3" t="s">
        <v>354</v>
      </c>
      <c r="B914" s="3" t="s">
        <v>355</v>
      </c>
      <c r="C914" s="3">
        <v>61</v>
      </c>
      <c r="D914" s="3" t="s">
        <v>72</v>
      </c>
      <c r="E914" s="3">
        <v>205642</v>
      </c>
      <c r="F914" s="3">
        <v>2000000</v>
      </c>
      <c r="G914" s="3">
        <v>240</v>
      </c>
      <c r="H914" s="3">
        <v>11.87</v>
      </c>
      <c r="I914" s="3" t="s">
        <v>46</v>
      </c>
      <c r="J914" s="3">
        <v>362</v>
      </c>
      <c r="K914" s="29">
        <v>44418</v>
      </c>
      <c r="L914" s="29" t="s">
        <v>357</v>
      </c>
      <c r="M914" s="3" t="s">
        <v>24</v>
      </c>
      <c r="N914" s="3">
        <v>21840.73</v>
      </c>
      <c r="O914" s="3" t="s">
        <v>60</v>
      </c>
      <c r="P914" s="3" t="s">
        <v>2997</v>
      </c>
      <c r="Q914" s="3" t="s">
        <v>42</v>
      </c>
      <c r="R914" s="3">
        <v>1</v>
      </c>
      <c r="S914" s="3">
        <v>0</v>
      </c>
      <c r="T914" s="38" t="s">
        <v>2879</v>
      </c>
      <c r="U914" s="13"/>
    </row>
    <row r="915" spans="1:21" x14ac:dyDescent="0.3">
      <c r="A915" s="3" t="s">
        <v>362</v>
      </c>
      <c r="B915" s="3" t="s">
        <v>363</v>
      </c>
      <c r="C915" s="3">
        <v>28</v>
      </c>
      <c r="D915" s="3" t="s">
        <v>72</v>
      </c>
      <c r="E915" s="3">
        <v>238554</v>
      </c>
      <c r="F915" s="3">
        <v>1000000</v>
      </c>
      <c r="G915" s="3">
        <v>240</v>
      </c>
      <c r="H915" s="3">
        <v>17.95</v>
      </c>
      <c r="I915" s="3" t="s">
        <v>83</v>
      </c>
      <c r="J915" s="3">
        <v>740</v>
      </c>
      <c r="K915" s="29">
        <v>45125</v>
      </c>
      <c r="L915" s="29" t="s">
        <v>365</v>
      </c>
      <c r="M915" s="3" t="s">
        <v>24</v>
      </c>
      <c r="N915" s="3">
        <v>15394.65</v>
      </c>
      <c r="O915" s="3" t="s">
        <v>60</v>
      </c>
      <c r="P915" s="3" t="s">
        <v>192</v>
      </c>
      <c r="Q915" s="3" t="s">
        <v>42</v>
      </c>
      <c r="R915" s="3">
        <v>1</v>
      </c>
      <c r="S915" s="3">
        <v>0</v>
      </c>
      <c r="T915" s="38" t="s">
        <v>2871</v>
      </c>
      <c r="U915" s="13"/>
    </row>
    <row r="916" spans="1:21" x14ac:dyDescent="0.3">
      <c r="A916" s="3" t="s">
        <v>376</v>
      </c>
      <c r="B916" s="3" t="s">
        <v>377</v>
      </c>
      <c r="C916" s="3">
        <v>57</v>
      </c>
      <c r="D916" s="3" t="s">
        <v>45</v>
      </c>
      <c r="E916" s="3">
        <v>175844</v>
      </c>
      <c r="F916" s="3">
        <v>1000000</v>
      </c>
      <c r="G916" s="3">
        <v>240</v>
      </c>
      <c r="H916" s="3">
        <v>7.88</v>
      </c>
      <c r="I916" s="3" t="s">
        <v>66</v>
      </c>
      <c r="J916" s="3">
        <v>329</v>
      </c>
      <c r="K916" s="29">
        <v>44829</v>
      </c>
      <c r="L916" s="29" t="s">
        <v>182</v>
      </c>
      <c r="M916" s="3" t="s">
        <v>122</v>
      </c>
      <c r="N916" s="3">
        <v>8289.8700000000008</v>
      </c>
      <c r="O916" s="3" t="s">
        <v>105</v>
      </c>
      <c r="P916" s="3" t="s">
        <v>130</v>
      </c>
      <c r="Q916" s="3" t="s">
        <v>42</v>
      </c>
      <c r="R916" s="3">
        <v>2</v>
      </c>
      <c r="S916" s="3">
        <v>0</v>
      </c>
      <c r="T916" s="38" t="s">
        <v>2879</v>
      </c>
      <c r="U916" s="13"/>
    </row>
    <row r="917" spans="1:21" x14ac:dyDescent="0.3">
      <c r="A917" s="2" t="s">
        <v>404</v>
      </c>
      <c r="B917" s="2" t="s">
        <v>405</v>
      </c>
      <c r="C917" s="2">
        <v>33</v>
      </c>
      <c r="D917" s="2" t="s">
        <v>65</v>
      </c>
      <c r="E917" s="2">
        <v>136622</v>
      </c>
      <c r="F917" s="2">
        <v>2000000</v>
      </c>
      <c r="G917" s="2">
        <v>180</v>
      </c>
      <c r="H917" s="2">
        <v>17.38</v>
      </c>
      <c r="I917" s="2" t="s">
        <v>38</v>
      </c>
      <c r="J917" s="2" t="s">
        <v>2882</v>
      </c>
      <c r="K917" s="30">
        <v>45102</v>
      </c>
      <c r="L917" s="30" t="s">
        <v>364</v>
      </c>
      <c r="M917" s="2" t="s">
        <v>33</v>
      </c>
      <c r="N917" s="2">
        <v>31320.31</v>
      </c>
      <c r="O917" s="2" t="s">
        <v>105</v>
      </c>
      <c r="P917" s="2" t="s">
        <v>118</v>
      </c>
      <c r="Q917" s="2" t="s">
        <v>27</v>
      </c>
      <c r="R917" s="2">
        <v>0</v>
      </c>
      <c r="S917" s="2">
        <v>0</v>
      </c>
      <c r="T917" s="38" t="s">
        <v>2883</v>
      </c>
      <c r="U917" s="13"/>
    </row>
    <row r="918" spans="1:21" x14ac:dyDescent="0.3">
      <c r="A918" s="3" t="s">
        <v>431</v>
      </c>
      <c r="B918" s="3" t="s">
        <v>432</v>
      </c>
      <c r="C918" s="3">
        <v>65</v>
      </c>
      <c r="D918" s="3" t="s">
        <v>45</v>
      </c>
      <c r="E918" s="3">
        <v>130499</v>
      </c>
      <c r="F918" s="3">
        <v>400000</v>
      </c>
      <c r="G918" s="3">
        <v>60</v>
      </c>
      <c r="H918" s="3">
        <v>18.78</v>
      </c>
      <c r="I918" s="3" t="s">
        <v>73</v>
      </c>
      <c r="J918" s="3">
        <v>465</v>
      </c>
      <c r="K918" s="29">
        <v>44709</v>
      </c>
      <c r="L918" s="29" t="s">
        <v>433</v>
      </c>
      <c r="M918" s="3" t="s">
        <v>24</v>
      </c>
      <c r="N918" s="3">
        <v>10327.86</v>
      </c>
      <c r="O918" s="3" t="s">
        <v>105</v>
      </c>
      <c r="P918" s="3" t="s">
        <v>2999</v>
      </c>
      <c r="Q918" s="3" t="s">
        <v>42</v>
      </c>
      <c r="R918" s="3">
        <v>0</v>
      </c>
      <c r="S918" s="3">
        <v>0</v>
      </c>
      <c r="T918" s="38" t="s">
        <v>2879</v>
      </c>
      <c r="U918" s="13"/>
    </row>
    <row r="919" spans="1:21" x14ac:dyDescent="0.3">
      <c r="A919" s="2" t="s">
        <v>434</v>
      </c>
      <c r="B919" s="2" t="s">
        <v>435</v>
      </c>
      <c r="C919" s="2">
        <v>45</v>
      </c>
      <c r="D919" s="2" t="s">
        <v>45</v>
      </c>
      <c r="E919" s="2">
        <v>41893</v>
      </c>
      <c r="F919" s="2">
        <v>1500000</v>
      </c>
      <c r="G919" s="2">
        <v>240</v>
      </c>
      <c r="H919" s="2">
        <v>19.84</v>
      </c>
      <c r="I919" s="2" t="s">
        <v>66</v>
      </c>
      <c r="J919" s="2">
        <v>385</v>
      </c>
      <c r="K919" s="30">
        <v>45248</v>
      </c>
      <c r="L919" s="30" t="s">
        <v>437</v>
      </c>
      <c r="M919" s="2"/>
      <c r="N919" s="2">
        <v>25294.12</v>
      </c>
      <c r="O919" s="2" t="s">
        <v>105</v>
      </c>
      <c r="P919" s="2" t="s">
        <v>130</v>
      </c>
      <c r="Q919" s="2" t="s">
        <v>100</v>
      </c>
      <c r="R919" s="2">
        <v>7</v>
      </c>
      <c r="S919" s="2">
        <v>0</v>
      </c>
      <c r="T919" s="38" t="s">
        <v>2879</v>
      </c>
      <c r="U919" s="13"/>
    </row>
    <row r="920" spans="1:21" x14ac:dyDescent="0.3">
      <c r="A920" s="2" t="s">
        <v>448</v>
      </c>
      <c r="B920" s="2" t="s">
        <v>449</v>
      </c>
      <c r="C920" s="2">
        <v>26</v>
      </c>
      <c r="D920" s="2" t="s">
        <v>450</v>
      </c>
      <c r="E920" s="2">
        <v>234332</v>
      </c>
      <c r="F920" s="2">
        <v>400000</v>
      </c>
      <c r="G920" s="2">
        <v>240</v>
      </c>
      <c r="H920" s="2">
        <v>7.74</v>
      </c>
      <c r="I920" s="2" t="s">
        <v>83</v>
      </c>
      <c r="J920" s="2">
        <v>447</v>
      </c>
      <c r="K920" s="30">
        <v>44919</v>
      </c>
      <c r="L920" s="30" t="s">
        <v>451</v>
      </c>
      <c r="M920" s="2" t="s">
        <v>24</v>
      </c>
      <c r="N920" s="2">
        <v>3281.33</v>
      </c>
      <c r="O920" s="2" t="s">
        <v>48</v>
      </c>
      <c r="P920" s="2" t="s">
        <v>80</v>
      </c>
      <c r="Q920" s="2" t="s">
        <v>42</v>
      </c>
      <c r="R920" s="2">
        <v>0</v>
      </c>
      <c r="S920" s="2">
        <v>0</v>
      </c>
      <c r="T920" s="38" t="s">
        <v>2879</v>
      </c>
      <c r="U920" s="13"/>
    </row>
    <row r="921" spans="1:21" x14ac:dyDescent="0.3">
      <c r="A921" s="3" t="s">
        <v>466</v>
      </c>
      <c r="B921" s="3" t="s">
        <v>467</v>
      </c>
      <c r="C921" s="3">
        <v>43</v>
      </c>
      <c r="D921" s="3" t="s">
        <v>30</v>
      </c>
      <c r="E921" s="3">
        <v>145076</v>
      </c>
      <c r="F921" s="3">
        <v>1500000</v>
      </c>
      <c r="G921" s="3">
        <v>180</v>
      </c>
      <c r="H921" s="3">
        <v>12.83</v>
      </c>
      <c r="I921" s="3" t="s">
        <v>66</v>
      </c>
      <c r="J921" s="3">
        <v>384</v>
      </c>
      <c r="K921" s="29">
        <v>44566</v>
      </c>
      <c r="L921" s="29" t="s">
        <v>469</v>
      </c>
      <c r="M921" s="3" t="s">
        <v>24</v>
      </c>
      <c r="N921" s="3">
        <v>18811.150000000001</v>
      </c>
      <c r="O921" s="3" t="s">
        <v>60</v>
      </c>
      <c r="P921" s="3" t="s">
        <v>172</v>
      </c>
      <c r="Q921" s="3" t="s">
        <v>35</v>
      </c>
      <c r="R921" s="3">
        <v>6</v>
      </c>
      <c r="S921" s="3">
        <v>0</v>
      </c>
      <c r="T921" s="38" t="s">
        <v>2879</v>
      </c>
      <c r="U921" s="13"/>
    </row>
    <row r="922" spans="1:21" x14ac:dyDescent="0.3">
      <c r="A922" s="3" t="s">
        <v>473</v>
      </c>
      <c r="B922" s="3" t="s">
        <v>474</v>
      </c>
      <c r="C922" s="3">
        <v>62</v>
      </c>
      <c r="D922" s="3" t="s">
        <v>72</v>
      </c>
      <c r="E922" s="3"/>
      <c r="F922" s="3">
        <v>1000000</v>
      </c>
      <c r="G922" s="3">
        <v>120</v>
      </c>
      <c r="H922" s="3">
        <v>12.77</v>
      </c>
      <c r="I922" s="3" t="s">
        <v>251</v>
      </c>
      <c r="J922" s="3">
        <v>331</v>
      </c>
      <c r="K922" s="29">
        <v>45094</v>
      </c>
      <c r="L922" s="29" t="s">
        <v>475</v>
      </c>
      <c r="M922" s="3" t="s">
        <v>24</v>
      </c>
      <c r="N922" s="3">
        <v>14795.72</v>
      </c>
      <c r="O922" s="3" t="s">
        <v>105</v>
      </c>
      <c r="P922" s="3" t="s">
        <v>2999</v>
      </c>
      <c r="Q922" s="3" t="s">
        <v>42</v>
      </c>
      <c r="R922" s="3">
        <v>2</v>
      </c>
      <c r="S922" s="3">
        <v>0</v>
      </c>
      <c r="T922" s="38" t="s">
        <v>2879</v>
      </c>
      <c r="U922" s="13"/>
    </row>
    <row r="923" spans="1:21" x14ac:dyDescent="0.3">
      <c r="A923" s="2" t="s">
        <v>489</v>
      </c>
      <c r="B923" s="2" t="s">
        <v>490</v>
      </c>
      <c r="C923" s="2">
        <v>45</v>
      </c>
      <c r="D923" s="2" t="s">
        <v>45</v>
      </c>
      <c r="E923" s="2">
        <v>165019</v>
      </c>
      <c r="F923" s="2">
        <v>250000</v>
      </c>
      <c r="G923" s="2">
        <v>180</v>
      </c>
      <c r="H923" s="2">
        <v>19.149999999999999</v>
      </c>
      <c r="I923" s="2" t="s">
        <v>251</v>
      </c>
      <c r="J923" s="2">
        <v>388</v>
      </c>
      <c r="K923" s="30">
        <v>45273</v>
      </c>
      <c r="L923" s="30" t="s">
        <v>492</v>
      </c>
      <c r="M923" s="2" t="s">
        <v>122</v>
      </c>
      <c r="N923" s="2">
        <v>4234.57</v>
      </c>
      <c r="O923" s="2" t="s">
        <v>25</v>
      </c>
      <c r="P923" s="2" t="s">
        <v>151</v>
      </c>
      <c r="Q923" s="2" t="s">
        <v>27</v>
      </c>
      <c r="R923" s="2">
        <v>1</v>
      </c>
      <c r="S923" s="2">
        <v>0</v>
      </c>
      <c r="T923" s="38" t="s">
        <v>2879</v>
      </c>
      <c r="U923" s="13"/>
    </row>
    <row r="924" spans="1:21" x14ac:dyDescent="0.3">
      <c r="A924" s="3" t="s">
        <v>514</v>
      </c>
      <c r="B924" s="3" t="s">
        <v>515</v>
      </c>
      <c r="C924" s="3">
        <v>25</v>
      </c>
      <c r="D924" s="3" t="s">
        <v>21</v>
      </c>
      <c r="E924" s="3">
        <v>115702</v>
      </c>
      <c r="F924" s="3">
        <v>750000</v>
      </c>
      <c r="G924" s="3">
        <v>120</v>
      </c>
      <c r="H924" s="3">
        <v>11.1</v>
      </c>
      <c r="I924" s="3" t="s">
        <v>251</v>
      </c>
      <c r="J924" s="3">
        <v>635</v>
      </c>
      <c r="K924" s="29">
        <v>44523</v>
      </c>
      <c r="L924" s="29" t="s">
        <v>517</v>
      </c>
      <c r="M924" s="3" t="s">
        <v>24</v>
      </c>
      <c r="N924" s="3">
        <v>10373.75</v>
      </c>
      <c r="O924" s="3" t="s">
        <v>54</v>
      </c>
      <c r="P924" s="3" t="s">
        <v>183</v>
      </c>
      <c r="Q924" s="3" t="s">
        <v>42</v>
      </c>
      <c r="R924" s="3">
        <v>0</v>
      </c>
      <c r="S924" s="3">
        <v>0</v>
      </c>
      <c r="T924" s="38" t="s">
        <v>2875</v>
      </c>
      <c r="U924" s="13"/>
    </row>
    <row r="925" spans="1:21" x14ac:dyDescent="0.3">
      <c r="A925" s="2" t="s">
        <v>532</v>
      </c>
      <c r="B925" s="2" t="s">
        <v>533</v>
      </c>
      <c r="C925" s="2">
        <v>42</v>
      </c>
      <c r="D925" s="2" t="s">
        <v>45</v>
      </c>
      <c r="E925" s="2">
        <v>98500</v>
      </c>
      <c r="F925" s="2">
        <v>100000</v>
      </c>
      <c r="G925" s="2">
        <v>120</v>
      </c>
      <c r="H925" s="2">
        <v>21.86</v>
      </c>
      <c r="I925" s="2" t="s">
        <v>66</v>
      </c>
      <c r="J925" s="2">
        <v>644</v>
      </c>
      <c r="K925" s="30">
        <v>44810</v>
      </c>
      <c r="L925" s="30" t="s">
        <v>535</v>
      </c>
      <c r="M925" s="2" t="s">
        <v>33</v>
      </c>
      <c r="N925" s="2">
        <v>2057.4499999999998</v>
      </c>
      <c r="O925" s="2" t="s">
        <v>54</v>
      </c>
      <c r="P925" s="2" t="s">
        <v>99</v>
      </c>
      <c r="Q925" s="2" t="s">
        <v>27</v>
      </c>
      <c r="R925" s="2">
        <v>2</v>
      </c>
      <c r="S925" s="2">
        <v>0</v>
      </c>
      <c r="T925" s="38" t="s">
        <v>2875</v>
      </c>
      <c r="U925" s="13"/>
    </row>
    <row r="926" spans="1:21" x14ac:dyDescent="0.3">
      <c r="A926" s="3" t="s">
        <v>543</v>
      </c>
      <c r="B926" s="3" t="s">
        <v>544</v>
      </c>
      <c r="C926" s="3">
        <v>48</v>
      </c>
      <c r="D926" s="3" t="s">
        <v>30</v>
      </c>
      <c r="E926" s="3">
        <v>122577</v>
      </c>
      <c r="F926" s="3">
        <v>500000</v>
      </c>
      <c r="G926" s="3">
        <v>180</v>
      </c>
      <c r="H926" s="3">
        <v>20.16</v>
      </c>
      <c r="I926" s="3" t="s">
        <v>46</v>
      </c>
      <c r="J926" s="3">
        <v>441</v>
      </c>
      <c r="K926" s="29">
        <v>45176</v>
      </c>
      <c r="L926" s="29" t="s">
        <v>234</v>
      </c>
      <c r="M926" s="3" t="s">
        <v>24</v>
      </c>
      <c r="N926" s="3">
        <v>8840.64</v>
      </c>
      <c r="O926" s="3" t="s">
        <v>54</v>
      </c>
      <c r="P926" s="3" t="s">
        <v>2996</v>
      </c>
      <c r="Q926" s="3" t="s">
        <v>100</v>
      </c>
      <c r="R926" s="3">
        <v>8</v>
      </c>
      <c r="S926" s="3">
        <v>0</v>
      </c>
      <c r="T926" s="38" t="s">
        <v>2879</v>
      </c>
      <c r="U926" s="13"/>
    </row>
    <row r="927" spans="1:21" x14ac:dyDescent="0.3">
      <c r="A927" s="2" t="s">
        <v>545</v>
      </c>
      <c r="B927" s="2" t="s">
        <v>546</v>
      </c>
      <c r="C927" s="2">
        <v>33</v>
      </c>
      <c r="D927" s="2" t="s">
        <v>65</v>
      </c>
      <c r="E927" s="2">
        <v>154756</v>
      </c>
      <c r="F927" s="2">
        <v>250000</v>
      </c>
      <c r="G927" s="2">
        <v>240</v>
      </c>
      <c r="H927" s="2">
        <v>12.64</v>
      </c>
      <c r="I927" s="2" t="s">
        <v>66</v>
      </c>
      <c r="J927" s="2">
        <v>795</v>
      </c>
      <c r="K927" s="30">
        <v>44808</v>
      </c>
      <c r="L927" s="30" t="s">
        <v>547</v>
      </c>
      <c r="M927" s="2" t="s">
        <v>33</v>
      </c>
      <c r="N927" s="2">
        <v>2865.06</v>
      </c>
      <c r="O927" s="2" t="s">
        <v>105</v>
      </c>
      <c r="P927" s="2" t="s">
        <v>159</v>
      </c>
      <c r="Q927" s="2" t="s">
        <v>42</v>
      </c>
      <c r="R927" s="2">
        <v>1</v>
      </c>
      <c r="S927" s="2">
        <v>0</v>
      </c>
      <c r="T927" s="38" t="s">
        <v>2867</v>
      </c>
      <c r="U927" s="13"/>
    </row>
    <row r="928" spans="1:21" x14ac:dyDescent="0.3">
      <c r="A928" s="3" t="s">
        <v>548</v>
      </c>
      <c r="B928" s="3" t="s">
        <v>549</v>
      </c>
      <c r="C928" s="3">
        <v>35</v>
      </c>
      <c r="D928" s="3" t="s">
        <v>65</v>
      </c>
      <c r="E928" s="3">
        <v>98110</v>
      </c>
      <c r="F928" s="3">
        <v>400000</v>
      </c>
      <c r="G928" s="3">
        <v>84</v>
      </c>
      <c r="H928" s="3">
        <v>15.63</v>
      </c>
      <c r="I928" s="3" t="s">
        <v>66</v>
      </c>
      <c r="J928" s="3">
        <v>594</v>
      </c>
      <c r="K928" s="29">
        <v>44974</v>
      </c>
      <c r="L928" s="29" t="s">
        <v>550</v>
      </c>
      <c r="M928" s="3" t="s">
        <v>24</v>
      </c>
      <c r="N928" s="3">
        <v>7860.76</v>
      </c>
      <c r="O928" s="3" t="s">
        <v>25</v>
      </c>
      <c r="P928" s="3" t="s">
        <v>123</v>
      </c>
      <c r="Q928" s="3" t="s">
        <v>42</v>
      </c>
      <c r="R928" s="3">
        <v>2</v>
      </c>
      <c r="S928" s="3">
        <v>0</v>
      </c>
      <c r="T928" s="38" t="s">
        <v>2875</v>
      </c>
      <c r="U928" s="13"/>
    </row>
    <row r="929" spans="1:21" x14ac:dyDescent="0.3">
      <c r="A929" s="2" t="s">
        <v>565</v>
      </c>
      <c r="B929" s="2" t="s">
        <v>566</v>
      </c>
      <c r="C929" s="2">
        <v>43</v>
      </c>
      <c r="D929" s="2" t="s">
        <v>21</v>
      </c>
      <c r="E929" s="2">
        <v>134104</v>
      </c>
      <c r="F929" s="2">
        <v>1000000</v>
      </c>
      <c r="G929" s="2">
        <v>240</v>
      </c>
      <c r="H929" s="2">
        <v>15.1</v>
      </c>
      <c r="I929" s="2" t="s">
        <v>251</v>
      </c>
      <c r="J929" s="2">
        <v>816</v>
      </c>
      <c r="K929" s="30">
        <v>44427</v>
      </c>
      <c r="L929" s="30" t="s">
        <v>568</v>
      </c>
      <c r="M929" s="2" t="s">
        <v>33</v>
      </c>
      <c r="N929" s="2">
        <v>13241.84</v>
      </c>
      <c r="O929" s="2" t="s">
        <v>60</v>
      </c>
      <c r="P929" s="2" t="s">
        <v>61</v>
      </c>
      <c r="Q929" s="2" t="s">
        <v>42</v>
      </c>
      <c r="R929" s="2">
        <v>0</v>
      </c>
      <c r="S929" s="2">
        <v>0</v>
      </c>
      <c r="T929" s="38" t="s">
        <v>2867</v>
      </c>
      <c r="U929" s="13"/>
    </row>
    <row r="930" spans="1:21" x14ac:dyDescent="0.3">
      <c r="A930" s="2" t="s">
        <v>583</v>
      </c>
      <c r="B930" s="2" t="s">
        <v>584</v>
      </c>
      <c r="C930" s="2">
        <v>32</v>
      </c>
      <c r="D930" s="2" t="s">
        <v>21</v>
      </c>
      <c r="E930" s="2">
        <v>238998</v>
      </c>
      <c r="F930" s="2">
        <v>500000</v>
      </c>
      <c r="G930" s="2">
        <v>180</v>
      </c>
      <c r="H930" s="2">
        <v>9.19</v>
      </c>
      <c r="I930" s="2" t="s">
        <v>83</v>
      </c>
      <c r="J930" s="2">
        <v>897</v>
      </c>
      <c r="K930" s="30">
        <v>44310</v>
      </c>
      <c r="L930" s="30" t="s">
        <v>585</v>
      </c>
      <c r="M930" s="2" t="s">
        <v>33</v>
      </c>
      <c r="N930" s="2">
        <v>5128</v>
      </c>
      <c r="O930" s="2" t="s">
        <v>60</v>
      </c>
      <c r="P930" s="2" t="s">
        <v>172</v>
      </c>
      <c r="Q930" s="2" t="s">
        <v>62</v>
      </c>
      <c r="R930" s="2">
        <v>2</v>
      </c>
      <c r="S930" s="2">
        <v>0</v>
      </c>
      <c r="T930" s="38" t="s">
        <v>2867</v>
      </c>
      <c r="U930" s="13"/>
    </row>
    <row r="931" spans="1:21" x14ac:dyDescent="0.3">
      <c r="A931" s="2" t="s">
        <v>598</v>
      </c>
      <c r="B931" s="2" t="s">
        <v>599</v>
      </c>
      <c r="C931" s="2">
        <v>56</v>
      </c>
      <c r="D931" s="2" t="s">
        <v>65</v>
      </c>
      <c r="E931" s="2">
        <v>230838</v>
      </c>
      <c r="F931" s="2">
        <v>150000</v>
      </c>
      <c r="G931" s="2">
        <v>48</v>
      </c>
      <c r="H931" s="2">
        <v>14.18</v>
      </c>
      <c r="I931" s="2" t="s">
        <v>251</v>
      </c>
      <c r="J931" s="2">
        <v>582</v>
      </c>
      <c r="K931" s="30">
        <v>45055</v>
      </c>
      <c r="L931" s="30" t="s">
        <v>600</v>
      </c>
      <c r="M931" s="2" t="s">
        <v>24</v>
      </c>
      <c r="N931" s="2">
        <v>4112.53</v>
      </c>
      <c r="O931" s="2" t="s">
        <v>105</v>
      </c>
      <c r="P931" s="2" t="s">
        <v>114</v>
      </c>
      <c r="Q931" s="2" t="s">
        <v>62</v>
      </c>
      <c r="R931" s="2">
        <v>0</v>
      </c>
      <c r="S931" s="2">
        <v>0</v>
      </c>
      <c r="T931" s="38" t="s">
        <v>2875</v>
      </c>
      <c r="U931" s="13"/>
    </row>
    <row r="932" spans="1:21" x14ac:dyDescent="0.3">
      <c r="A932" s="2" t="s">
        <v>604</v>
      </c>
      <c r="B932" s="2" t="s">
        <v>605</v>
      </c>
      <c r="C932" s="2">
        <v>54</v>
      </c>
      <c r="D932" s="2" t="s">
        <v>21</v>
      </c>
      <c r="E932" s="2">
        <v>76384</v>
      </c>
      <c r="F932" s="2">
        <v>1500000</v>
      </c>
      <c r="G932" s="2">
        <v>84</v>
      </c>
      <c r="H932" s="2">
        <v>15.87</v>
      </c>
      <c r="I932" s="2" t="s">
        <v>38</v>
      </c>
      <c r="J932" s="2">
        <v>542</v>
      </c>
      <c r="K932" s="30">
        <v>44649</v>
      </c>
      <c r="L932" s="30" t="s">
        <v>273</v>
      </c>
      <c r="M932" s="2" t="s">
        <v>24</v>
      </c>
      <c r="N932" s="2">
        <v>29682.14</v>
      </c>
      <c r="O932" s="2" t="s">
        <v>48</v>
      </c>
      <c r="P932" s="2" t="s">
        <v>86</v>
      </c>
      <c r="Q932" s="2" t="s">
        <v>42</v>
      </c>
      <c r="R932" s="2">
        <v>2</v>
      </c>
      <c r="S932" s="2">
        <v>0</v>
      </c>
      <c r="T932" s="38" t="s">
        <v>2879</v>
      </c>
      <c r="U932" s="13"/>
    </row>
    <row r="933" spans="1:21" x14ac:dyDescent="0.3">
      <c r="A933" s="3" t="s">
        <v>626</v>
      </c>
      <c r="B933" s="3" t="s">
        <v>627</v>
      </c>
      <c r="C933" s="3">
        <v>23</v>
      </c>
      <c r="D933" s="3" t="s">
        <v>21</v>
      </c>
      <c r="E933" s="3">
        <v>160047</v>
      </c>
      <c r="F933" s="3">
        <v>750000</v>
      </c>
      <c r="G933" s="3">
        <v>120</v>
      </c>
      <c r="H933" s="3">
        <v>11.78</v>
      </c>
      <c r="I933" s="3" t="s">
        <v>83</v>
      </c>
      <c r="J933" s="3">
        <v>637</v>
      </c>
      <c r="K933" s="29">
        <v>44700</v>
      </c>
      <c r="L933" s="29" t="s">
        <v>628</v>
      </c>
      <c r="M933" s="3" t="s">
        <v>24</v>
      </c>
      <c r="N933" s="3">
        <v>10665.15</v>
      </c>
      <c r="O933" s="3" t="s">
        <v>105</v>
      </c>
      <c r="P933" s="3" t="s">
        <v>118</v>
      </c>
      <c r="Q933" s="3" t="s">
        <v>100</v>
      </c>
      <c r="R933" s="3">
        <v>9</v>
      </c>
      <c r="S933" s="3">
        <v>0</v>
      </c>
      <c r="T933" s="38" t="s">
        <v>2875</v>
      </c>
      <c r="U933" s="13"/>
    </row>
    <row r="934" spans="1:21" x14ac:dyDescent="0.3">
      <c r="A934" s="3" t="s">
        <v>648</v>
      </c>
      <c r="B934" s="3" t="s">
        <v>649</v>
      </c>
      <c r="C934" s="3">
        <v>53</v>
      </c>
      <c r="D934" s="3" t="s">
        <v>65</v>
      </c>
      <c r="E934" s="3">
        <v>184058</v>
      </c>
      <c r="F934" s="3">
        <v>2000000</v>
      </c>
      <c r="G934" s="3">
        <v>84</v>
      </c>
      <c r="H934" s="3">
        <v>15.7</v>
      </c>
      <c r="I934" s="3" t="s">
        <v>22</v>
      </c>
      <c r="J934" s="3">
        <v>840</v>
      </c>
      <c r="K934" s="29">
        <v>45170</v>
      </c>
      <c r="L934" s="29" t="s">
        <v>650</v>
      </c>
      <c r="M934" s="3" t="s">
        <v>24</v>
      </c>
      <c r="N934" s="3">
        <v>39383.160000000003</v>
      </c>
      <c r="O934" s="3" t="s">
        <v>25</v>
      </c>
      <c r="P934" s="3" t="s">
        <v>34</v>
      </c>
      <c r="Q934" s="3" t="s">
        <v>42</v>
      </c>
      <c r="R934" s="3">
        <v>0</v>
      </c>
      <c r="S934" s="3">
        <v>0</v>
      </c>
      <c r="T934" s="38" t="s">
        <v>2867</v>
      </c>
      <c r="U934" s="13"/>
    </row>
    <row r="935" spans="1:21" x14ac:dyDescent="0.3">
      <c r="A935" s="3" t="s">
        <v>660</v>
      </c>
      <c r="B935" s="3" t="s">
        <v>661</v>
      </c>
      <c r="C935" s="3">
        <v>27</v>
      </c>
      <c r="D935" s="3" t="s">
        <v>45</v>
      </c>
      <c r="E935" s="3">
        <v>92431</v>
      </c>
      <c r="F935" s="3">
        <v>2000000</v>
      </c>
      <c r="G935" s="3">
        <v>48</v>
      </c>
      <c r="H935" s="3">
        <v>17.84</v>
      </c>
      <c r="I935" s="3" t="s">
        <v>22</v>
      </c>
      <c r="J935" s="3">
        <v>574</v>
      </c>
      <c r="K935" s="29">
        <v>44512</v>
      </c>
      <c r="L935" s="29" t="s">
        <v>662</v>
      </c>
      <c r="M935" s="3" t="s">
        <v>24</v>
      </c>
      <c r="N935" s="3">
        <v>58582.92</v>
      </c>
      <c r="O935" s="3" t="s">
        <v>105</v>
      </c>
      <c r="P935" s="3" t="s">
        <v>118</v>
      </c>
      <c r="Q935" s="3" t="s">
        <v>27</v>
      </c>
      <c r="R935" s="3">
        <v>2</v>
      </c>
      <c r="S935" s="3">
        <v>0</v>
      </c>
      <c r="T935" s="38" t="s">
        <v>2875</v>
      </c>
      <c r="U935" s="13"/>
    </row>
    <row r="936" spans="1:21" x14ac:dyDescent="0.3">
      <c r="A936" s="2" t="s">
        <v>674</v>
      </c>
      <c r="B936" s="2" t="s">
        <v>675</v>
      </c>
      <c r="C936" s="2">
        <v>47</v>
      </c>
      <c r="D936" s="2" t="s">
        <v>21</v>
      </c>
      <c r="E936" s="2">
        <v>235623</v>
      </c>
      <c r="F936" s="2">
        <v>750000</v>
      </c>
      <c r="G936" s="2">
        <v>120</v>
      </c>
      <c r="H936" s="2">
        <v>19.16</v>
      </c>
      <c r="I936" s="2" t="s">
        <v>38</v>
      </c>
      <c r="J936" s="2">
        <v>750</v>
      </c>
      <c r="K936" s="30">
        <v>44475</v>
      </c>
      <c r="L936" s="30" t="s">
        <v>677</v>
      </c>
      <c r="M936" s="2" t="s">
        <v>24</v>
      </c>
      <c r="N936" s="2">
        <v>14078.95</v>
      </c>
      <c r="O936" s="2" t="s">
        <v>48</v>
      </c>
      <c r="P936" s="2" t="s">
        <v>80</v>
      </c>
      <c r="Q936" s="2" t="s">
        <v>35</v>
      </c>
      <c r="R936" s="2">
        <v>10</v>
      </c>
      <c r="S936" s="2">
        <v>0</v>
      </c>
      <c r="T936" s="38" t="s">
        <v>2867</v>
      </c>
      <c r="U936" s="13"/>
    </row>
    <row r="937" spans="1:21" x14ac:dyDescent="0.3">
      <c r="A937" s="2" t="s">
        <v>687</v>
      </c>
      <c r="B937" s="2" t="s">
        <v>610</v>
      </c>
      <c r="C937" s="2">
        <v>56</v>
      </c>
      <c r="D937" s="2" t="s">
        <v>72</v>
      </c>
      <c r="E937" s="2">
        <v>222282</v>
      </c>
      <c r="F937" s="2">
        <v>250000</v>
      </c>
      <c r="G937" s="2">
        <v>240</v>
      </c>
      <c r="H937" s="2">
        <v>16.11</v>
      </c>
      <c r="I937" s="2" t="s">
        <v>22</v>
      </c>
      <c r="J937" s="2">
        <v>411</v>
      </c>
      <c r="K937" s="30">
        <v>44287</v>
      </c>
      <c r="L937" s="30" t="s">
        <v>688</v>
      </c>
      <c r="M937" s="2" t="s">
        <v>24</v>
      </c>
      <c r="N937" s="2">
        <v>3498.79</v>
      </c>
      <c r="O937" s="2" t="s">
        <v>105</v>
      </c>
      <c r="P937" s="2" t="s">
        <v>130</v>
      </c>
      <c r="Q937" s="2" t="s">
        <v>42</v>
      </c>
      <c r="R937" s="2">
        <v>0</v>
      </c>
      <c r="S937" s="2">
        <v>0</v>
      </c>
      <c r="T937" s="38" t="s">
        <v>2879</v>
      </c>
      <c r="U937" s="13"/>
    </row>
    <row r="938" spans="1:21" x14ac:dyDescent="0.3">
      <c r="A938" s="3" t="s">
        <v>689</v>
      </c>
      <c r="B938" s="3" t="s">
        <v>690</v>
      </c>
      <c r="C938" s="3">
        <v>43</v>
      </c>
      <c r="D938" s="3" t="s">
        <v>65</v>
      </c>
      <c r="E938" s="3">
        <v>42772</v>
      </c>
      <c r="F938" s="3">
        <v>50000</v>
      </c>
      <c r="G938" s="3">
        <v>24</v>
      </c>
      <c r="H938" s="3">
        <v>11.25</v>
      </c>
      <c r="I938" s="3" t="s">
        <v>83</v>
      </c>
      <c r="J938" s="3">
        <v>756</v>
      </c>
      <c r="K938" s="29">
        <v>45221</v>
      </c>
      <c r="L938" s="29" t="s">
        <v>692</v>
      </c>
      <c r="M938" s="3" t="s">
        <v>24</v>
      </c>
      <c r="N938" s="3">
        <v>2336.1999999999998</v>
      </c>
      <c r="O938" s="3" t="s">
        <v>48</v>
      </c>
      <c r="P938" s="3" t="s">
        <v>80</v>
      </c>
      <c r="Q938" s="3" t="s">
        <v>42</v>
      </c>
      <c r="R938" s="3">
        <v>1</v>
      </c>
      <c r="S938" s="3">
        <v>0</v>
      </c>
      <c r="T938" s="38" t="s">
        <v>2867</v>
      </c>
      <c r="U938" s="13"/>
    </row>
    <row r="939" spans="1:21" x14ac:dyDescent="0.3">
      <c r="A939" s="3" t="s">
        <v>697</v>
      </c>
      <c r="B939" s="3" t="s">
        <v>698</v>
      </c>
      <c r="C939" s="3">
        <v>28</v>
      </c>
      <c r="D939" s="3" t="s">
        <v>65</v>
      </c>
      <c r="E939" s="3">
        <v>204266</v>
      </c>
      <c r="F939" s="3">
        <v>1500000</v>
      </c>
      <c r="G939" s="3">
        <v>180</v>
      </c>
      <c r="H939" s="3">
        <v>12.12</v>
      </c>
      <c r="I939" s="3" t="s">
        <v>66</v>
      </c>
      <c r="J939" s="3">
        <v>345</v>
      </c>
      <c r="K939" s="29">
        <v>44420</v>
      </c>
      <c r="L939" s="29" t="s">
        <v>699</v>
      </c>
      <c r="M939" s="3" t="s">
        <v>24</v>
      </c>
      <c r="N939" s="3">
        <v>18118.490000000002</v>
      </c>
      <c r="O939" s="3" t="s">
        <v>25</v>
      </c>
      <c r="P939" s="3" t="s">
        <v>26</v>
      </c>
      <c r="Q939" s="3" t="s">
        <v>42</v>
      </c>
      <c r="R939" s="3">
        <v>1</v>
      </c>
      <c r="S939" s="3">
        <v>0</v>
      </c>
      <c r="T939" s="38" t="s">
        <v>2879</v>
      </c>
      <c r="U939" s="13"/>
    </row>
    <row r="940" spans="1:21" x14ac:dyDescent="0.3">
      <c r="A940" s="2" t="s">
        <v>700</v>
      </c>
      <c r="B940" s="2" t="s">
        <v>701</v>
      </c>
      <c r="C940" s="2">
        <v>55</v>
      </c>
      <c r="D940" s="2" t="s">
        <v>30</v>
      </c>
      <c r="E940" s="2"/>
      <c r="F940" s="2">
        <v>100000</v>
      </c>
      <c r="G940" s="2">
        <v>84</v>
      </c>
      <c r="H940" s="2">
        <v>15.62</v>
      </c>
      <c r="I940" s="2" t="s">
        <v>31</v>
      </c>
      <c r="J940" s="2">
        <v>537</v>
      </c>
      <c r="K940" s="30">
        <v>45082</v>
      </c>
      <c r="L940" s="30" t="s">
        <v>703</v>
      </c>
      <c r="M940" s="2" t="s">
        <v>33</v>
      </c>
      <c r="N940" s="2">
        <v>1964.62</v>
      </c>
      <c r="O940" s="2" t="s">
        <v>60</v>
      </c>
      <c r="P940" s="2" t="s">
        <v>192</v>
      </c>
      <c r="Q940" s="2" t="s">
        <v>42</v>
      </c>
      <c r="R940" s="2">
        <v>0</v>
      </c>
      <c r="S940" s="2">
        <v>0</v>
      </c>
      <c r="T940" s="38" t="s">
        <v>2879</v>
      </c>
      <c r="U940" s="13"/>
    </row>
    <row r="941" spans="1:21" x14ac:dyDescent="0.3">
      <c r="A941" s="2" t="s">
        <v>722</v>
      </c>
      <c r="B941" s="2" t="s">
        <v>723</v>
      </c>
      <c r="C941" s="2">
        <v>41</v>
      </c>
      <c r="D941" s="2" t="s">
        <v>72</v>
      </c>
      <c r="E941" s="2">
        <v>132894</v>
      </c>
      <c r="F941" s="2">
        <v>200000</v>
      </c>
      <c r="G941" s="2">
        <v>84</v>
      </c>
      <c r="H941" s="2">
        <v>20</v>
      </c>
      <c r="I941" s="2" t="s">
        <v>22</v>
      </c>
      <c r="J941" s="2">
        <v>749</v>
      </c>
      <c r="K941" s="30">
        <v>44915</v>
      </c>
      <c r="L941" s="30" t="s">
        <v>725</v>
      </c>
      <c r="M941" s="2" t="s">
        <v>24</v>
      </c>
      <c r="N941" s="2">
        <v>4441.24</v>
      </c>
      <c r="O941" s="2" t="s">
        <v>25</v>
      </c>
      <c r="P941" s="2" t="s">
        <v>34</v>
      </c>
      <c r="Q941" s="2" t="s">
        <v>100</v>
      </c>
      <c r="R941" s="2">
        <v>3</v>
      </c>
      <c r="S941" s="2">
        <v>0</v>
      </c>
      <c r="T941" s="38" t="s">
        <v>2871</v>
      </c>
      <c r="U941" s="13"/>
    </row>
    <row r="942" spans="1:21" x14ac:dyDescent="0.3">
      <c r="A942" s="3" t="s">
        <v>726</v>
      </c>
      <c r="B942" s="3" t="s">
        <v>727</v>
      </c>
      <c r="C942" s="3">
        <v>32</v>
      </c>
      <c r="D942" s="3" t="s">
        <v>45</v>
      </c>
      <c r="E942" s="3">
        <v>51499</v>
      </c>
      <c r="F942" s="3">
        <v>2000000</v>
      </c>
      <c r="G942" s="3">
        <v>48</v>
      </c>
      <c r="H942" s="3">
        <v>19.3</v>
      </c>
      <c r="I942" s="3" t="s">
        <v>46</v>
      </c>
      <c r="J942" s="3">
        <v>883</v>
      </c>
      <c r="K942" s="29">
        <v>44541</v>
      </c>
      <c r="L942" s="29" t="s">
        <v>728</v>
      </c>
      <c r="M942" s="3" t="s">
        <v>24</v>
      </c>
      <c r="N942" s="3">
        <v>60117.31</v>
      </c>
      <c r="O942" s="3" t="s">
        <v>48</v>
      </c>
      <c r="P942" s="3" t="s">
        <v>375</v>
      </c>
      <c r="Q942" s="3" t="s">
        <v>27</v>
      </c>
      <c r="R942" s="3">
        <v>1</v>
      </c>
      <c r="S942" s="3">
        <v>0</v>
      </c>
      <c r="T942" s="38" t="s">
        <v>2867</v>
      </c>
      <c r="U942" s="13"/>
    </row>
    <row r="943" spans="1:21" x14ac:dyDescent="0.3">
      <c r="A943" s="2" t="s">
        <v>752</v>
      </c>
      <c r="B943" s="2" t="s">
        <v>753</v>
      </c>
      <c r="C943" s="2">
        <v>62</v>
      </c>
      <c r="D943" s="2" t="s">
        <v>30</v>
      </c>
      <c r="E943" s="2">
        <v>122927</v>
      </c>
      <c r="F943" s="2">
        <v>750000</v>
      </c>
      <c r="G943" s="2">
        <v>180</v>
      </c>
      <c r="H943" s="2">
        <v>19.97</v>
      </c>
      <c r="I943" s="2" t="s">
        <v>22</v>
      </c>
      <c r="J943" s="2">
        <v>402</v>
      </c>
      <c r="K943" s="30">
        <v>44916</v>
      </c>
      <c r="L943" s="30" t="s">
        <v>754</v>
      </c>
      <c r="M943" s="2" t="s">
        <v>122</v>
      </c>
      <c r="N943" s="2">
        <v>13155.6</v>
      </c>
      <c r="O943" s="2" t="s">
        <v>105</v>
      </c>
      <c r="P943" s="2" t="s">
        <v>114</v>
      </c>
      <c r="Q943" s="2" t="s">
        <v>35</v>
      </c>
      <c r="R943" s="2">
        <v>9</v>
      </c>
      <c r="S943" s="2">
        <v>0</v>
      </c>
      <c r="T943" s="38" t="s">
        <v>2879</v>
      </c>
      <c r="U943" s="13"/>
    </row>
    <row r="944" spans="1:21" x14ac:dyDescent="0.3">
      <c r="A944" s="2" t="s">
        <v>764</v>
      </c>
      <c r="B944" s="2" t="s">
        <v>765</v>
      </c>
      <c r="C944" s="2">
        <v>47</v>
      </c>
      <c r="D944" s="2" t="s">
        <v>45</v>
      </c>
      <c r="E944" s="2">
        <v>90101</v>
      </c>
      <c r="F944" s="2">
        <v>1000000</v>
      </c>
      <c r="G944" s="2">
        <v>240</v>
      </c>
      <c r="H944" s="2">
        <v>18.62</v>
      </c>
      <c r="I944" s="2" t="s">
        <v>73</v>
      </c>
      <c r="J944" s="2">
        <v>711</v>
      </c>
      <c r="K944" s="30">
        <v>44509</v>
      </c>
      <c r="L944" s="30" t="s">
        <v>264</v>
      </c>
      <c r="M944" s="2" t="s">
        <v>33</v>
      </c>
      <c r="N944" s="2">
        <v>15911.88</v>
      </c>
      <c r="O944" s="2" t="s">
        <v>25</v>
      </c>
      <c r="P944" s="2" t="s">
        <v>123</v>
      </c>
      <c r="Q944" s="2" t="s">
        <v>100</v>
      </c>
      <c r="R944" s="2">
        <v>8</v>
      </c>
      <c r="S944" s="2">
        <v>0</v>
      </c>
      <c r="T944" s="38" t="s">
        <v>2871</v>
      </c>
      <c r="U944" s="13"/>
    </row>
    <row r="945" spans="1:21" x14ac:dyDescent="0.3">
      <c r="A945" s="3" t="s">
        <v>776</v>
      </c>
      <c r="B945" s="3" t="s">
        <v>777</v>
      </c>
      <c r="C945" s="3">
        <v>24</v>
      </c>
      <c r="D945" s="3" t="s">
        <v>72</v>
      </c>
      <c r="E945" s="3">
        <v>79107</v>
      </c>
      <c r="F945" s="3">
        <v>50000</v>
      </c>
      <c r="G945" s="3">
        <v>180</v>
      </c>
      <c r="H945" s="3">
        <v>12.78</v>
      </c>
      <c r="I945" s="3" t="s">
        <v>251</v>
      </c>
      <c r="J945" s="3">
        <v>483</v>
      </c>
      <c r="K945" s="29">
        <v>45055</v>
      </c>
      <c r="L945" s="29" t="s">
        <v>313</v>
      </c>
      <c r="M945" s="3" t="s">
        <v>24</v>
      </c>
      <c r="N945" s="3">
        <v>625.4</v>
      </c>
      <c r="O945" s="3" t="s">
        <v>25</v>
      </c>
      <c r="P945" s="3" t="s">
        <v>123</v>
      </c>
      <c r="Q945" s="3" t="s">
        <v>100</v>
      </c>
      <c r="R945" s="3">
        <v>12</v>
      </c>
      <c r="S945" s="3">
        <v>0</v>
      </c>
      <c r="T945" s="38" t="s">
        <v>2879</v>
      </c>
      <c r="U945" s="13"/>
    </row>
    <row r="946" spans="1:21" x14ac:dyDescent="0.3">
      <c r="A946" s="3" t="s">
        <v>787</v>
      </c>
      <c r="B946" s="3" t="s">
        <v>788</v>
      </c>
      <c r="C946" s="3">
        <v>28</v>
      </c>
      <c r="D946" s="3" t="s">
        <v>30</v>
      </c>
      <c r="E946" s="3">
        <v>153887</v>
      </c>
      <c r="F946" s="3">
        <v>150000</v>
      </c>
      <c r="G946" s="3">
        <v>120</v>
      </c>
      <c r="H946" s="3">
        <v>14.63</v>
      </c>
      <c r="I946" s="3" t="s">
        <v>46</v>
      </c>
      <c r="J946" s="3">
        <v>445</v>
      </c>
      <c r="K946" s="29">
        <v>44671</v>
      </c>
      <c r="L946" s="29" t="s">
        <v>789</v>
      </c>
      <c r="M946" s="3" t="s">
        <v>24</v>
      </c>
      <c r="N946" s="3">
        <v>2386.15</v>
      </c>
      <c r="O946" s="3" t="s">
        <v>48</v>
      </c>
      <c r="P946" s="3" t="s">
        <v>49</v>
      </c>
      <c r="Q946" s="3" t="s">
        <v>42</v>
      </c>
      <c r="R946" s="3">
        <v>0</v>
      </c>
      <c r="S946" s="3">
        <v>0</v>
      </c>
      <c r="T946" s="38" t="s">
        <v>2879</v>
      </c>
      <c r="U946" s="13"/>
    </row>
    <row r="947" spans="1:21" x14ac:dyDescent="0.3">
      <c r="A947" s="3" t="s">
        <v>792</v>
      </c>
      <c r="B947" s="3" t="s">
        <v>793</v>
      </c>
      <c r="C947" s="3">
        <v>42</v>
      </c>
      <c r="D947" s="3" t="s">
        <v>65</v>
      </c>
      <c r="E947" s="3">
        <v>198691</v>
      </c>
      <c r="F947" s="3">
        <v>1500000</v>
      </c>
      <c r="G947" s="3">
        <v>84</v>
      </c>
      <c r="H947" s="3">
        <v>12.11</v>
      </c>
      <c r="I947" s="3" t="s">
        <v>66</v>
      </c>
      <c r="J947" s="3">
        <v>539</v>
      </c>
      <c r="K947" s="29">
        <v>44420</v>
      </c>
      <c r="L947" s="29" t="s">
        <v>567</v>
      </c>
      <c r="M947" s="3" t="s">
        <v>24</v>
      </c>
      <c r="N947" s="3">
        <v>26567.42</v>
      </c>
      <c r="O947" s="3" t="s">
        <v>25</v>
      </c>
      <c r="P947" s="3" t="s">
        <v>34</v>
      </c>
      <c r="Q947" s="3"/>
      <c r="R947" s="3">
        <v>0</v>
      </c>
      <c r="S947" s="3">
        <v>0</v>
      </c>
      <c r="T947" s="38" t="s">
        <v>2879</v>
      </c>
      <c r="U947" s="13"/>
    </row>
    <row r="948" spans="1:21" x14ac:dyDescent="0.3">
      <c r="A948" s="2" t="s">
        <v>812</v>
      </c>
      <c r="B948" s="2" t="s">
        <v>617</v>
      </c>
      <c r="C948" s="2">
        <v>30</v>
      </c>
      <c r="D948" s="2" t="s">
        <v>65</v>
      </c>
      <c r="E948" s="2">
        <v>67286</v>
      </c>
      <c r="F948" s="2">
        <v>1000000</v>
      </c>
      <c r="G948" s="2">
        <v>240</v>
      </c>
      <c r="H948" s="2">
        <v>11.11</v>
      </c>
      <c r="I948" s="2" t="s">
        <v>46</v>
      </c>
      <c r="J948" s="2">
        <v>691</v>
      </c>
      <c r="K948" s="30">
        <v>45189</v>
      </c>
      <c r="L948" s="30" t="s">
        <v>814</v>
      </c>
      <c r="M948" s="2" t="s">
        <v>24</v>
      </c>
      <c r="N948" s="2">
        <v>10396.85</v>
      </c>
      <c r="O948" s="2" t="s">
        <v>48</v>
      </c>
      <c r="P948" s="2" t="s">
        <v>80</v>
      </c>
      <c r="Q948" s="2" t="s">
        <v>42</v>
      </c>
      <c r="R948" s="2">
        <v>2</v>
      </c>
      <c r="S948" s="2">
        <v>0</v>
      </c>
      <c r="T948" s="38" t="s">
        <v>2871</v>
      </c>
      <c r="U948" s="13"/>
    </row>
    <row r="949" spans="1:21" x14ac:dyDescent="0.3">
      <c r="A949" s="2" t="s">
        <v>830</v>
      </c>
      <c r="B949" s="2" t="s">
        <v>756</v>
      </c>
      <c r="C949" s="2">
        <v>32</v>
      </c>
      <c r="D949" s="2" t="s">
        <v>65</v>
      </c>
      <c r="E949" s="2">
        <v>222576</v>
      </c>
      <c r="F949" s="2">
        <v>1000000</v>
      </c>
      <c r="G949" s="2">
        <v>180</v>
      </c>
      <c r="H949" s="2">
        <v>16.91</v>
      </c>
      <c r="I949" s="2" t="s">
        <v>251</v>
      </c>
      <c r="J949" s="2">
        <v>875</v>
      </c>
      <c r="K949" s="30">
        <v>44556</v>
      </c>
      <c r="L949" s="30" t="s">
        <v>831</v>
      </c>
      <c r="M949" s="2" t="s">
        <v>24</v>
      </c>
      <c r="N949" s="2">
        <v>15326.3</v>
      </c>
      <c r="O949" s="2" t="s">
        <v>54</v>
      </c>
      <c r="P949" s="2" t="s">
        <v>183</v>
      </c>
      <c r="Q949" s="2" t="s">
        <v>62</v>
      </c>
      <c r="R949" s="2">
        <v>0</v>
      </c>
      <c r="S949" s="2">
        <v>0</v>
      </c>
      <c r="T949" s="38" t="s">
        <v>2867</v>
      </c>
      <c r="U949" s="13"/>
    </row>
    <row r="950" spans="1:21" x14ac:dyDescent="0.3">
      <c r="A950" s="3" t="s">
        <v>849</v>
      </c>
      <c r="B950" s="3" t="s">
        <v>850</v>
      </c>
      <c r="C950" s="3">
        <v>22</v>
      </c>
      <c r="D950" s="3" t="s">
        <v>65</v>
      </c>
      <c r="E950" s="3">
        <v>37971</v>
      </c>
      <c r="F950" s="3">
        <v>200000</v>
      </c>
      <c r="G950" s="3">
        <v>180</v>
      </c>
      <c r="H950" s="3">
        <v>10.4</v>
      </c>
      <c r="I950" s="3" t="s">
        <v>46</v>
      </c>
      <c r="J950" s="3">
        <v>511</v>
      </c>
      <c r="K950" s="29">
        <v>44433</v>
      </c>
      <c r="L950" s="29" t="s">
        <v>389</v>
      </c>
      <c r="M950" s="3" t="s">
        <v>24</v>
      </c>
      <c r="N950" s="3">
        <v>2198.42</v>
      </c>
      <c r="O950" s="3" t="s">
        <v>105</v>
      </c>
      <c r="P950" s="3" t="s">
        <v>130</v>
      </c>
      <c r="Q950" s="3" t="s">
        <v>35</v>
      </c>
      <c r="R950" s="3">
        <v>1</v>
      </c>
      <c r="S950" s="3">
        <v>0</v>
      </c>
      <c r="T950" s="38" t="s">
        <v>2879</v>
      </c>
      <c r="U950" s="13"/>
    </row>
    <row r="951" spans="1:21" x14ac:dyDescent="0.3">
      <c r="A951" s="2" t="s">
        <v>857</v>
      </c>
      <c r="B951" s="2" t="s">
        <v>858</v>
      </c>
      <c r="C951" s="2">
        <v>56</v>
      </c>
      <c r="D951" s="2" t="s">
        <v>65</v>
      </c>
      <c r="E951" s="2">
        <v>165133</v>
      </c>
      <c r="F951" s="2">
        <v>150000</v>
      </c>
      <c r="G951" s="2">
        <v>180</v>
      </c>
      <c r="H951" s="2">
        <v>11.83</v>
      </c>
      <c r="I951" s="2" t="s">
        <v>73</v>
      </c>
      <c r="J951" s="2">
        <v>335</v>
      </c>
      <c r="K951" s="30">
        <v>44498</v>
      </c>
      <c r="L951" s="30" t="s">
        <v>510</v>
      </c>
      <c r="M951" s="2" t="s">
        <v>122</v>
      </c>
      <c r="N951" s="2">
        <v>1783.88</v>
      </c>
      <c r="O951" s="2" t="s">
        <v>54</v>
      </c>
      <c r="P951" s="2" t="s">
        <v>99</v>
      </c>
      <c r="Q951" s="2" t="s">
        <v>27</v>
      </c>
      <c r="R951" s="2">
        <v>2</v>
      </c>
      <c r="S951" s="2">
        <v>0</v>
      </c>
      <c r="T951" s="38" t="s">
        <v>2879</v>
      </c>
      <c r="U951" s="13"/>
    </row>
    <row r="952" spans="1:21" x14ac:dyDescent="0.3">
      <c r="A952" s="2" t="s">
        <v>861</v>
      </c>
      <c r="B952" s="2" t="s">
        <v>1120</v>
      </c>
      <c r="C952" s="2">
        <v>46</v>
      </c>
      <c r="D952" s="2" t="s">
        <v>45</v>
      </c>
      <c r="E952" s="2">
        <v>119164</v>
      </c>
      <c r="F952" s="2">
        <v>500000</v>
      </c>
      <c r="G952" s="2">
        <v>84</v>
      </c>
      <c r="H952" s="2">
        <v>19.920000000000002</v>
      </c>
      <c r="I952" s="2" t="s">
        <v>31</v>
      </c>
      <c r="J952" s="2">
        <v>312</v>
      </c>
      <c r="K952" s="30">
        <v>44427</v>
      </c>
      <c r="L952" s="30" t="s">
        <v>775</v>
      </c>
      <c r="M952" s="2" t="s">
        <v>24</v>
      </c>
      <c r="N952" s="2">
        <v>11079.03</v>
      </c>
      <c r="O952" s="2" t="s">
        <v>54</v>
      </c>
      <c r="P952" s="2" t="s">
        <v>99</v>
      </c>
      <c r="Q952" s="2" t="s">
        <v>42</v>
      </c>
      <c r="R952" s="2">
        <v>2</v>
      </c>
      <c r="S952" s="2">
        <v>0</v>
      </c>
      <c r="T952" s="38" t="s">
        <v>2879</v>
      </c>
      <c r="U952" s="13"/>
    </row>
    <row r="953" spans="1:21" x14ac:dyDescent="0.3">
      <c r="A953" s="3" t="s">
        <v>883</v>
      </c>
      <c r="B953" s="3" t="s">
        <v>884</v>
      </c>
      <c r="C953" s="3">
        <v>49</v>
      </c>
      <c r="D953" s="3" t="s">
        <v>65</v>
      </c>
      <c r="E953" s="3">
        <v>238238</v>
      </c>
      <c r="F953" s="3">
        <v>250000</v>
      </c>
      <c r="G953" s="3">
        <v>180</v>
      </c>
      <c r="H953" s="3">
        <v>11.15</v>
      </c>
      <c r="I953" s="3" t="s">
        <v>31</v>
      </c>
      <c r="J953" s="3">
        <v>609</v>
      </c>
      <c r="K953" s="29">
        <v>44406</v>
      </c>
      <c r="L953" s="29" t="s">
        <v>886</v>
      </c>
      <c r="M953" s="3" t="s">
        <v>24</v>
      </c>
      <c r="N953" s="3">
        <v>2865.08</v>
      </c>
      <c r="O953" s="3" t="s">
        <v>54</v>
      </c>
      <c r="P953" s="3" t="s">
        <v>99</v>
      </c>
      <c r="Q953" s="3" t="s">
        <v>42</v>
      </c>
      <c r="R953" s="3">
        <v>1</v>
      </c>
      <c r="S953" s="3">
        <v>0</v>
      </c>
      <c r="T953" s="38" t="s">
        <v>2875</v>
      </c>
      <c r="U953" s="13"/>
    </row>
    <row r="954" spans="1:21" x14ac:dyDescent="0.3">
      <c r="A954" s="3" t="s">
        <v>902</v>
      </c>
      <c r="B954" s="3" t="s">
        <v>903</v>
      </c>
      <c r="C954" s="3">
        <v>25</v>
      </c>
      <c r="D954" s="3" t="s">
        <v>30</v>
      </c>
      <c r="E954" s="3">
        <v>51009</v>
      </c>
      <c r="F954" s="3">
        <v>150000</v>
      </c>
      <c r="G954" s="3">
        <v>84</v>
      </c>
      <c r="H954" s="3">
        <v>13.43</v>
      </c>
      <c r="I954" s="3" t="s">
        <v>31</v>
      </c>
      <c r="J954" s="3">
        <v>446</v>
      </c>
      <c r="K954" s="29">
        <v>44878</v>
      </c>
      <c r="L954" s="29" t="s">
        <v>904</v>
      </c>
      <c r="M954" s="3" t="s">
        <v>122</v>
      </c>
      <c r="N954" s="3">
        <v>2763.98</v>
      </c>
      <c r="O954" s="3" t="s">
        <v>48</v>
      </c>
      <c r="P954" s="3" t="s">
        <v>86</v>
      </c>
      <c r="Q954" s="3" t="s">
        <v>27</v>
      </c>
      <c r="R954" s="3">
        <v>0</v>
      </c>
      <c r="S954" s="3">
        <v>0</v>
      </c>
      <c r="T954" s="38" t="s">
        <v>2879</v>
      </c>
      <c r="U954" s="13"/>
    </row>
    <row r="955" spans="1:21" x14ac:dyDescent="0.3">
      <c r="A955" s="3" t="s">
        <v>926</v>
      </c>
      <c r="B955" s="3" t="s">
        <v>927</v>
      </c>
      <c r="C955" s="3">
        <v>38</v>
      </c>
      <c r="D955" s="3" t="s">
        <v>45</v>
      </c>
      <c r="E955" s="3">
        <v>67867</v>
      </c>
      <c r="F955" s="3">
        <v>250000</v>
      </c>
      <c r="G955" s="3">
        <v>120</v>
      </c>
      <c r="H955" s="3">
        <v>11.78</v>
      </c>
      <c r="I955" s="3" t="s">
        <v>46</v>
      </c>
      <c r="J955" s="3">
        <v>861</v>
      </c>
      <c r="K955" s="29">
        <v>45181</v>
      </c>
      <c r="L955" s="29" t="s">
        <v>928</v>
      </c>
      <c r="M955" s="3" t="s">
        <v>24</v>
      </c>
      <c r="N955" s="3">
        <v>3555.05</v>
      </c>
      <c r="O955" s="3" t="s">
        <v>60</v>
      </c>
      <c r="P955" s="3" t="s">
        <v>192</v>
      </c>
      <c r="Q955" s="3" t="s">
        <v>42</v>
      </c>
      <c r="R955" s="3">
        <v>2</v>
      </c>
      <c r="S955" s="3">
        <v>0</v>
      </c>
      <c r="T955" s="38" t="s">
        <v>2867</v>
      </c>
      <c r="U955" s="13"/>
    </row>
    <row r="956" spans="1:21" x14ac:dyDescent="0.3">
      <c r="A956" s="2" t="s">
        <v>929</v>
      </c>
      <c r="B956" s="2" t="s">
        <v>930</v>
      </c>
      <c r="C956" s="2">
        <v>22</v>
      </c>
      <c r="D956" s="2" t="s">
        <v>72</v>
      </c>
      <c r="E956" s="2">
        <v>43948</v>
      </c>
      <c r="F956" s="2">
        <v>750000</v>
      </c>
      <c r="G956" s="2">
        <v>180</v>
      </c>
      <c r="H956" s="2">
        <v>9.66</v>
      </c>
      <c r="I956" s="2" t="s">
        <v>22</v>
      </c>
      <c r="J956" s="2">
        <v>823</v>
      </c>
      <c r="K956" s="30">
        <v>44670</v>
      </c>
      <c r="L956" s="30" t="s">
        <v>932</v>
      </c>
      <c r="M956" s="2" t="s">
        <v>122</v>
      </c>
      <c r="N956" s="2">
        <v>7904.26</v>
      </c>
      <c r="O956" s="2" t="s">
        <v>25</v>
      </c>
      <c r="P956" s="2" t="s">
        <v>26</v>
      </c>
      <c r="Q956" s="2" t="s">
        <v>35</v>
      </c>
      <c r="R956" s="2">
        <v>4</v>
      </c>
      <c r="S956" s="2">
        <v>0</v>
      </c>
      <c r="T956" s="38" t="s">
        <v>2867</v>
      </c>
      <c r="U956" s="13"/>
    </row>
    <row r="957" spans="1:21" x14ac:dyDescent="0.3">
      <c r="A957" s="3" t="s">
        <v>947</v>
      </c>
      <c r="B957" s="3" t="s">
        <v>948</v>
      </c>
      <c r="C957" s="3">
        <v>39</v>
      </c>
      <c r="D957" s="3" t="s">
        <v>72</v>
      </c>
      <c r="E957" s="3">
        <v>147888</v>
      </c>
      <c r="F957" s="3">
        <v>150000</v>
      </c>
      <c r="G957" s="3">
        <v>240</v>
      </c>
      <c r="H957" s="3">
        <v>16.829999999999998</v>
      </c>
      <c r="I957" s="3" t="s">
        <v>73</v>
      </c>
      <c r="J957" s="3">
        <v>540</v>
      </c>
      <c r="K957" s="29">
        <v>45114</v>
      </c>
      <c r="L957" s="29" t="s">
        <v>949</v>
      </c>
      <c r="M957" s="3" t="s">
        <v>33</v>
      </c>
      <c r="N957" s="3">
        <v>2180.83</v>
      </c>
      <c r="O957" s="3" t="s">
        <v>25</v>
      </c>
      <c r="P957" s="3" t="s">
        <v>2998</v>
      </c>
      <c r="Q957" s="3" t="s">
        <v>42</v>
      </c>
      <c r="R957" s="3">
        <v>1</v>
      </c>
      <c r="S957" s="3">
        <v>0</v>
      </c>
      <c r="T957" s="38" t="s">
        <v>2879</v>
      </c>
      <c r="U957" s="13"/>
    </row>
    <row r="958" spans="1:21" x14ac:dyDescent="0.3">
      <c r="A958" s="2" t="s">
        <v>967</v>
      </c>
      <c r="B958" s="2" t="s">
        <v>157</v>
      </c>
      <c r="C958" s="2">
        <v>39</v>
      </c>
      <c r="D958" s="2" t="s">
        <v>65</v>
      </c>
      <c r="E958" s="2">
        <v>104878</v>
      </c>
      <c r="F958" s="2">
        <v>200000</v>
      </c>
      <c r="G958" s="2">
        <v>180</v>
      </c>
      <c r="H958" s="2">
        <v>19.170000000000002</v>
      </c>
      <c r="I958" s="2" t="s">
        <v>251</v>
      </c>
      <c r="J958" s="2">
        <v>722</v>
      </c>
      <c r="K958" s="30">
        <v>44839</v>
      </c>
      <c r="L958" s="30" t="s">
        <v>968</v>
      </c>
      <c r="M958" s="2" t="s">
        <v>33</v>
      </c>
      <c r="N958" s="2">
        <v>3390.58</v>
      </c>
      <c r="O958" s="2" t="s">
        <v>54</v>
      </c>
      <c r="P958" s="2" t="s">
        <v>99</v>
      </c>
      <c r="Q958" s="2" t="s">
        <v>42</v>
      </c>
      <c r="R958" s="2">
        <v>1</v>
      </c>
      <c r="S958" s="2">
        <v>0</v>
      </c>
      <c r="T958" s="38" t="s">
        <v>2871</v>
      </c>
      <c r="U958" s="13"/>
    </row>
    <row r="959" spans="1:21" x14ac:dyDescent="0.3">
      <c r="A959" s="3" t="s">
        <v>975</v>
      </c>
      <c r="B959" s="3" t="s">
        <v>976</v>
      </c>
      <c r="C959" s="3">
        <v>34</v>
      </c>
      <c r="D959" s="3" t="s">
        <v>21</v>
      </c>
      <c r="E959" s="3">
        <v>211656</v>
      </c>
      <c r="F959" s="3">
        <v>2000000</v>
      </c>
      <c r="G959" s="3">
        <v>36</v>
      </c>
      <c r="H959" s="3">
        <v>21.76</v>
      </c>
      <c r="I959" s="3" t="s">
        <v>66</v>
      </c>
      <c r="J959" s="3">
        <v>449</v>
      </c>
      <c r="K959" s="29">
        <v>44263</v>
      </c>
      <c r="L959" s="29" t="s">
        <v>978</v>
      </c>
      <c r="M959" s="3" t="s">
        <v>33</v>
      </c>
      <c r="N959" s="3">
        <v>76132.81</v>
      </c>
      <c r="O959" s="3" t="s">
        <v>25</v>
      </c>
      <c r="P959" s="3" t="s">
        <v>151</v>
      </c>
      <c r="Q959" s="3" t="s">
        <v>27</v>
      </c>
      <c r="R959" s="3">
        <v>0</v>
      </c>
      <c r="S959" s="3">
        <v>0</v>
      </c>
      <c r="T959" s="38" t="s">
        <v>2879</v>
      </c>
      <c r="U959" s="13"/>
    </row>
    <row r="960" spans="1:21" x14ac:dyDescent="0.3">
      <c r="A960" s="2" t="s">
        <v>979</v>
      </c>
      <c r="B960" s="2" t="s">
        <v>980</v>
      </c>
      <c r="C960" s="2">
        <v>61</v>
      </c>
      <c r="D960" s="2" t="s">
        <v>45</v>
      </c>
      <c r="E960" s="2">
        <v>241713</v>
      </c>
      <c r="F960" s="2">
        <v>150000</v>
      </c>
      <c r="G960" s="2">
        <v>240</v>
      </c>
      <c r="H960" s="2">
        <v>13.14</v>
      </c>
      <c r="I960" s="2" t="s">
        <v>66</v>
      </c>
      <c r="J960" s="2">
        <v>348</v>
      </c>
      <c r="K960" s="30">
        <v>44837</v>
      </c>
      <c r="L960" s="30" t="s">
        <v>971</v>
      </c>
      <c r="M960" s="2"/>
      <c r="N960" s="2">
        <v>1772.35</v>
      </c>
      <c r="O960" s="2" t="s">
        <v>60</v>
      </c>
      <c r="P960" s="2" t="s">
        <v>2997</v>
      </c>
      <c r="Q960" s="2" t="s">
        <v>27</v>
      </c>
      <c r="R960" s="2">
        <v>1</v>
      </c>
      <c r="S960" s="2">
        <v>0</v>
      </c>
      <c r="T960" s="38" t="s">
        <v>2879</v>
      </c>
      <c r="U960" s="13"/>
    </row>
    <row r="961" spans="1:21" x14ac:dyDescent="0.3">
      <c r="A961" s="3" t="s">
        <v>1012</v>
      </c>
      <c r="B961" s="3" t="s">
        <v>1013</v>
      </c>
      <c r="C961" s="3">
        <v>30</v>
      </c>
      <c r="D961" s="3" t="s">
        <v>65</v>
      </c>
      <c r="E961" s="3">
        <v>223868</v>
      </c>
      <c r="F961" s="3">
        <v>2000000</v>
      </c>
      <c r="G961" s="3">
        <v>240</v>
      </c>
      <c r="H961" s="3">
        <v>11.78</v>
      </c>
      <c r="I961" s="3" t="s">
        <v>251</v>
      </c>
      <c r="J961" s="3">
        <v>605</v>
      </c>
      <c r="K961" s="29">
        <v>44486</v>
      </c>
      <c r="L961" s="29" t="s">
        <v>1014</v>
      </c>
      <c r="M961" s="3" t="s">
        <v>24</v>
      </c>
      <c r="N961" s="3">
        <v>21715.74</v>
      </c>
      <c r="O961" s="3" t="s">
        <v>48</v>
      </c>
      <c r="P961" s="3" t="s">
        <v>49</v>
      </c>
      <c r="Q961" s="3" t="s">
        <v>42</v>
      </c>
      <c r="R961" s="3">
        <v>2</v>
      </c>
      <c r="S961" s="3">
        <v>0</v>
      </c>
      <c r="T961" s="38" t="s">
        <v>2875</v>
      </c>
      <c r="U961" s="13"/>
    </row>
    <row r="962" spans="1:21" x14ac:dyDescent="0.3">
      <c r="A962" s="2" t="s">
        <v>1015</v>
      </c>
      <c r="B962" s="2" t="s">
        <v>2039</v>
      </c>
      <c r="C962" s="2">
        <v>58</v>
      </c>
      <c r="D962" s="2" t="s">
        <v>45</v>
      </c>
      <c r="E962" s="2">
        <v>118306</v>
      </c>
      <c r="F962" s="2">
        <v>500000</v>
      </c>
      <c r="G962" s="2">
        <v>240</v>
      </c>
      <c r="H962" s="2">
        <v>21.23</v>
      </c>
      <c r="I962" s="2" t="s">
        <v>66</v>
      </c>
      <c r="J962" s="2">
        <v>515</v>
      </c>
      <c r="K962" s="30">
        <v>45246</v>
      </c>
      <c r="L962" s="30" t="s">
        <v>1017</v>
      </c>
      <c r="M962" s="2" t="s">
        <v>24</v>
      </c>
      <c r="N962" s="2">
        <v>8979.2900000000009</v>
      </c>
      <c r="O962" s="2" t="s">
        <v>48</v>
      </c>
      <c r="P962" s="2" t="s">
        <v>86</v>
      </c>
      <c r="Q962" s="2" t="s">
        <v>42</v>
      </c>
      <c r="R962" s="2">
        <v>1</v>
      </c>
      <c r="S962" s="2">
        <v>0</v>
      </c>
      <c r="T962" s="38" t="s">
        <v>2879</v>
      </c>
      <c r="U962" s="13"/>
    </row>
    <row r="963" spans="1:21" x14ac:dyDescent="0.3">
      <c r="A963" s="2" t="s">
        <v>1025</v>
      </c>
      <c r="B963" s="2" t="s">
        <v>377</v>
      </c>
      <c r="C963" s="2">
        <v>39</v>
      </c>
      <c r="D963" s="2" t="s">
        <v>21</v>
      </c>
      <c r="E963" s="2">
        <v>50207</v>
      </c>
      <c r="F963" s="2">
        <v>1000000</v>
      </c>
      <c r="G963" s="2">
        <v>84</v>
      </c>
      <c r="H963" s="2">
        <v>20.23</v>
      </c>
      <c r="I963" s="2" t="s">
        <v>31</v>
      </c>
      <c r="J963" s="2">
        <v>756</v>
      </c>
      <c r="K963" s="30">
        <v>44419</v>
      </c>
      <c r="L963" s="30" t="s">
        <v>567</v>
      </c>
      <c r="M963" s="2" t="s">
        <v>24</v>
      </c>
      <c r="N963" s="2">
        <v>22344.9</v>
      </c>
      <c r="O963" s="2" t="s">
        <v>48</v>
      </c>
      <c r="P963" s="2" t="s">
        <v>199</v>
      </c>
      <c r="Q963" s="2" t="s">
        <v>35</v>
      </c>
      <c r="R963" s="2">
        <v>7</v>
      </c>
      <c r="S963" s="2">
        <v>0</v>
      </c>
      <c r="T963" s="38" t="s">
        <v>2867</v>
      </c>
      <c r="U963" s="13"/>
    </row>
    <row r="964" spans="1:21" x14ac:dyDescent="0.3">
      <c r="A964" s="2" t="s">
        <v>1030</v>
      </c>
      <c r="B964" s="2" t="s">
        <v>1031</v>
      </c>
      <c r="C964" s="2">
        <v>24</v>
      </c>
      <c r="D964" s="2" t="s">
        <v>45</v>
      </c>
      <c r="E964" s="2">
        <v>83319</v>
      </c>
      <c r="F964" s="2">
        <v>500000</v>
      </c>
      <c r="G964" s="2">
        <v>240</v>
      </c>
      <c r="H964" s="2">
        <v>14.35</v>
      </c>
      <c r="I964" s="2" t="s">
        <v>251</v>
      </c>
      <c r="J964" s="2">
        <v>674</v>
      </c>
      <c r="K964" s="30">
        <v>44792</v>
      </c>
      <c r="L964" s="30" t="s">
        <v>983</v>
      </c>
      <c r="M964" s="2" t="s">
        <v>24</v>
      </c>
      <c r="N964" s="2">
        <v>6345.1</v>
      </c>
      <c r="O964" s="2" t="s">
        <v>60</v>
      </c>
      <c r="P964" s="2" t="s">
        <v>192</v>
      </c>
      <c r="Q964" s="2" t="s">
        <v>42</v>
      </c>
      <c r="R964" s="2">
        <v>2</v>
      </c>
      <c r="S964" s="2">
        <v>0</v>
      </c>
      <c r="T964" s="38" t="s">
        <v>2871</v>
      </c>
      <c r="U964" s="13"/>
    </row>
    <row r="965" spans="1:21" x14ac:dyDescent="0.3">
      <c r="A965" s="2" t="s">
        <v>1043</v>
      </c>
      <c r="B965" s="2" t="s">
        <v>1044</v>
      </c>
      <c r="C965" s="2">
        <v>45</v>
      </c>
      <c r="D965" s="2" t="s">
        <v>45</v>
      </c>
      <c r="E965" s="2">
        <v>186268</v>
      </c>
      <c r="F965" s="2">
        <v>75000</v>
      </c>
      <c r="G965" s="2">
        <v>240</v>
      </c>
      <c r="H965" s="2">
        <v>11.15</v>
      </c>
      <c r="I965" s="2" t="s">
        <v>83</v>
      </c>
      <c r="J965" s="2">
        <v>828</v>
      </c>
      <c r="K965" s="30">
        <v>45184</v>
      </c>
      <c r="L965" s="30" t="s">
        <v>207</v>
      </c>
      <c r="M965" s="2" t="s">
        <v>24</v>
      </c>
      <c r="N965" s="2">
        <v>781.81</v>
      </c>
      <c r="O965" s="2" t="s">
        <v>60</v>
      </c>
      <c r="P965" s="2" t="s">
        <v>61</v>
      </c>
      <c r="Q965" s="2" t="s">
        <v>42</v>
      </c>
      <c r="R965" s="2">
        <v>1</v>
      </c>
      <c r="S965" s="2">
        <v>0</v>
      </c>
      <c r="T965" s="38" t="s">
        <v>2867</v>
      </c>
      <c r="U965" s="13"/>
    </row>
    <row r="966" spans="1:21" x14ac:dyDescent="0.3">
      <c r="A966" s="3" t="s">
        <v>1046</v>
      </c>
      <c r="B966" s="3" t="s">
        <v>1047</v>
      </c>
      <c r="C966" s="3">
        <v>50</v>
      </c>
      <c r="D966" s="3" t="s">
        <v>30</v>
      </c>
      <c r="E966" s="3">
        <v>75290</v>
      </c>
      <c r="F966" s="3">
        <v>75000</v>
      </c>
      <c r="G966" s="3">
        <v>240</v>
      </c>
      <c r="H966" s="3">
        <v>16.829999999999998</v>
      </c>
      <c r="I966" s="3" t="s">
        <v>83</v>
      </c>
      <c r="J966" s="3">
        <v>453</v>
      </c>
      <c r="K966" s="29">
        <v>44439</v>
      </c>
      <c r="L966" s="29" t="s">
        <v>1048</v>
      </c>
      <c r="M966" s="3" t="s">
        <v>24</v>
      </c>
      <c r="N966" s="3">
        <v>1090.42</v>
      </c>
      <c r="O966" s="3" t="s">
        <v>105</v>
      </c>
      <c r="P966" s="3" t="s">
        <v>159</v>
      </c>
      <c r="Q966" s="3" t="s">
        <v>42</v>
      </c>
      <c r="R966" s="3">
        <v>1</v>
      </c>
      <c r="S966" s="3">
        <v>0</v>
      </c>
      <c r="T966" s="38" t="s">
        <v>2879</v>
      </c>
      <c r="U966" s="13"/>
    </row>
    <row r="967" spans="1:21" x14ac:dyDescent="0.3">
      <c r="A967" s="2" t="s">
        <v>1058</v>
      </c>
      <c r="B967" s="2" t="s">
        <v>1059</v>
      </c>
      <c r="C967" s="2">
        <v>27</v>
      </c>
      <c r="D967" s="2" t="s">
        <v>65</v>
      </c>
      <c r="E967" s="2">
        <v>187855</v>
      </c>
      <c r="F967" s="2">
        <v>100000</v>
      </c>
      <c r="G967" s="2">
        <v>240</v>
      </c>
      <c r="H967" s="2">
        <v>19.5</v>
      </c>
      <c r="I967" s="2" t="s">
        <v>73</v>
      </c>
      <c r="J967" s="2">
        <v>834</v>
      </c>
      <c r="K967" s="30">
        <v>45282</v>
      </c>
      <c r="L967" s="30" t="s">
        <v>242</v>
      </c>
      <c r="M967" s="2" t="s">
        <v>24</v>
      </c>
      <c r="N967" s="2">
        <v>1659.66</v>
      </c>
      <c r="O967" s="2" t="s">
        <v>60</v>
      </c>
      <c r="P967" s="2" t="s">
        <v>61</v>
      </c>
      <c r="Q967" s="2" t="s">
        <v>35</v>
      </c>
      <c r="R967" s="2">
        <v>0</v>
      </c>
      <c r="S967" s="2">
        <v>0</v>
      </c>
      <c r="T967" s="38" t="s">
        <v>2867</v>
      </c>
      <c r="U967" s="13"/>
    </row>
    <row r="968" spans="1:21" x14ac:dyDescent="0.3">
      <c r="A968" s="3" t="s">
        <v>1066</v>
      </c>
      <c r="B968" s="3" t="s">
        <v>1067</v>
      </c>
      <c r="C968" s="3">
        <v>38</v>
      </c>
      <c r="D968" s="3" t="s">
        <v>45</v>
      </c>
      <c r="E968" s="3">
        <v>126034</v>
      </c>
      <c r="F968" s="3">
        <v>750000</v>
      </c>
      <c r="G968" s="3">
        <v>84</v>
      </c>
      <c r="H968" s="3">
        <v>16.37</v>
      </c>
      <c r="I968" s="3" t="s">
        <v>73</v>
      </c>
      <c r="J968" s="3">
        <v>508</v>
      </c>
      <c r="K968" s="29">
        <v>44563</v>
      </c>
      <c r="L968" s="29" t="s">
        <v>1069</v>
      </c>
      <c r="M968" s="3" t="s">
        <v>24</v>
      </c>
      <c r="N968" s="3">
        <v>15055.03</v>
      </c>
      <c r="O968" s="3" t="s">
        <v>60</v>
      </c>
      <c r="P968" s="3" t="s">
        <v>69</v>
      </c>
      <c r="Q968" s="3" t="s">
        <v>42</v>
      </c>
      <c r="R968" s="3">
        <v>2</v>
      </c>
      <c r="S968" s="3">
        <v>0</v>
      </c>
      <c r="T968" s="38" t="s">
        <v>2879</v>
      </c>
      <c r="U968" s="13"/>
    </row>
    <row r="969" spans="1:21" x14ac:dyDescent="0.3">
      <c r="A969" s="2" t="s">
        <v>1086</v>
      </c>
      <c r="B969" s="2" t="s">
        <v>166</v>
      </c>
      <c r="C969" s="2">
        <v>56</v>
      </c>
      <c r="D969" s="2" t="s">
        <v>45</v>
      </c>
      <c r="E969" s="2">
        <v>80573</v>
      </c>
      <c r="F969" s="2">
        <v>1500000</v>
      </c>
      <c r="G969" s="2">
        <v>180</v>
      </c>
      <c r="H969" s="2">
        <v>21.51</v>
      </c>
      <c r="I969" s="2" t="s">
        <v>31</v>
      </c>
      <c r="J969" s="2">
        <v>549</v>
      </c>
      <c r="K969" s="30">
        <v>44253</v>
      </c>
      <c r="L969" s="30" t="s">
        <v>1087</v>
      </c>
      <c r="M969" s="2" t="s">
        <v>24</v>
      </c>
      <c r="N969" s="2">
        <v>28032.54</v>
      </c>
      <c r="O969" s="2" t="s">
        <v>48</v>
      </c>
      <c r="P969" s="2" t="s">
        <v>80</v>
      </c>
      <c r="Q969" s="2" t="s">
        <v>100</v>
      </c>
      <c r="R969" s="2">
        <v>10</v>
      </c>
      <c r="S969" s="2">
        <v>0</v>
      </c>
      <c r="T969" s="38" t="s">
        <v>2879</v>
      </c>
      <c r="U969" s="13"/>
    </row>
    <row r="970" spans="1:21" x14ac:dyDescent="0.3">
      <c r="A970" s="2" t="s">
        <v>1089</v>
      </c>
      <c r="B970" s="2" t="s">
        <v>1090</v>
      </c>
      <c r="C970" s="2">
        <v>40</v>
      </c>
      <c r="D970" s="2" t="s">
        <v>72</v>
      </c>
      <c r="E970" s="2">
        <v>119577</v>
      </c>
      <c r="F970" s="2">
        <v>1000000</v>
      </c>
      <c r="G970" s="2">
        <v>84</v>
      </c>
      <c r="H970" s="2">
        <v>8.6</v>
      </c>
      <c r="I970" s="2" t="s">
        <v>251</v>
      </c>
      <c r="J970" s="2">
        <v>787</v>
      </c>
      <c r="K970" s="30">
        <v>44748</v>
      </c>
      <c r="L970" s="30" t="s">
        <v>286</v>
      </c>
      <c r="M970" s="2" t="s">
        <v>24</v>
      </c>
      <c r="N970" s="2">
        <v>15886.82</v>
      </c>
      <c r="O970" s="2" t="s">
        <v>48</v>
      </c>
      <c r="P970" s="2" t="s">
        <v>199</v>
      </c>
      <c r="Q970" s="2" t="s">
        <v>42</v>
      </c>
      <c r="R970" s="2">
        <v>0</v>
      </c>
      <c r="S970" s="2">
        <v>0</v>
      </c>
      <c r="T970" s="38" t="s">
        <v>2867</v>
      </c>
      <c r="U970" s="13"/>
    </row>
    <row r="971" spans="1:21" x14ac:dyDescent="0.3">
      <c r="A971" s="2" t="s">
        <v>1096</v>
      </c>
      <c r="B971" s="2" t="s">
        <v>1097</v>
      </c>
      <c r="C971" s="2">
        <v>27</v>
      </c>
      <c r="D971" s="2" t="s">
        <v>65</v>
      </c>
      <c r="E971" s="2">
        <v>175911</v>
      </c>
      <c r="F971" s="2">
        <v>50000</v>
      </c>
      <c r="G971" s="2">
        <v>240</v>
      </c>
      <c r="H971" s="2">
        <v>21.39</v>
      </c>
      <c r="I971" s="2" t="s">
        <v>31</v>
      </c>
      <c r="J971" s="2">
        <v>680</v>
      </c>
      <c r="K971" s="30">
        <v>44759</v>
      </c>
      <c r="L971" s="30" t="s">
        <v>1098</v>
      </c>
      <c r="M971" s="2" t="s">
        <v>24</v>
      </c>
      <c r="N971" s="2">
        <v>904.27</v>
      </c>
      <c r="O971" s="2" t="s">
        <v>54</v>
      </c>
      <c r="P971" s="2" t="s">
        <v>183</v>
      </c>
      <c r="Q971" s="2" t="s">
        <v>62</v>
      </c>
      <c r="R971" s="2">
        <v>1</v>
      </c>
      <c r="S971" s="2">
        <v>0</v>
      </c>
      <c r="T971" s="38" t="s">
        <v>2871</v>
      </c>
      <c r="U971" s="13"/>
    </row>
    <row r="972" spans="1:21" x14ac:dyDescent="0.3">
      <c r="A972" s="3" t="s">
        <v>1108</v>
      </c>
      <c r="B972" s="3" t="s">
        <v>863</v>
      </c>
      <c r="C972" s="3">
        <v>52</v>
      </c>
      <c r="D972" s="3" t="s">
        <v>72</v>
      </c>
      <c r="E972" s="3">
        <v>61296</v>
      </c>
      <c r="F972" s="3">
        <v>300000</v>
      </c>
      <c r="G972" s="3">
        <v>180</v>
      </c>
      <c r="H972" s="3">
        <v>9.4499999999999993</v>
      </c>
      <c r="I972" s="3" t="s">
        <v>38</v>
      </c>
      <c r="J972" s="3">
        <v>798</v>
      </c>
      <c r="K972" s="29">
        <v>44294</v>
      </c>
      <c r="L972" s="29" t="s">
        <v>1110</v>
      </c>
      <c r="M972" s="3" t="s">
        <v>24</v>
      </c>
      <c r="N972" s="3">
        <v>3123.63</v>
      </c>
      <c r="O972" s="3" t="s">
        <v>48</v>
      </c>
      <c r="P972" s="3" t="s">
        <v>199</v>
      </c>
      <c r="Q972" s="3" t="s">
        <v>27</v>
      </c>
      <c r="R972" s="3">
        <v>2</v>
      </c>
      <c r="S972" s="3">
        <v>0</v>
      </c>
      <c r="T972" s="38" t="s">
        <v>2867</v>
      </c>
      <c r="U972" s="13"/>
    </row>
    <row r="973" spans="1:21" x14ac:dyDescent="0.3">
      <c r="A973" s="2" t="s">
        <v>1111</v>
      </c>
      <c r="B973" s="2" t="s">
        <v>795</v>
      </c>
      <c r="C973" s="2">
        <v>25</v>
      </c>
      <c r="D973" s="2" t="s">
        <v>21</v>
      </c>
      <c r="E973" s="2">
        <v>228337</v>
      </c>
      <c r="F973" s="2">
        <v>200000</v>
      </c>
      <c r="G973" s="2">
        <v>180</v>
      </c>
      <c r="H973" s="2">
        <v>19.670000000000002</v>
      </c>
      <c r="I973" s="2" t="s">
        <v>22</v>
      </c>
      <c r="J973" s="2">
        <v>760</v>
      </c>
      <c r="K973" s="30">
        <v>44724</v>
      </c>
      <c r="L973" s="30" t="s">
        <v>1112</v>
      </c>
      <c r="M973" s="2" t="s">
        <v>24</v>
      </c>
      <c r="N973" s="2">
        <v>3463.93</v>
      </c>
      <c r="O973" s="2" t="s">
        <v>48</v>
      </c>
      <c r="P973" s="2" t="s">
        <v>199</v>
      </c>
      <c r="Q973" s="2" t="s">
        <v>35</v>
      </c>
      <c r="R973" s="2">
        <v>5</v>
      </c>
      <c r="S973" s="2">
        <v>0</v>
      </c>
      <c r="T973" s="38" t="s">
        <v>2867</v>
      </c>
      <c r="U973" s="13"/>
    </row>
    <row r="974" spans="1:21" x14ac:dyDescent="0.3">
      <c r="A974" s="2" t="s">
        <v>1116</v>
      </c>
      <c r="B974" s="2" t="s">
        <v>1117</v>
      </c>
      <c r="C974" s="2">
        <v>27</v>
      </c>
      <c r="D974" s="2" t="s">
        <v>65</v>
      </c>
      <c r="E974" s="2">
        <v>175868</v>
      </c>
      <c r="F974" s="2">
        <v>200000</v>
      </c>
      <c r="G974" s="2">
        <v>180</v>
      </c>
      <c r="H974" s="2">
        <v>16.66</v>
      </c>
      <c r="I974" s="2" t="s">
        <v>251</v>
      </c>
      <c r="J974" s="2">
        <v>471</v>
      </c>
      <c r="K974" s="30">
        <v>45025</v>
      </c>
      <c r="L974" s="30" t="s">
        <v>337</v>
      </c>
      <c r="M974" s="2" t="s">
        <v>24</v>
      </c>
      <c r="N974" s="2">
        <v>3029.94</v>
      </c>
      <c r="O974" s="2" t="s">
        <v>48</v>
      </c>
      <c r="P974" s="2" t="s">
        <v>80</v>
      </c>
      <c r="Q974" s="2" t="s">
        <v>42</v>
      </c>
      <c r="R974" s="2">
        <v>2</v>
      </c>
      <c r="S974" s="2">
        <v>0</v>
      </c>
      <c r="T974" s="38" t="s">
        <v>2879</v>
      </c>
      <c r="U974" s="13"/>
    </row>
    <row r="975" spans="1:21" x14ac:dyDescent="0.3">
      <c r="A975" s="3" t="s">
        <v>1119</v>
      </c>
      <c r="B975" s="3" t="s">
        <v>1120</v>
      </c>
      <c r="C975" s="3">
        <v>32</v>
      </c>
      <c r="D975" s="3" t="s">
        <v>21</v>
      </c>
      <c r="E975" s="3">
        <v>74825</v>
      </c>
      <c r="F975" s="3">
        <v>250000</v>
      </c>
      <c r="G975" s="3">
        <v>84</v>
      </c>
      <c r="H975" s="3">
        <v>16.97</v>
      </c>
      <c r="I975" s="3" t="s">
        <v>66</v>
      </c>
      <c r="J975" s="3">
        <v>704</v>
      </c>
      <c r="K975" s="29">
        <v>45263</v>
      </c>
      <c r="L975" s="29" t="s">
        <v>74</v>
      </c>
      <c r="M975" s="3" t="s">
        <v>122</v>
      </c>
      <c r="N975" s="3">
        <v>5104.62</v>
      </c>
      <c r="O975" s="3" t="s">
        <v>48</v>
      </c>
      <c r="P975" s="3" t="s">
        <v>80</v>
      </c>
      <c r="Q975" s="3" t="s">
        <v>27</v>
      </c>
      <c r="R975" s="3">
        <v>1</v>
      </c>
      <c r="S975" s="3">
        <v>0</v>
      </c>
      <c r="T975" s="38" t="s">
        <v>2871</v>
      </c>
      <c r="U975" s="13"/>
    </row>
    <row r="976" spans="1:21" x14ac:dyDescent="0.3">
      <c r="A976" s="3" t="s">
        <v>1128</v>
      </c>
      <c r="B976" s="3" t="s">
        <v>1129</v>
      </c>
      <c r="C976" s="3">
        <v>59</v>
      </c>
      <c r="D976" s="3" t="s">
        <v>45</v>
      </c>
      <c r="E976" s="3">
        <v>134680</v>
      </c>
      <c r="F976" s="3">
        <v>1000000</v>
      </c>
      <c r="G976" s="3">
        <v>120</v>
      </c>
      <c r="H976" s="3">
        <v>15.09</v>
      </c>
      <c r="I976" s="3" t="s">
        <v>66</v>
      </c>
      <c r="J976" s="3">
        <v>655</v>
      </c>
      <c r="K976" s="29">
        <v>44380</v>
      </c>
      <c r="L976" s="29" t="s">
        <v>112</v>
      </c>
      <c r="M976" s="3" t="s">
        <v>24</v>
      </c>
      <c r="N976" s="3">
        <v>16188.66</v>
      </c>
      <c r="O976" s="3" t="s">
        <v>60</v>
      </c>
      <c r="P976" s="3" t="s">
        <v>69</v>
      </c>
      <c r="Q976" s="3" t="s">
        <v>42</v>
      </c>
      <c r="R976" s="3">
        <v>0</v>
      </c>
      <c r="S976" s="3">
        <v>0</v>
      </c>
      <c r="T976" s="38" t="s">
        <v>2871</v>
      </c>
      <c r="U976" s="13"/>
    </row>
    <row r="977" spans="1:21" x14ac:dyDescent="0.3">
      <c r="A977" s="2" t="s">
        <v>1149</v>
      </c>
      <c r="B977" s="2" t="s">
        <v>169</v>
      </c>
      <c r="C977" s="2">
        <v>46</v>
      </c>
      <c r="D977" s="2" t="s">
        <v>72</v>
      </c>
      <c r="E977" s="2">
        <v>46971</v>
      </c>
      <c r="F977" s="2">
        <v>2000000</v>
      </c>
      <c r="G977" s="2">
        <v>48</v>
      </c>
      <c r="H977" s="2">
        <v>13.08</v>
      </c>
      <c r="I977" s="2" t="s">
        <v>31</v>
      </c>
      <c r="J977" s="2">
        <v>553</v>
      </c>
      <c r="K977" s="30">
        <v>44389</v>
      </c>
      <c r="L977" s="30" t="s">
        <v>1150</v>
      </c>
      <c r="M977" s="2" t="s">
        <v>24</v>
      </c>
      <c r="N977" s="2">
        <v>53734.44</v>
      </c>
      <c r="O977" s="2" t="s">
        <v>25</v>
      </c>
      <c r="P977" s="2" t="s">
        <v>34</v>
      </c>
      <c r="Q977" s="2" t="s">
        <v>42</v>
      </c>
      <c r="R977" s="2">
        <v>1</v>
      </c>
      <c r="S977" s="2">
        <v>0</v>
      </c>
      <c r="T977" s="38" t="s">
        <v>2875</v>
      </c>
      <c r="U977" s="13"/>
    </row>
    <row r="978" spans="1:21" x14ac:dyDescent="0.3">
      <c r="A978" s="2" t="s">
        <v>1153</v>
      </c>
      <c r="B978" s="2" t="s">
        <v>1154</v>
      </c>
      <c r="C978" s="2">
        <v>64</v>
      </c>
      <c r="D978" s="2" t="s">
        <v>30</v>
      </c>
      <c r="E978" s="2">
        <v>44603</v>
      </c>
      <c r="F978" s="2">
        <v>150000</v>
      </c>
      <c r="G978" s="2">
        <v>120</v>
      </c>
      <c r="H978" s="2">
        <v>12.21</v>
      </c>
      <c r="I978" s="2" t="s">
        <v>251</v>
      </c>
      <c r="J978" s="2">
        <v>582</v>
      </c>
      <c r="K978" s="30">
        <v>44694</v>
      </c>
      <c r="L978" s="30" t="s">
        <v>1156</v>
      </c>
      <c r="M978" s="2" t="s">
        <v>24</v>
      </c>
      <c r="N978" s="2">
        <v>2170.31</v>
      </c>
      <c r="O978" s="2" t="s">
        <v>54</v>
      </c>
      <c r="P978" s="2" t="s">
        <v>304</v>
      </c>
      <c r="Q978" s="2" t="s">
        <v>62</v>
      </c>
      <c r="R978" s="2">
        <v>1</v>
      </c>
      <c r="S978" s="2">
        <v>0</v>
      </c>
      <c r="T978" s="38" t="s">
        <v>2875</v>
      </c>
      <c r="U978" s="13"/>
    </row>
    <row r="979" spans="1:21" x14ac:dyDescent="0.3">
      <c r="A979" s="3" t="s">
        <v>1167</v>
      </c>
      <c r="B979" s="3" t="s">
        <v>1168</v>
      </c>
      <c r="C979" s="3">
        <v>23</v>
      </c>
      <c r="D979" s="3" t="s">
        <v>45</v>
      </c>
      <c r="E979" s="3">
        <v>239612</v>
      </c>
      <c r="F979" s="3">
        <v>250000</v>
      </c>
      <c r="G979" s="3">
        <v>48</v>
      </c>
      <c r="H979" s="3">
        <v>12.15</v>
      </c>
      <c r="I979" s="3" t="s">
        <v>22</v>
      </c>
      <c r="J979" s="3">
        <v>851</v>
      </c>
      <c r="K979" s="29">
        <v>45215</v>
      </c>
      <c r="L979" s="29" t="s">
        <v>1169</v>
      </c>
      <c r="M979" s="3" t="s">
        <v>24</v>
      </c>
      <c r="N979" s="3">
        <v>6601.89</v>
      </c>
      <c r="O979" s="3" t="s">
        <v>60</v>
      </c>
      <c r="P979" s="3" t="s">
        <v>192</v>
      </c>
      <c r="Q979" s="3" t="s">
        <v>27</v>
      </c>
      <c r="R979" s="3">
        <v>2</v>
      </c>
      <c r="S979" s="3">
        <v>0</v>
      </c>
      <c r="T979" s="38" t="s">
        <v>2867</v>
      </c>
      <c r="U979" s="13"/>
    </row>
    <row r="980" spans="1:21" x14ac:dyDescent="0.3">
      <c r="A980" s="2" t="s">
        <v>1181</v>
      </c>
      <c r="B980" s="2" t="s">
        <v>1182</v>
      </c>
      <c r="C980" s="2">
        <v>28</v>
      </c>
      <c r="D980" s="2" t="s">
        <v>45</v>
      </c>
      <c r="E980" s="2">
        <v>108837</v>
      </c>
      <c r="F980" s="2">
        <v>1000000</v>
      </c>
      <c r="G980" s="2">
        <v>180</v>
      </c>
      <c r="H980" s="2">
        <v>17.690000000000001</v>
      </c>
      <c r="I980" s="2" t="s">
        <v>73</v>
      </c>
      <c r="J980" s="2" t="s">
        <v>2882</v>
      </c>
      <c r="K980" s="30">
        <v>45230</v>
      </c>
      <c r="L980" s="30" t="s">
        <v>1183</v>
      </c>
      <c r="M980" s="2" t="s">
        <v>24</v>
      </c>
      <c r="N980" s="2">
        <v>15881.67</v>
      </c>
      <c r="O980" s="2" t="s">
        <v>105</v>
      </c>
      <c r="P980" s="2" t="s">
        <v>159</v>
      </c>
      <c r="Q980" s="2" t="s">
        <v>27</v>
      </c>
      <c r="R980" s="2">
        <v>2</v>
      </c>
      <c r="S980" s="2">
        <v>0</v>
      </c>
      <c r="T980" s="38" t="s">
        <v>2883</v>
      </c>
      <c r="U980" s="13"/>
    </row>
    <row r="981" spans="1:21" x14ac:dyDescent="0.3">
      <c r="A981" s="2" t="s">
        <v>1186</v>
      </c>
      <c r="B981" s="2" t="s">
        <v>1187</v>
      </c>
      <c r="C981" s="2">
        <v>46</v>
      </c>
      <c r="D981" s="2" t="s">
        <v>45</v>
      </c>
      <c r="E981" s="2">
        <v>210186</v>
      </c>
      <c r="F981" s="2">
        <v>200000</v>
      </c>
      <c r="G981" s="2">
        <v>84</v>
      </c>
      <c r="H981" s="2">
        <v>21.44</v>
      </c>
      <c r="I981" s="2" t="s">
        <v>31</v>
      </c>
      <c r="J981" s="2">
        <v>706</v>
      </c>
      <c r="K981" s="30">
        <v>44230</v>
      </c>
      <c r="L981" s="30" t="s">
        <v>1188</v>
      </c>
      <c r="M981" s="2" t="s">
        <v>24</v>
      </c>
      <c r="N981" s="2">
        <v>4616.26</v>
      </c>
      <c r="O981" s="2" t="s">
        <v>25</v>
      </c>
      <c r="P981" s="2" t="s">
        <v>26</v>
      </c>
      <c r="Q981" s="2" t="s">
        <v>42</v>
      </c>
      <c r="R981" s="2">
        <v>1</v>
      </c>
      <c r="S981" s="2">
        <v>0</v>
      </c>
      <c r="T981" s="38" t="s">
        <v>2871</v>
      </c>
      <c r="U981" s="13"/>
    </row>
    <row r="982" spans="1:21" x14ac:dyDescent="0.3">
      <c r="A982" s="3" t="s">
        <v>1189</v>
      </c>
      <c r="B982" s="3" t="s">
        <v>1190</v>
      </c>
      <c r="C982" s="3">
        <v>22</v>
      </c>
      <c r="D982" s="3" t="s">
        <v>21</v>
      </c>
      <c r="E982" s="3">
        <v>73166</v>
      </c>
      <c r="F982" s="3">
        <v>150000</v>
      </c>
      <c r="G982" s="3">
        <v>84</v>
      </c>
      <c r="H982" s="3">
        <v>7.81</v>
      </c>
      <c r="I982" s="3" t="s">
        <v>66</v>
      </c>
      <c r="J982" s="3">
        <v>866</v>
      </c>
      <c r="K982" s="29">
        <v>44513</v>
      </c>
      <c r="L982" s="29" t="s">
        <v>1191</v>
      </c>
      <c r="M982" s="3" t="s">
        <v>24</v>
      </c>
      <c r="N982" s="3">
        <v>2323.7600000000002</v>
      </c>
      <c r="O982" s="3" t="s">
        <v>54</v>
      </c>
      <c r="P982" s="3" t="s">
        <v>99</v>
      </c>
      <c r="Q982" s="3" t="s">
        <v>100</v>
      </c>
      <c r="R982" s="3">
        <v>9</v>
      </c>
      <c r="S982" s="3">
        <v>0</v>
      </c>
      <c r="T982" s="38" t="s">
        <v>2867</v>
      </c>
      <c r="U982" s="13"/>
    </row>
    <row r="983" spans="1:21" x14ac:dyDescent="0.3">
      <c r="A983" s="2" t="s">
        <v>1192</v>
      </c>
      <c r="B983" s="2" t="s">
        <v>1193</v>
      </c>
      <c r="C983" s="2">
        <v>44</v>
      </c>
      <c r="D983" s="2" t="s">
        <v>30</v>
      </c>
      <c r="E983" s="2">
        <v>51282</v>
      </c>
      <c r="F983" s="2">
        <v>200000</v>
      </c>
      <c r="G983" s="2">
        <v>84</v>
      </c>
      <c r="H983" s="2">
        <v>20.399999999999999</v>
      </c>
      <c r="I983" s="2" t="s">
        <v>83</v>
      </c>
      <c r="J983" s="2">
        <v>538</v>
      </c>
      <c r="K983" s="30">
        <v>45015</v>
      </c>
      <c r="L983" s="30" t="s">
        <v>1194</v>
      </c>
      <c r="M983" s="2" t="s">
        <v>24</v>
      </c>
      <c r="N983" s="2">
        <v>4489.54</v>
      </c>
      <c r="O983" s="2" t="s">
        <v>48</v>
      </c>
      <c r="P983" s="2" t="s">
        <v>199</v>
      </c>
      <c r="Q983" s="2" t="s">
        <v>35</v>
      </c>
      <c r="R983" s="2">
        <v>1</v>
      </c>
      <c r="S983" s="2">
        <v>0</v>
      </c>
      <c r="T983" s="38" t="s">
        <v>2879</v>
      </c>
      <c r="U983" s="13"/>
    </row>
    <row r="984" spans="1:21" x14ac:dyDescent="0.3">
      <c r="A984" s="3" t="s">
        <v>1195</v>
      </c>
      <c r="B984" s="3" t="s">
        <v>1196</v>
      </c>
      <c r="C984" s="3">
        <v>42</v>
      </c>
      <c r="D984" s="3" t="s">
        <v>65</v>
      </c>
      <c r="E984" s="3">
        <v>60325</v>
      </c>
      <c r="F984" s="3">
        <v>400000</v>
      </c>
      <c r="G984" s="3">
        <v>24</v>
      </c>
      <c r="H984" s="3">
        <v>16.13</v>
      </c>
      <c r="I984" s="3" t="s">
        <v>66</v>
      </c>
      <c r="J984" s="3">
        <v>338</v>
      </c>
      <c r="K984" s="29">
        <v>44311</v>
      </c>
      <c r="L984" s="29" t="s">
        <v>89</v>
      </c>
      <c r="M984" s="3" t="s">
        <v>24</v>
      </c>
      <c r="N984" s="3">
        <v>19610.099999999999</v>
      </c>
      <c r="O984" s="3" t="s">
        <v>54</v>
      </c>
      <c r="P984" s="3" t="s">
        <v>164</v>
      </c>
      <c r="Q984" s="3" t="s">
        <v>27</v>
      </c>
      <c r="R984" s="3">
        <v>0</v>
      </c>
      <c r="S984" s="3">
        <v>0</v>
      </c>
      <c r="T984" s="38" t="s">
        <v>2879</v>
      </c>
      <c r="U984" s="13"/>
    </row>
    <row r="985" spans="1:21" x14ac:dyDescent="0.3">
      <c r="A985" s="2" t="s">
        <v>1202</v>
      </c>
      <c r="B985" s="2" t="s">
        <v>1203</v>
      </c>
      <c r="C985" s="2">
        <v>31</v>
      </c>
      <c r="D985" s="2" t="s">
        <v>30</v>
      </c>
      <c r="E985" s="2">
        <v>103124</v>
      </c>
      <c r="F985" s="2">
        <v>75000</v>
      </c>
      <c r="G985" s="2">
        <v>180</v>
      </c>
      <c r="H985" s="2">
        <v>15.79</v>
      </c>
      <c r="I985" s="2" t="s">
        <v>46</v>
      </c>
      <c r="J985" s="2">
        <v>861</v>
      </c>
      <c r="K985" s="30">
        <v>45224</v>
      </c>
      <c r="L985" s="30" t="s">
        <v>282</v>
      </c>
      <c r="M985" s="2" t="s">
        <v>24</v>
      </c>
      <c r="N985" s="2">
        <v>1090.56</v>
      </c>
      <c r="O985" s="2" t="s">
        <v>60</v>
      </c>
      <c r="P985" s="2" t="s">
        <v>61</v>
      </c>
      <c r="Q985" s="2" t="s">
        <v>42</v>
      </c>
      <c r="R985" s="2">
        <v>0</v>
      </c>
      <c r="S985" s="2">
        <v>0</v>
      </c>
      <c r="T985" s="38" t="s">
        <v>2867</v>
      </c>
      <c r="U985" s="13"/>
    </row>
    <row r="986" spans="1:21" x14ac:dyDescent="0.3">
      <c r="A986" s="2" t="s">
        <v>1207</v>
      </c>
      <c r="B986" s="2" t="s">
        <v>572</v>
      </c>
      <c r="C986" s="2">
        <v>65</v>
      </c>
      <c r="D986" s="2" t="s">
        <v>45</v>
      </c>
      <c r="E986" s="2">
        <v>38486</v>
      </c>
      <c r="F986" s="2">
        <v>75000</v>
      </c>
      <c r="G986" s="2">
        <v>120</v>
      </c>
      <c r="H986" s="2">
        <v>13.64</v>
      </c>
      <c r="I986" s="2" t="s">
        <v>38</v>
      </c>
      <c r="J986" s="2">
        <v>495</v>
      </c>
      <c r="K986" s="30">
        <v>44246</v>
      </c>
      <c r="L986" s="30" t="s">
        <v>563</v>
      </c>
      <c r="M986" s="2" t="s">
        <v>24</v>
      </c>
      <c r="N986" s="2">
        <v>1148.32</v>
      </c>
      <c r="O986" s="2" t="s">
        <v>48</v>
      </c>
      <c r="P986" s="2" t="s">
        <v>199</v>
      </c>
      <c r="Q986" s="2" t="s">
        <v>27</v>
      </c>
      <c r="R986" s="2">
        <v>2</v>
      </c>
      <c r="S986" s="2">
        <v>0</v>
      </c>
      <c r="T986" s="38" t="s">
        <v>2879</v>
      </c>
      <c r="U986" s="13"/>
    </row>
    <row r="987" spans="1:21" x14ac:dyDescent="0.3">
      <c r="A987" s="3" t="s">
        <v>1209</v>
      </c>
      <c r="B987" s="3" t="s">
        <v>655</v>
      </c>
      <c r="C987" s="3">
        <v>44</v>
      </c>
      <c r="D987" s="3" t="s">
        <v>45</v>
      </c>
      <c r="E987" s="3">
        <v>230373</v>
      </c>
      <c r="F987" s="3">
        <v>2000000</v>
      </c>
      <c r="G987" s="3">
        <v>180</v>
      </c>
      <c r="H987" s="3">
        <v>16.54</v>
      </c>
      <c r="I987" s="3" t="s">
        <v>31</v>
      </c>
      <c r="J987" s="3">
        <v>345</v>
      </c>
      <c r="K987" s="29">
        <v>44516</v>
      </c>
      <c r="L987" s="29" t="s">
        <v>1095</v>
      </c>
      <c r="M987" s="3" t="s">
        <v>24</v>
      </c>
      <c r="N987" s="3">
        <v>30130.44</v>
      </c>
      <c r="O987" s="3" t="s">
        <v>105</v>
      </c>
      <c r="P987" s="3" t="s">
        <v>159</v>
      </c>
      <c r="Q987" s="3" t="s">
        <v>35</v>
      </c>
      <c r="R987" s="3">
        <v>10</v>
      </c>
      <c r="S987" s="3">
        <v>0</v>
      </c>
      <c r="T987" s="38" t="s">
        <v>2879</v>
      </c>
      <c r="U987" s="13"/>
    </row>
    <row r="988" spans="1:21" x14ac:dyDescent="0.3">
      <c r="A988" s="3" t="s">
        <v>1212</v>
      </c>
      <c r="B988" s="3" t="s">
        <v>1213</v>
      </c>
      <c r="C988" s="3">
        <v>56</v>
      </c>
      <c r="D988" s="3" t="s">
        <v>30</v>
      </c>
      <c r="E988" s="3">
        <v>68425</v>
      </c>
      <c r="F988" s="3">
        <v>500000</v>
      </c>
      <c r="G988" s="3">
        <v>240</v>
      </c>
      <c r="H988" s="3">
        <v>18.38</v>
      </c>
      <c r="I988" s="3" t="s">
        <v>31</v>
      </c>
      <c r="J988" s="3">
        <v>444</v>
      </c>
      <c r="K988" s="29">
        <v>45275</v>
      </c>
      <c r="L988" s="29" t="s">
        <v>1215</v>
      </c>
      <c r="M988" s="3" t="s">
        <v>24</v>
      </c>
      <c r="N988" s="3">
        <v>7863.09</v>
      </c>
      <c r="O988" s="3" t="s">
        <v>25</v>
      </c>
      <c r="P988" s="3" t="s">
        <v>2998</v>
      </c>
      <c r="Q988" s="3" t="s">
        <v>27</v>
      </c>
      <c r="R988" s="3">
        <v>2</v>
      </c>
      <c r="S988" s="3">
        <v>0</v>
      </c>
      <c r="T988" s="38" t="s">
        <v>2879</v>
      </c>
      <c r="U988" s="13"/>
    </row>
    <row r="989" spans="1:21" x14ac:dyDescent="0.3">
      <c r="A989" s="2" t="s">
        <v>1222</v>
      </c>
      <c r="B989" s="2" t="s">
        <v>519</v>
      </c>
      <c r="C989" s="2">
        <v>57</v>
      </c>
      <c r="D989" s="2" t="s">
        <v>72</v>
      </c>
      <c r="E989" s="2">
        <v>25420</v>
      </c>
      <c r="F989" s="2">
        <v>150000</v>
      </c>
      <c r="G989" s="2">
        <v>240</v>
      </c>
      <c r="H989" s="2">
        <v>11.92</v>
      </c>
      <c r="I989" s="2" t="s">
        <v>31</v>
      </c>
      <c r="J989" s="2">
        <v>702</v>
      </c>
      <c r="K989" s="30">
        <v>44917</v>
      </c>
      <c r="L989" s="30" t="s">
        <v>1223</v>
      </c>
      <c r="M989" s="2" t="s">
        <v>24</v>
      </c>
      <c r="N989" s="2">
        <v>1643.27</v>
      </c>
      <c r="O989" s="2" t="s">
        <v>105</v>
      </c>
      <c r="P989" s="2" t="s">
        <v>114</v>
      </c>
      <c r="Q989" s="2" t="s">
        <v>35</v>
      </c>
      <c r="R989" s="2">
        <v>5</v>
      </c>
      <c r="S989" s="2">
        <v>0</v>
      </c>
      <c r="T989" s="38" t="s">
        <v>2871</v>
      </c>
      <c r="U989" s="13"/>
    </row>
    <row r="990" spans="1:21" x14ac:dyDescent="0.3">
      <c r="A990" s="3" t="s">
        <v>1238</v>
      </c>
      <c r="B990" s="3" t="s">
        <v>1239</v>
      </c>
      <c r="C990" s="3">
        <v>35</v>
      </c>
      <c r="D990" s="3" t="s">
        <v>72</v>
      </c>
      <c r="E990" s="3">
        <v>61419</v>
      </c>
      <c r="F990" s="3">
        <v>400000</v>
      </c>
      <c r="G990" s="3">
        <v>180</v>
      </c>
      <c r="H990" s="3">
        <v>17.47</v>
      </c>
      <c r="I990" s="3" t="s">
        <v>31</v>
      </c>
      <c r="J990" s="3">
        <v>552</v>
      </c>
      <c r="K990" s="29">
        <v>44976</v>
      </c>
      <c r="L990" s="29" t="s">
        <v>1241</v>
      </c>
      <c r="M990" s="3" t="s">
        <v>24</v>
      </c>
      <c r="N990" s="3">
        <v>6289.74</v>
      </c>
      <c r="O990" s="3" t="s">
        <v>60</v>
      </c>
      <c r="P990" s="3" t="s">
        <v>2997</v>
      </c>
      <c r="Q990" s="3" t="s">
        <v>27</v>
      </c>
      <c r="R990" s="3">
        <v>0</v>
      </c>
      <c r="S990" s="3">
        <v>0</v>
      </c>
      <c r="T990" s="38" t="s">
        <v>2875</v>
      </c>
      <c r="U990" s="13"/>
    </row>
    <row r="991" spans="1:21" x14ac:dyDescent="0.3">
      <c r="A991" s="2" t="s">
        <v>1242</v>
      </c>
      <c r="B991" s="2" t="s">
        <v>1243</v>
      </c>
      <c r="C991" s="2">
        <v>61</v>
      </c>
      <c r="D991" s="2" t="s">
        <v>45</v>
      </c>
      <c r="E991" s="2">
        <v>170662</v>
      </c>
      <c r="F991" s="2">
        <v>500000</v>
      </c>
      <c r="G991" s="2">
        <v>240</v>
      </c>
      <c r="H991" s="2">
        <v>16.8</v>
      </c>
      <c r="I991" s="2" t="s">
        <v>46</v>
      </c>
      <c r="J991" s="2">
        <v>833</v>
      </c>
      <c r="K991" s="30">
        <v>44283</v>
      </c>
      <c r="L991" s="30" t="s">
        <v>934</v>
      </c>
      <c r="M991" s="2" t="s">
        <v>24</v>
      </c>
      <c r="N991" s="2">
        <v>7258.05</v>
      </c>
      <c r="O991" s="2" t="s">
        <v>25</v>
      </c>
      <c r="P991" s="2" t="s">
        <v>2998</v>
      </c>
      <c r="Q991" s="2" t="s">
        <v>42</v>
      </c>
      <c r="R991" s="2">
        <v>1</v>
      </c>
      <c r="S991" s="2">
        <v>0</v>
      </c>
      <c r="T991" s="38" t="s">
        <v>2867</v>
      </c>
      <c r="U991" s="13"/>
    </row>
    <row r="992" spans="1:21" x14ac:dyDescent="0.3">
      <c r="A992" s="3" t="s">
        <v>1249</v>
      </c>
      <c r="B992" s="3" t="s">
        <v>2946</v>
      </c>
      <c r="C992" s="3">
        <v>33</v>
      </c>
      <c r="D992" s="3" t="s">
        <v>65</v>
      </c>
      <c r="E992" s="3">
        <v>169747</v>
      </c>
      <c r="F992" s="3">
        <v>1500000</v>
      </c>
      <c r="G992" s="3">
        <v>48</v>
      </c>
      <c r="H992" s="3">
        <v>20.3</v>
      </c>
      <c r="I992" s="3" t="s">
        <v>22</v>
      </c>
      <c r="J992" s="3">
        <v>556</v>
      </c>
      <c r="K992" s="29">
        <v>44450</v>
      </c>
      <c r="L992" s="29" t="s">
        <v>296</v>
      </c>
      <c r="M992" s="3" t="s">
        <v>33</v>
      </c>
      <c r="N992" s="3">
        <v>45885.64</v>
      </c>
      <c r="O992" s="3" t="s">
        <v>48</v>
      </c>
      <c r="P992" s="3" t="s">
        <v>86</v>
      </c>
      <c r="Q992" s="3" t="s">
        <v>35</v>
      </c>
      <c r="R992" s="3">
        <v>11</v>
      </c>
      <c r="S992" s="3">
        <v>0</v>
      </c>
      <c r="T992" s="38" t="s">
        <v>2875</v>
      </c>
      <c r="U992" s="13"/>
    </row>
    <row r="993" spans="1:21" x14ac:dyDescent="0.3">
      <c r="A993" s="2" t="s">
        <v>1251</v>
      </c>
      <c r="B993" s="2" t="s">
        <v>1252</v>
      </c>
      <c r="C993" s="2">
        <v>62</v>
      </c>
      <c r="D993" s="2" t="s">
        <v>21</v>
      </c>
      <c r="E993" s="2">
        <v>37362</v>
      </c>
      <c r="F993" s="2">
        <v>500000</v>
      </c>
      <c r="G993" s="2">
        <v>120</v>
      </c>
      <c r="H993" s="2">
        <v>18.04</v>
      </c>
      <c r="I993" s="2" t="s">
        <v>251</v>
      </c>
      <c r="J993" s="2">
        <v>687</v>
      </c>
      <c r="K993" s="30">
        <v>44546</v>
      </c>
      <c r="L993" s="30" t="s">
        <v>1254</v>
      </c>
      <c r="M993" s="2" t="s">
        <v>24</v>
      </c>
      <c r="N993" s="2">
        <v>9022.14</v>
      </c>
      <c r="O993" s="2" t="s">
        <v>54</v>
      </c>
      <c r="P993" s="2" t="s">
        <v>164</v>
      </c>
      <c r="Q993" s="2" t="s">
        <v>35</v>
      </c>
      <c r="R993" s="2">
        <v>0</v>
      </c>
      <c r="S993" s="2">
        <v>0</v>
      </c>
      <c r="T993" s="38" t="s">
        <v>2871</v>
      </c>
      <c r="U993" s="13"/>
    </row>
    <row r="994" spans="1:21" x14ac:dyDescent="0.3">
      <c r="A994" s="2" t="s">
        <v>1258</v>
      </c>
      <c r="B994" s="2" t="s">
        <v>1104</v>
      </c>
      <c r="C994" s="2">
        <v>22</v>
      </c>
      <c r="D994" s="2" t="s">
        <v>65</v>
      </c>
      <c r="E994" s="2">
        <v>145450</v>
      </c>
      <c r="F994" s="2">
        <v>400000</v>
      </c>
      <c r="G994" s="2">
        <v>240</v>
      </c>
      <c r="H994" s="2">
        <v>19.21</v>
      </c>
      <c r="I994" s="2" t="s">
        <v>31</v>
      </c>
      <c r="J994" s="2">
        <v>543</v>
      </c>
      <c r="K994" s="30">
        <v>45126</v>
      </c>
      <c r="L994" s="30" t="s">
        <v>1259</v>
      </c>
      <c r="M994" s="2" t="s">
        <v>24</v>
      </c>
      <c r="N994" s="2">
        <v>6548.13</v>
      </c>
      <c r="O994" s="2" t="s">
        <v>105</v>
      </c>
      <c r="P994" s="2" t="s">
        <v>2999</v>
      </c>
      <c r="Q994" s="2" t="s">
        <v>27</v>
      </c>
      <c r="R994" s="2">
        <v>2</v>
      </c>
      <c r="S994" s="2">
        <v>0</v>
      </c>
      <c r="T994" s="38" t="s">
        <v>2879</v>
      </c>
      <c r="U994" s="13"/>
    </row>
    <row r="995" spans="1:21" x14ac:dyDescent="0.3">
      <c r="A995" s="3" t="s">
        <v>1260</v>
      </c>
      <c r="B995" s="3" t="s">
        <v>1261</v>
      </c>
      <c r="C995" s="3">
        <v>60</v>
      </c>
      <c r="D995" s="3" t="s">
        <v>65</v>
      </c>
      <c r="E995" s="3">
        <v>16723</v>
      </c>
      <c r="F995" s="3">
        <v>150000</v>
      </c>
      <c r="G995" s="3">
        <v>240</v>
      </c>
      <c r="H995" s="3">
        <v>11.53</v>
      </c>
      <c r="I995" s="3" t="s">
        <v>83</v>
      </c>
      <c r="J995" s="3">
        <v>350</v>
      </c>
      <c r="K995" s="29">
        <v>44911</v>
      </c>
      <c r="L995" s="29" t="s">
        <v>724</v>
      </c>
      <c r="M995" s="3" t="s">
        <v>24</v>
      </c>
      <c r="N995" s="3">
        <v>1602.75</v>
      </c>
      <c r="O995" s="3" t="s">
        <v>105</v>
      </c>
      <c r="P995" s="3" t="s">
        <v>159</v>
      </c>
      <c r="Q995" s="3" t="s">
        <v>42</v>
      </c>
      <c r="R995" s="3">
        <v>0</v>
      </c>
      <c r="S995" s="3">
        <v>0</v>
      </c>
      <c r="T995" s="38" t="s">
        <v>2879</v>
      </c>
      <c r="U995" s="13"/>
    </row>
    <row r="996" spans="1:21" x14ac:dyDescent="0.3">
      <c r="A996" s="2" t="s">
        <v>1267</v>
      </c>
      <c r="B996" s="2" t="s">
        <v>1268</v>
      </c>
      <c r="C996" s="2">
        <v>29</v>
      </c>
      <c r="D996" s="2" t="s">
        <v>21</v>
      </c>
      <c r="E996" s="2">
        <v>101300</v>
      </c>
      <c r="F996" s="2">
        <v>500000</v>
      </c>
      <c r="G996" s="2">
        <v>120</v>
      </c>
      <c r="H996" s="2">
        <v>15.11</v>
      </c>
      <c r="I996" s="2" t="s">
        <v>83</v>
      </c>
      <c r="J996" s="2">
        <v>359</v>
      </c>
      <c r="K996" s="30">
        <v>45280</v>
      </c>
      <c r="L996" s="30" t="s">
        <v>1039</v>
      </c>
      <c r="M996" s="2" t="s">
        <v>24</v>
      </c>
      <c r="N996" s="2">
        <v>8100.46</v>
      </c>
      <c r="O996" s="2" t="s">
        <v>25</v>
      </c>
      <c r="P996" s="2" t="s">
        <v>123</v>
      </c>
      <c r="Q996" s="2" t="s">
        <v>35</v>
      </c>
      <c r="R996" s="2">
        <v>11</v>
      </c>
      <c r="S996" s="2">
        <v>0</v>
      </c>
      <c r="T996" s="38" t="s">
        <v>2879</v>
      </c>
      <c r="U996" s="13"/>
    </row>
    <row r="997" spans="1:21" x14ac:dyDescent="0.3">
      <c r="A997" s="3" t="s">
        <v>1275</v>
      </c>
      <c r="B997" s="3" t="s">
        <v>955</v>
      </c>
      <c r="C997" s="3">
        <v>22</v>
      </c>
      <c r="D997" s="3" t="s">
        <v>30</v>
      </c>
      <c r="E997" s="3">
        <v>195883</v>
      </c>
      <c r="F997" s="3">
        <v>200000</v>
      </c>
      <c r="G997" s="3">
        <v>60</v>
      </c>
      <c r="H997" s="3">
        <v>18.96</v>
      </c>
      <c r="I997" s="3" t="s">
        <v>66</v>
      </c>
      <c r="J997" s="3">
        <v>607</v>
      </c>
      <c r="K997" s="29">
        <v>44209</v>
      </c>
      <c r="L997" s="29" t="s">
        <v>1276</v>
      </c>
      <c r="M997" s="3" t="s">
        <v>24</v>
      </c>
      <c r="N997" s="3">
        <v>5183.71</v>
      </c>
      <c r="O997" s="3" t="s">
        <v>54</v>
      </c>
      <c r="P997" s="3" t="s">
        <v>99</v>
      </c>
      <c r="Q997" s="3" t="s">
        <v>27</v>
      </c>
      <c r="R997" s="3">
        <v>1</v>
      </c>
      <c r="S997" s="3">
        <v>0</v>
      </c>
      <c r="T997" s="38" t="s">
        <v>2875</v>
      </c>
      <c r="U997" s="13"/>
    </row>
    <row r="998" spans="1:21" x14ac:dyDescent="0.3">
      <c r="A998" s="2" t="s">
        <v>1289</v>
      </c>
      <c r="B998" s="2" t="s">
        <v>1290</v>
      </c>
      <c r="C998" s="2">
        <v>24</v>
      </c>
      <c r="D998" s="2" t="s">
        <v>30</v>
      </c>
      <c r="E998" s="2">
        <v>39275</v>
      </c>
      <c r="F998" s="2">
        <v>400000</v>
      </c>
      <c r="G998" s="2">
        <v>240</v>
      </c>
      <c r="H998" s="2">
        <v>7.86</v>
      </c>
      <c r="I998" s="2" t="s">
        <v>31</v>
      </c>
      <c r="J998" s="2">
        <v>812</v>
      </c>
      <c r="K998" s="30">
        <v>45187</v>
      </c>
      <c r="L998" s="30" t="s">
        <v>1292</v>
      </c>
      <c r="M998" s="2" t="s">
        <v>24</v>
      </c>
      <c r="N998" s="2">
        <v>3310.99</v>
      </c>
      <c r="O998" s="2" t="s">
        <v>105</v>
      </c>
      <c r="P998" s="2" t="s">
        <v>159</v>
      </c>
      <c r="Q998" s="2" t="s">
        <v>42</v>
      </c>
      <c r="R998" s="2">
        <v>1</v>
      </c>
      <c r="S998" s="2">
        <v>0</v>
      </c>
      <c r="T998" s="38" t="s">
        <v>2867</v>
      </c>
      <c r="U998" s="13"/>
    </row>
    <row r="999" spans="1:21" x14ac:dyDescent="0.3">
      <c r="A999" s="3" t="s">
        <v>1293</v>
      </c>
      <c r="B999" s="3" t="s">
        <v>1294</v>
      </c>
      <c r="C999" s="3">
        <v>42</v>
      </c>
      <c r="D999" s="3" t="s">
        <v>30</v>
      </c>
      <c r="E999" s="3">
        <v>216714</v>
      </c>
      <c r="F999" s="3">
        <v>75000</v>
      </c>
      <c r="G999" s="3">
        <v>240</v>
      </c>
      <c r="H999" s="3">
        <v>17.309999999999999</v>
      </c>
      <c r="I999" s="3" t="s">
        <v>251</v>
      </c>
      <c r="J999" s="3">
        <v>510</v>
      </c>
      <c r="K999" s="29">
        <v>45266</v>
      </c>
      <c r="L999" s="29" t="s">
        <v>1295</v>
      </c>
      <c r="M999" s="3" t="s">
        <v>122</v>
      </c>
      <c r="N999" s="3">
        <v>1117.82</v>
      </c>
      <c r="O999" s="3" t="s">
        <v>25</v>
      </c>
      <c r="P999" s="3" t="s">
        <v>2998</v>
      </c>
      <c r="Q999" s="3" t="s">
        <v>100</v>
      </c>
      <c r="R999" s="3">
        <v>6</v>
      </c>
      <c r="S999" s="3">
        <v>0</v>
      </c>
      <c r="T999" s="38" t="s">
        <v>2879</v>
      </c>
      <c r="U999" s="13"/>
    </row>
    <row r="1000" spans="1:21" x14ac:dyDescent="0.3">
      <c r="A1000" s="2" t="s">
        <v>1296</v>
      </c>
      <c r="B1000" s="2" t="s">
        <v>1297</v>
      </c>
      <c r="C1000" s="2">
        <v>24</v>
      </c>
      <c r="D1000" s="2" t="s">
        <v>45</v>
      </c>
      <c r="E1000" s="2">
        <v>243556</v>
      </c>
      <c r="F1000" s="2">
        <v>75000</v>
      </c>
      <c r="G1000" s="2">
        <v>84</v>
      </c>
      <c r="H1000" s="2">
        <v>14.27</v>
      </c>
      <c r="I1000" s="2" t="s">
        <v>46</v>
      </c>
      <c r="J1000" s="2">
        <v>405</v>
      </c>
      <c r="K1000" s="30">
        <v>44836</v>
      </c>
      <c r="L1000" s="30" t="s">
        <v>1163</v>
      </c>
      <c r="M1000" s="2" t="s">
        <v>24</v>
      </c>
      <c r="N1000" s="2">
        <v>1416.71</v>
      </c>
      <c r="O1000" s="2" t="s">
        <v>54</v>
      </c>
      <c r="P1000" s="2" t="s">
        <v>183</v>
      </c>
      <c r="Q1000" s="2" t="s">
        <v>27</v>
      </c>
      <c r="R1000" s="2">
        <v>0</v>
      </c>
      <c r="S1000" s="2">
        <v>0</v>
      </c>
      <c r="T1000" s="38" t="s">
        <v>2879</v>
      </c>
      <c r="U1000" s="13"/>
    </row>
    <row r="1001" spans="1:21" x14ac:dyDescent="0.3">
      <c r="A1001" s="2" t="s">
        <v>1313</v>
      </c>
      <c r="B1001" s="2" t="s">
        <v>1314</v>
      </c>
      <c r="C1001" s="2">
        <v>44</v>
      </c>
      <c r="D1001" s="2" t="s">
        <v>65</v>
      </c>
      <c r="E1001" s="2">
        <v>135911</v>
      </c>
      <c r="F1001" s="2">
        <v>100000</v>
      </c>
      <c r="G1001" s="2">
        <v>60</v>
      </c>
      <c r="H1001" s="2">
        <v>18.64</v>
      </c>
      <c r="I1001" s="2" t="s">
        <v>251</v>
      </c>
      <c r="J1001" s="2">
        <v>820</v>
      </c>
      <c r="K1001" s="30">
        <v>44416</v>
      </c>
      <c r="L1001" s="30" t="s">
        <v>1315</v>
      </c>
      <c r="M1001" s="2" t="s">
        <v>24</v>
      </c>
      <c r="N1001" s="2">
        <v>2574.29</v>
      </c>
      <c r="O1001" s="2" t="s">
        <v>25</v>
      </c>
      <c r="P1001" s="2" t="s">
        <v>2998</v>
      </c>
      <c r="Q1001" s="2" t="s">
        <v>27</v>
      </c>
      <c r="R1001" s="2">
        <v>2</v>
      </c>
      <c r="S1001" s="2">
        <v>0</v>
      </c>
      <c r="T1001" s="38" t="s">
        <v>2867</v>
      </c>
      <c r="U1001" s="13"/>
    </row>
    <row r="1002" spans="1:21" x14ac:dyDescent="0.3">
      <c r="A1002" s="2" t="s">
        <v>1319</v>
      </c>
      <c r="B1002" s="2" t="s">
        <v>642</v>
      </c>
      <c r="C1002" s="2">
        <v>49</v>
      </c>
      <c r="D1002" s="2" t="s">
        <v>45</v>
      </c>
      <c r="E1002" s="2">
        <v>221392</v>
      </c>
      <c r="F1002" s="2">
        <v>250000</v>
      </c>
      <c r="G1002" s="2">
        <v>240</v>
      </c>
      <c r="H1002" s="2">
        <v>17.559999999999999</v>
      </c>
      <c r="I1002" s="2" t="s">
        <v>251</v>
      </c>
      <c r="J1002" s="2">
        <v>379</v>
      </c>
      <c r="K1002" s="30">
        <v>45145</v>
      </c>
      <c r="L1002" s="30" t="s">
        <v>252</v>
      </c>
      <c r="M1002" s="2" t="s">
        <v>33</v>
      </c>
      <c r="N1002" s="2">
        <v>3773.84</v>
      </c>
      <c r="O1002" s="2" t="s">
        <v>54</v>
      </c>
      <c r="P1002" s="2" t="s">
        <v>164</v>
      </c>
      <c r="Q1002" s="2" t="s">
        <v>42</v>
      </c>
      <c r="R1002" s="2">
        <v>0</v>
      </c>
      <c r="S1002" s="2">
        <v>0</v>
      </c>
      <c r="T1002" s="38" t="s">
        <v>2879</v>
      </c>
      <c r="U1002" s="13"/>
    </row>
    <row r="1003" spans="1:21" x14ac:dyDescent="0.3">
      <c r="A1003" s="3" t="s">
        <v>1333</v>
      </c>
      <c r="B1003" s="3" t="s">
        <v>1334</v>
      </c>
      <c r="C1003" s="3">
        <v>46</v>
      </c>
      <c r="D1003" s="3" t="s">
        <v>21</v>
      </c>
      <c r="E1003" s="3">
        <v>74176</v>
      </c>
      <c r="F1003" s="3">
        <v>100000</v>
      </c>
      <c r="G1003" s="3">
        <v>120</v>
      </c>
      <c r="H1003" s="3">
        <v>16.27</v>
      </c>
      <c r="I1003" s="3" t="s">
        <v>31</v>
      </c>
      <c r="J1003" s="3">
        <v>542</v>
      </c>
      <c r="K1003" s="29">
        <v>44948</v>
      </c>
      <c r="L1003" s="29" t="s">
        <v>1335</v>
      </c>
      <c r="M1003" s="3" t="s">
        <v>24</v>
      </c>
      <c r="N1003" s="3">
        <v>1692</v>
      </c>
      <c r="O1003" s="3" t="s">
        <v>54</v>
      </c>
      <c r="P1003" s="3" t="s">
        <v>183</v>
      </c>
      <c r="Q1003" s="3" t="s">
        <v>62</v>
      </c>
      <c r="R1003" s="3">
        <v>1</v>
      </c>
      <c r="S1003" s="3">
        <v>0</v>
      </c>
      <c r="T1003" s="38" t="s">
        <v>2879</v>
      </c>
      <c r="U1003" s="13"/>
    </row>
    <row r="1004" spans="1:21" x14ac:dyDescent="0.3">
      <c r="A1004" s="3" t="s">
        <v>1348</v>
      </c>
      <c r="B1004" s="3" t="s">
        <v>1349</v>
      </c>
      <c r="C1004" s="3">
        <v>27</v>
      </c>
      <c r="D1004" s="3" t="s">
        <v>30</v>
      </c>
      <c r="E1004" s="3">
        <v>171118</v>
      </c>
      <c r="F1004" s="3">
        <v>100000</v>
      </c>
      <c r="G1004" s="3">
        <v>180</v>
      </c>
      <c r="H1004" s="3">
        <v>18.420000000000002</v>
      </c>
      <c r="I1004" s="3" t="s">
        <v>73</v>
      </c>
      <c r="J1004" s="3">
        <v>692</v>
      </c>
      <c r="K1004" s="29">
        <v>44539</v>
      </c>
      <c r="L1004" s="29" t="s">
        <v>1350</v>
      </c>
      <c r="M1004" s="3" t="s">
        <v>24</v>
      </c>
      <c r="N1004" s="3">
        <v>1640.73</v>
      </c>
      <c r="O1004" s="3" t="s">
        <v>105</v>
      </c>
      <c r="P1004" s="3" t="s">
        <v>118</v>
      </c>
      <c r="Q1004" s="3" t="s">
        <v>42</v>
      </c>
      <c r="R1004" s="3">
        <v>2</v>
      </c>
      <c r="S1004" s="3">
        <v>0</v>
      </c>
      <c r="T1004" s="38" t="s">
        <v>2871</v>
      </c>
      <c r="U1004" s="13"/>
    </row>
    <row r="1005" spans="1:21" x14ac:dyDescent="0.3">
      <c r="A1005" s="3" t="s">
        <v>1365</v>
      </c>
      <c r="B1005" s="3" t="s">
        <v>1366</v>
      </c>
      <c r="C1005" s="3">
        <v>29</v>
      </c>
      <c r="D1005" s="3" t="s">
        <v>30</v>
      </c>
      <c r="E1005" s="3">
        <v>81410</v>
      </c>
      <c r="F1005" s="3">
        <v>200000</v>
      </c>
      <c r="G1005" s="3">
        <v>180</v>
      </c>
      <c r="H1005" s="3">
        <v>17.079999999999998</v>
      </c>
      <c r="I1005" s="3" t="s">
        <v>22</v>
      </c>
      <c r="J1005" s="3">
        <v>764</v>
      </c>
      <c r="K1005" s="29">
        <v>44859</v>
      </c>
      <c r="L1005" s="29" t="s">
        <v>1199</v>
      </c>
      <c r="M1005" s="3" t="s">
        <v>24</v>
      </c>
      <c r="N1005" s="3">
        <v>3089.36</v>
      </c>
      <c r="O1005" s="3" t="s">
        <v>48</v>
      </c>
      <c r="P1005" s="3" t="s">
        <v>80</v>
      </c>
      <c r="Q1005" s="3" t="s">
        <v>42</v>
      </c>
      <c r="R1005" s="3">
        <v>2</v>
      </c>
      <c r="S1005" s="3">
        <v>0</v>
      </c>
      <c r="T1005" s="38" t="s">
        <v>2867</v>
      </c>
      <c r="U1005" s="13"/>
    </row>
    <row r="1006" spans="1:21" x14ac:dyDescent="0.3">
      <c r="A1006" s="2" t="s">
        <v>1367</v>
      </c>
      <c r="B1006" s="2" t="s">
        <v>1368</v>
      </c>
      <c r="C1006" s="2">
        <v>39</v>
      </c>
      <c r="D1006" s="2" t="s">
        <v>72</v>
      </c>
      <c r="E1006" s="2">
        <v>115348</v>
      </c>
      <c r="F1006" s="2">
        <v>300000</v>
      </c>
      <c r="G1006" s="2">
        <v>84</v>
      </c>
      <c r="H1006" s="2">
        <v>21.94</v>
      </c>
      <c r="I1006" s="2" t="s">
        <v>66</v>
      </c>
      <c r="J1006" s="2">
        <v>571</v>
      </c>
      <c r="K1006" s="30">
        <v>44607</v>
      </c>
      <c r="L1006" s="30" t="s">
        <v>916</v>
      </c>
      <c r="M1006" s="2" t="s">
        <v>33</v>
      </c>
      <c r="N1006" s="2">
        <v>7016.67</v>
      </c>
      <c r="O1006" s="2" t="s">
        <v>105</v>
      </c>
      <c r="P1006" s="2" t="s">
        <v>118</v>
      </c>
      <c r="Q1006" s="2" t="s">
        <v>27</v>
      </c>
      <c r="R1006" s="2">
        <v>0</v>
      </c>
      <c r="S1006" s="2">
        <v>0</v>
      </c>
      <c r="T1006" s="38" t="s">
        <v>2875</v>
      </c>
      <c r="U1006" s="13"/>
    </row>
    <row r="1007" spans="1:21" x14ac:dyDescent="0.3">
      <c r="A1007" s="3" t="s">
        <v>1381</v>
      </c>
      <c r="B1007" s="3" t="s">
        <v>1382</v>
      </c>
      <c r="C1007" s="3">
        <v>47</v>
      </c>
      <c r="D1007" s="3" t="s">
        <v>72</v>
      </c>
      <c r="E1007" s="3">
        <v>70490</v>
      </c>
      <c r="F1007" s="3">
        <v>2000000</v>
      </c>
      <c r="G1007" s="3">
        <v>240</v>
      </c>
      <c r="H1007" s="3">
        <v>14.15</v>
      </c>
      <c r="I1007" s="3" t="s">
        <v>251</v>
      </c>
      <c r="J1007" s="3">
        <v>893</v>
      </c>
      <c r="K1007" s="29">
        <v>44486</v>
      </c>
      <c r="L1007" s="29" t="s">
        <v>510</v>
      </c>
      <c r="M1007" s="3" t="s">
        <v>24</v>
      </c>
      <c r="N1007" s="3">
        <v>25088.6</v>
      </c>
      <c r="O1007" s="3" t="s">
        <v>105</v>
      </c>
      <c r="P1007" s="3" t="s">
        <v>114</v>
      </c>
      <c r="Q1007" s="3" t="s">
        <v>42</v>
      </c>
      <c r="R1007" s="3">
        <v>0</v>
      </c>
      <c r="S1007" s="3">
        <v>0</v>
      </c>
      <c r="T1007" s="38" t="s">
        <v>2867</v>
      </c>
      <c r="U1007" s="13"/>
    </row>
    <row r="1008" spans="1:21" x14ac:dyDescent="0.3">
      <c r="A1008" s="3" t="s">
        <v>1400</v>
      </c>
      <c r="B1008" s="3" t="s">
        <v>1401</v>
      </c>
      <c r="C1008" s="3">
        <v>35</v>
      </c>
      <c r="D1008" s="3" t="s">
        <v>65</v>
      </c>
      <c r="E1008" s="3">
        <v>80898</v>
      </c>
      <c r="F1008" s="3">
        <v>250000</v>
      </c>
      <c r="G1008" s="3">
        <v>180</v>
      </c>
      <c r="H1008" s="3">
        <v>8.1300000000000008</v>
      </c>
      <c r="I1008" s="3" t="s">
        <v>46</v>
      </c>
      <c r="J1008" s="3">
        <v>850</v>
      </c>
      <c r="K1008" s="29">
        <v>45251</v>
      </c>
      <c r="L1008" s="29" t="s">
        <v>1038</v>
      </c>
      <c r="M1008" s="3" t="s">
        <v>24</v>
      </c>
      <c r="N1008" s="3">
        <v>2407.9299999999998</v>
      </c>
      <c r="O1008" s="3" t="s">
        <v>105</v>
      </c>
      <c r="P1008" s="3" t="s">
        <v>159</v>
      </c>
      <c r="Q1008" s="3" t="s">
        <v>42</v>
      </c>
      <c r="R1008" s="3">
        <v>0</v>
      </c>
      <c r="S1008" s="3">
        <v>0</v>
      </c>
      <c r="T1008" s="38" t="s">
        <v>2867</v>
      </c>
      <c r="U1008" s="13"/>
    </row>
    <row r="1009" spans="1:21" x14ac:dyDescent="0.3">
      <c r="A1009" s="2" t="s">
        <v>1424</v>
      </c>
      <c r="B1009" s="2" t="s">
        <v>1031</v>
      </c>
      <c r="C1009" s="2">
        <v>36</v>
      </c>
      <c r="D1009" s="2" t="s">
        <v>21</v>
      </c>
      <c r="E1009" s="2">
        <v>107461</v>
      </c>
      <c r="F1009" s="2">
        <v>200000</v>
      </c>
      <c r="G1009" s="2">
        <v>240</v>
      </c>
      <c r="H1009" s="2">
        <v>17.36</v>
      </c>
      <c r="I1009" s="2" t="s">
        <v>66</v>
      </c>
      <c r="J1009" s="2">
        <v>355</v>
      </c>
      <c r="K1009" s="30">
        <v>45192</v>
      </c>
      <c r="L1009" s="30" t="s">
        <v>1425</v>
      </c>
      <c r="M1009" s="2" t="s">
        <v>33</v>
      </c>
      <c r="N1009" s="2">
        <v>2988.48</v>
      </c>
      <c r="O1009" s="2" t="s">
        <v>25</v>
      </c>
      <c r="P1009" s="2" t="s">
        <v>151</v>
      </c>
      <c r="Q1009" s="2" t="s">
        <v>42</v>
      </c>
      <c r="R1009" s="2">
        <v>1</v>
      </c>
      <c r="S1009" s="2">
        <v>0</v>
      </c>
      <c r="T1009" s="38" t="s">
        <v>2879</v>
      </c>
      <c r="U1009" s="13"/>
    </row>
    <row r="1010" spans="1:21" x14ac:dyDescent="0.3">
      <c r="A1010" s="2" t="s">
        <v>1429</v>
      </c>
      <c r="B1010" s="2" t="s">
        <v>1430</v>
      </c>
      <c r="C1010" s="2">
        <v>28</v>
      </c>
      <c r="D1010" s="2" t="s">
        <v>30</v>
      </c>
      <c r="E1010" s="2">
        <v>87336</v>
      </c>
      <c r="F1010" s="2">
        <v>75000</v>
      </c>
      <c r="G1010" s="2">
        <v>36</v>
      </c>
      <c r="H1010" s="2">
        <v>14.7</v>
      </c>
      <c r="I1010" s="2" t="s">
        <v>83</v>
      </c>
      <c r="J1010" s="2">
        <v>833</v>
      </c>
      <c r="K1010" s="30">
        <v>44467</v>
      </c>
      <c r="L1010" s="30" t="s">
        <v>327</v>
      </c>
      <c r="M1010" s="2" t="s">
        <v>24</v>
      </c>
      <c r="N1010" s="2">
        <v>2588.89</v>
      </c>
      <c r="O1010" s="2" t="s">
        <v>25</v>
      </c>
      <c r="P1010" s="2" t="s">
        <v>151</v>
      </c>
      <c r="Q1010" s="2" t="s">
        <v>42</v>
      </c>
      <c r="R1010" s="2">
        <v>1</v>
      </c>
      <c r="S1010" s="2">
        <v>0</v>
      </c>
      <c r="T1010" s="38" t="s">
        <v>2867</v>
      </c>
      <c r="U1010" s="13"/>
    </row>
    <row r="1011" spans="1:21" x14ac:dyDescent="0.3">
      <c r="A1011" s="2" t="s">
        <v>1437</v>
      </c>
      <c r="B1011" s="2" t="s">
        <v>1438</v>
      </c>
      <c r="C1011" s="2">
        <v>38</v>
      </c>
      <c r="D1011" s="2" t="s">
        <v>21</v>
      </c>
      <c r="E1011" s="2">
        <v>63364</v>
      </c>
      <c r="F1011" s="2">
        <v>150000</v>
      </c>
      <c r="G1011" s="2">
        <v>240</v>
      </c>
      <c r="H1011" s="2">
        <v>17.75</v>
      </c>
      <c r="I1011" s="2" t="s">
        <v>38</v>
      </c>
      <c r="J1011" s="2">
        <v>652</v>
      </c>
      <c r="K1011" s="30">
        <v>44529</v>
      </c>
      <c r="L1011" s="30" t="s">
        <v>1439</v>
      </c>
      <c r="M1011" s="2" t="s">
        <v>122</v>
      </c>
      <c r="N1011" s="2">
        <v>2286.15</v>
      </c>
      <c r="O1011" s="2" t="s">
        <v>105</v>
      </c>
      <c r="P1011" s="2" t="s">
        <v>130</v>
      </c>
      <c r="Q1011" s="2" t="s">
        <v>35</v>
      </c>
      <c r="R1011" s="2">
        <v>7</v>
      </c>
      <c r="S1011" s="2">
        <v>0</v>
      </c>
      <c r="T1011" s="38" t="s">
        <v>2871</v>
      </c>
      <c r="U1011" s="13"/>
    </row>
    <row r="1012" spans="1:21" x14ac:dyDescent="0.3">
      <c r="A1012" s="3" t="s">
        <v>1451</v>
      </c>
      <c r="B1012" s="3" t="s">
        <v>1452</v>
      </c>
      <c r="C1012" s="3">
        <v>40</v>
      </c>
      <c r="D1012" s="3" t="s">
        <v>21</v>
      </c>
      <c r="E1012" s="3">
        <v>107105</v>
      </c>
      <c r="F1012" s="3">
        <v>200000</v>
      </c>
      <c r="G1012" s="3">
        <v>180</v>
      </c>
      <c r="H1012" s="3">
        <v>20.18</v>
      </c>
      <c r="I1012" s="3" t="s">
        <v>22</v>
      </c>
      <c r="J1012" s="3">
        <v>520</v>
      </c>
      <c r="K1012" s="29">
        <v>44788</v>
      </c>
      <c r="L1012" s="29" t="s">
        <v>718</v>
      </c>
      <c r="M1012" s="3" t="s">
        <v>24</v>
      </c>
      <c r="N1012" s="3">
        <v>3539.22</v>
      </c>
      <c r="O1012" s="3" t="s">
        <v>60</v>
      </c>
      <c r="P1012" s="3" t="s">
        <v>2997</v>
      </c>
      <c r="Q1012" s="3" t="s">
        <v>100</v>
      </c>
      <c r="R1012" s="3">
        <v>12</v>
      </c>
      <c r="S1012" s="3">
        <v>0</v>
      </c>
      <c r="T1012" s="38" t="s">
        <v>2879</v>
      </c>
      <c r="U1012" s="13"/>
    </row>
    <row r="1013" spans="1:21" x14ac:dyDescent="0.3">
      <c r="A1013" s="3" t="s">
        <v>1455</v>
      </c>
      <c r="B1013" s="3" t="s">
        <v>1456</v>
      </c>
      <c r="C1013" s="3">
        <v>62</v>
      </c>
      <c r="D1013" s="3" t="s">
        <v>21</v>
      </c>
      <c r="E1013" s="3">
        <v>123662</v>
      </c>
      <c r="F1013" s="3">
        <v>100000</v>
      </c>
      <c r="G1013" s="3">
        <v>240</v>
      </c>
      <c r="H1013" s="3">
        <v>14.2</v>
      </c>
      <c r="I1013" s="3" t="s">
        <v>251</v>
      </c>
      <c r="J1013" s="3">
        <v>504</v>
      </c>
      <c r="K1013" s="29">
        <v>45201</v>
      </c>
      <c r="L1013" s="29" t="s">
        <v>1457</v>
      </c>
      <c r="M1013" s="3" t="s">
        <v>24</v>
      </c>
      <c r="N1013" s="3">
        <v>1258.07</v>
      </c>
      <c r="O1013" s="3" t="s">
        <v>105</v>
      </c>
      <c r="P1013" s="3" t="s">
        <v>118</v>
      </c>
      <c r="Q1013" s="3" t="s">
        <v>27</v>
      </c>
      <c r="R1013" s="3">
        <v>1</v>
      </c>
      <c r="S1013" s="3">
        <v>0</v>
      </c>
      <c r="T1013" s="38" t="s">
        <v>2879</v>
      </c>
      <c r="U1013" s="13"/>
    </row>
    <row r="1014" spans="1:21" x14ac:dyDescent="0.3">
      <c r="A1014" s="3" t="s">
        <v>1465</v>
      </c>
      <c r="B1014" s="3" t="s">
        <v>1205</v>
      </c>
      <c r="C1014" s="3">
        <v>44</v>
      </c>
      <c r="D1014" s="3" t="s">
        <v>30</v>
      </c>
      <c r="E1014" s="3">
        <v>28864</v>
      </c>
      <c r="F1014" s="3">
        <v>200000</v>
      </c>
      <c r="G1014" s="3">
        <v>84</v>
      </c>
      <c r="H1014" s="3">
        <v>13.58</v>
      </c>
      <c r="I1014" s="3" t="s">
        <v>38</v>
      </c>
      <c r="J1014" s="3">
        <v>349</v>
      </c>
      <c r="K1014" s="29">
        <v>44354</v>
      </c>
      <c r="L1014" s="29" t="s">
        <v>1466</v>
      </c>
      <c r="M1014" s="3" t="s">
        <v>24</v>
      </c>
      <c r="N1014" s="3">
        <v>3701.75</v>
      </c>
      <c r="O1014" s="3" t="s">
        <v>48</v>
      </c>
      <c r="P1014" s="3" t="s">
        <v>199</v>
      </c>
      <c r="Q1014" s="3" t="s">
        <v>42</v>
      </c>
      <c r="R1014" s="3">
        <v>2</v>
      </c>
      <c r="S1014" s="3">
        <v>0</v>
      </c>
      <c r="T1014" s="38" t="s">
        <v>2879</v>
      </c>
      <c r="U1014" s="13"/>
    </row>
    <row r="1015" spans="1:21" x14ac:dyDescent="0.3">
      <c r="A1015" s="2" t="s">
        <v>1467</v>
      </c>
      <c r="B1015" s="2" t="s">
        <v>1468</v>
      </c>
      <c r="C1015" s="2">
        <v>28</v>
      </c>
      <c r="D1015" s="2" t="s">
        <v>45</v>
      </c>
      <c r="E1015" s="2">
        <v>212297</v>
      </c>
      <c r="F1015" s="2">
        <v>100000</v>
      </c>
      <c r="G1015" s="2">
        <v>240</v>
      </c>
      <c r="H1015" s="2">
        <v>12.18</v>
      </c>
      <c r="I1015" s="2" t="s">
        <v>38</v>
      </c>
      <c r="J1015" s="2">
        <v>608</v>
      </c>
      <c r="K1015" s="30">
        <v>44917</v>
      </c>
      <c r="L1015" s="30" t="s">
        <v>1469</v>
      </c>
      <c r="M1015" s="2" t="s">
        <v>24</v>
      </c>
      <c r="N1015" s="2">
        <v>1113.6600000000001</v>
      </c>
      <c r="O1015" s="2" t="s">
        <v>48</v>
      </c>
      <c r="P1015" s="2" t="s">
        <v>199</v>
      </c>
      <c r="Q1015" s="2" t="s">
        <v>42</v>
      </c>
      <c r="R1015" s="2">
        <v>0</v>
      </c>
      <c r="S1015" s="2">
        <v>0</v>
      </c>
      <c r="T1015" s="38" t="s">
        <v>2875</v>
      </c>
      <c r="U1015" s="13"/>
    </row>
    <row r="1016" spans="1:21" x14ac:dyDescent="0.3">
      <c r="A1016" s="2" t="s">
        <v>1484</v>
      </c>
      <c r="B1016" s="2" t="s">
        <v>1485</v>
      </c>
      <c r="C1016" s="2">
        <v>59</v>
      </c>
      <c r="D1016" s="2" t="s">
        <v>21</v>
      </c>
      <c r="E1016" s="2">
        <v>107327</v>
      </c>
      <c r="F1016" s="2">
        <v>100000</v>
      </c>
      <c r="G1016" s="2">
        <v>240</v>
      </c>
      <c r="H1016" s="2">
        <v>18.82</v>
      </c>
      <c r="I1016" s="2" t="s">
        <v>83</v>
      </c>
      <c r="J1016" s="2">
        <v>817</v>
      </c>
      <c r="K1016" s="30">
        <v>44225</v>
      </c>
      <c r="L1016" s="30" t="s">
        <v>1282</v>
      </c>
      <c r="M1016" s="2"/>
      <c r="N1016" s="2">
        <v>1606.7</v>
      </c>
      <c r="O1016" s="2" t="s">
        <v>54</v>
      </c>
      <c r="P1016" s="2" t="s">
        <v>304</v>
      </c>
      <c r="Q1016" s="2" t="s">
        <v>42</v>
      </c>
      <c r="R1016" s="2">
        <v>0</v>
      </c>
      <c r="S1016" s="2">
        <v>0</v>
      </c>
      <c r="T1016" s="38" t="s">
        <v>2867</v>
      </c>
      <c r="U1016" s="13"/>
    </row>
    <row r="1017" spans="1:21" x14ac:dyDescent="0.3">
      <c r="A1017" s="3" t="s">
        <v>1497</v>
      </c>
      <c r="B1017" s="3" t="s">
        <v>1498</v>
      </c>
      <c r="C1017" s="3">
        <v>28</v>
      </c>
      <c r="D1017" s="3" t="s">
        <v>72</v>
      </c>
      <c r="E1017" s="3">
        <v>80716</v>
      </c>
      <c r="F1017" s="3">
        <v>400000</v>
      </c>
      <c r="G1017" s="3">
        <v>180</v>
      </c>
      <c r="H1017" s="3">
        <v>10.85</v>
      </c>
      <c r="I1017" s="3" t="s">
        <v>251</v>
      </c>
      <c r="J1017" s="3">
        <v>330</v>
      </c>
      <c r="K1017" s="29">
        <v>44251</v>
      </c>
      <c r="L1017" s="29" t="s">
        <v>1499</v>
      </c>
      <c r="M1017" s="3" t="s">
        <v>24</v>
      </c>
      <c r="N1017" s="3">
        <v>4508.78</v>
      </c>
      <c r="O1017" s="3" t="s">
        <v>25</v>
      </c>
      <c r="P1017" s="3" t="s">
        <v>26</v>
      </c>
      <c r="Q1017" s="3" t="s">
        <v>42</v>
      </c>
      <c r="R1017" s="3">
        <v>0</v>
      </c>
      <c r="S1017" s="3">
        <v>0</v>
      </c>
      <c r="T1017" s="38" t="s">
        <v>2879</v>
      </c>
      <c r="U1017" s="13"/>
    </row>
    <row r="1018" spans="1:21" x14ac:dyDescent="0.3">
      <c r="A1018" s="3" t="s">
        <v>1507</v>
      </c>
      <c r="B1018" s="3" t="s">
        <v>1071</v>
      </c>
      <c r="C1018" s="3">
        <v>52</v>
      </c>
      <c r="D1018" s="3" t="s">
        <v>45</v>
      </c>
      <c r="E1018" s="3">
        <v>238963</v>
      </c>
      <c r="F1018" s="3">
        <v>100000</v>
      </c>
      <c r="G1018" s="3">
        <v>240</v>
      </c>
      <c r="H1018" s="3">
        <v>8.31</v>
      </c>
      <c r="I1018" s="3" t="s">
        <v>66</v>
      </c>
      <c r="J1018" s="3">
        <v>806</v>
      </c>
      <c r="K1018" s="29">
        <v>44919</v>
      </c>
      <c r="L1018" s="29" t="s">
        <v>1469</v>
      </c>
      <c r="M1018" s="3" t="s">
        <v>33</v>
      </c>
      <c r="N1018" s="3">
        <v>855.84</v>
      </c>
      <c r="O1018" s="3" t="s">
        <v>54</v>
      </c>
      <c r="P1018" s="3" t="s">
        <v>164</v>
      </c>
      <c r="Q1018" s="3" t="s">
        <v>35</v>
      </c>
      <c r="R1018" s="3">
        <v>9</v>
      </c>
      <c r="S1018" s="3">
        <v>0</v>
      </c>
      <c r="T1018" s="38" t="s">
        <v>2867</v>
      </c>
      <c r="U1018" s="13"/>
    </row>
    <row r="1019" spans="1:21" x14ac:dyDescent="0.3">
      <c r="A1019" s="2" t="s">
        <v>1512</v>
      </c>
      <c r="B1019" s="2" t="s">
        <v>1513</v>
      </c>
      <c r="C1019" s="2">
        <v>24</v>
      </c>
      <c r="D1019" s="2" t="s">
        <v>65</v>
      </c>
      <c r="E1019" s="2">
        <v>187429</v>
      </c>
      <c r="F1019" s="2">
        <v>300000</v>
      </c>
      <c r="G1019" s="2">
        <v>240</v>
      </c>
      <c r="H1019" s="2">
        <v>20.57</v>
      </c>
      <c r="I1019" s="2" t="s">
        <v>66</v>
      </c>
      <c r="J1019" s="2">
        <v>320</v>
      </c>
      <c r="K1019" s="30">
        <v>44970</v>
      </c>
      <c r="L1019" s="30" t="s">
        <v>1515</v>
      </c>
      <c r="M1019" s="2" t="s">
        <v>33</v>
      </c>
      <c r="N1019" s="2">
        <v>5231.0200000000004</v>
      </c>
      <c r="O1019" s="2" t="s">
        <v>60</v>
      </c>
      <c r="P1019" s="2" t="s">
        <v>69</v>
      </c>
      <c r="Q1019" s="2" t="s">
        <v>42</v>
      </c>
      <c r="R1019" s="2">
        <v>0</v>
      </c>
      <c r="S1019" s="2">
        <v>0</v>
      </c>
      <c r="T1019" s="38" t="s">
        <v>2879</v>
      </c>
      <c r="U1019" s="13"/>
    </row>
    <row r="1020" spans="1:21" x14ac:dyDescent="0.3">
      <c r="A1020" s="2" t="s">
        <v>1522</v>
      </c>
      <c r="B1020" s="2" t="s">
        <v>1523</v>
      </c>
      <c r="C1020" s="2">
        <v>64</v>
      </c>
      <c r="D1020" s="2" t="s">
        <v>45</v>
      </c>
      <c r="E1020" s="2">
        <v>97143</v>
      </c>
      <c r="F1020" s="2">
        <v>150000</v>
      </c>
      <c r="G1020" s="2">
        <v>120</v>
      </c>
      <c r="H1020" s="2">
        <v>13.33</v>
      </c>
      <c r="I1020" s="2" t="s">
        <v>31</v>
      </c>
      <c r="J1020" s="2">
        <v>860</v>
      </c>
      <c r="K1020" s="30">
        <v>45254</v>
      </c>
      <c r="L1020" s="30" t="s">
        <v>190</v>
      </c>
      <c r="M1020" s="2" t="s">
        <v>33</v>
      </c>
      <c r="N1020" s="2">
        <v>2268.9499999999998</v>
      </c>
      <c r="O1020" s="2" t="s">
        <v>105</v>
      </c>
      <c r="P1020" s="2" t="s">
        <v>114</v>
      </c>
      <c r="Q1020" s="2" t="s">
        <v>35</v>
      </c>
      <c r="R1020" s="2">
        <v>10</v>
      </c>
      <c r="S1020" s="2">
        <v>0</v>
      </c>
      <c r="T1020" s="38" t="s">
        <v>2867</v>
      </c>
      <c r="U1020" s="13"/>
    </row>
    <row r="1021" spans="1:21" x14ac:dyDescent="0.3">
      <c r="A1021" s="3" t="s">
        <v>1524</v>
      </c>
      <c r="B1021" s="3" t="s">
        <v>1525</v>
      </c>
      <c r="C1021" s="3">
        <v>35</v>
      </c>
      <c r="D1021" s="3" t="s">
        <v>65</v>
      </c>
      <c r="E1021" s="3">
        <v>85237</v>
      </c>
      <c r="F1021" s="3">
        <v>1000000</v>
      </c>
      <c r="G1021" s="3">
        <v>240</v>
      </c>
      <c r="H1021" s="3">
        <v>19.23</v>
      </c>
      <c r="I1021" s="3" t="s">
        <v>73</v>
      </c>
      <c r="J1021" s="3">
        <v>879</v>
      </c>
      <c r="K1021" s="29">
        <v>45144</v>
      </c>
      <c r="L1021" s="29" t="s">
        <v>1526</v>
      </c>
      <c r="M1021" s="3" t="s">
        <v>24</v>
      </c>
      <c r="N1021" s="3">
        <v>16385.919999999998</v>
      </c>
      <c r="O1021" s="3" t="s">
        <v>25</v>
      </c>
      <c r="P1021" s="3" t="s">
        <v>123</v>
      </c>
      <c r="Q1021" s="3" t="s">
        <v>27</v>
      </c>
      <c r="R1021" s="3">
        <v>0</v>
      </c>
      <c r="S1021" s="3">
        <v>0</v>
      </c>
      <c r="T1021" s="38" t="s">
        <v>2867</v>
      </c>
      <c r="U1021" s="13"/>
    </row>
    <row r="1022" spans="1:21" x14ac:dyDescent="0.3">
      <c r="A1022" s="2" t="s">
        <v>1527</v>
      </c>
      <c r="B1022" s="2" t="s">
        <v>1528</v>
      </c>
      <c r="C1022" s="2">
        <v>65</v>
      </c>
      <c r="D1022" s="2" t="s">
        <v>21</v>
      </c>
      <c r="E1022" s="2">
        <v>236281</v>
      </c>
      <c r="F1022" s="2">
        <v>300000</v>
      </c>
      <c r="G1022" s="2">
        <v>120</v>
      </c>
      <c r="H1022" s="2">
        <v>12.12</v>
      </c>
      <c r="I1022" s="2" t="s">
        <v>22</v>
      </c>
      <c r="J1022" s="2">
        <v>508</v>
      </c>
      <c r="K1022" s="30">
        <v>44525</v>
      </c>
      <c r="L1022" s="30" t="s">
        <v>1529</v>
      </c>
      <c r="M1022" s="2" t="s">
        <v>24</v>
      </c>
      <c r="N1022" s="2">
        <v>4324.97</v>
      </c>
      <c r="O1022" s="2" t="s">
        <v>60</v>
      </c>
      <c r="P1022" s="2" t="s">
        <v>61</v>
      </c>
      <c r="Q1022" s="2" t="s">
        <v>42</v>
      </c>
      <c r="R1022" s="2">
        <v>1</v>
      </c>
      <c r="S1022" s="2">
        <v>0</v>
      </c>
      <c r="T1022" s="38" t="s">
        <v>2879</v>
      </c>
      <c r="U1022" s="13"/>
    </row>
    <row r="1023" spans="1:21" x14ac:dyDescent="0.3">
      <c r="A1023" s="2" t="s">
        <v>1533</v>
      </c>
      <c r="B1023" s="2" t="s">
        <v>1534</v>
      </c>
      <c r="C1023" s="2">
        <v>30</v>
      </c>
      <c r="D1023" s="2" t="s">
        <v>72</v>
      </c>
      <c r="E1023" s="2">
        <v>82737</v>
      </c>
      <c r="F1023" s="2">
        <v>2000000</v>
      </c>
      <c r="G1023" s="2">
        <v>60</v>
      </c>
      <c r="H1023" s="2">
        <v>17.05</v>
      </c>
      <c r="I1023" s="2" t="s">
        <v>251</v>
      </c>
      <c r="J1023" s="2">
        <v>343</v>
      </c>
      <c r="K1023" s="30">
        <v>44368</v>
      </c>
      <c r="L1023" s="30" t="s">
        <v>409</v>
      </c>
      <c r="M1023" s="2" t="s">
        <v>122</v>
      </c>
      <c r="N1023" s="2">
        <v>49758.94</v>
      </c>
      <c r="O1023" s="2" t="s">
        <v>60</v>
      </c>
      <c r="P1023" s="2" t="s">
        <v>172</v>
      </c>
      <c r="Q1023" s="2" t="s">
        <v>42</v>
      </c>
      <c r="R1023" s="2">
        <v>0</v>
      </c>
      <c r="S1023" s="2">
        <v>0</v>
      </c>
      <c r="T1023" s="38" t="s">
        <v>2879</v>
      </c>
      <c r="U1023" s="13"/>
    </row>
    <row r="1024" spans="1:21" x14ac:dyDescent="0.3">
      <c r="A1024" s="2" t="s">
        <v>1537</v>
      </c>
      <c r="B1024" s="2" t="s">
        <v>1538</v>
      </c>
      <c r="C1024" s="2">
        <v>53</v>
      </c>
      <c r="D1024" s="2" t="s">
        <v>72</v>
      </c>
      <c r="E1024" s="2">
        <v>77410</v>
      </c>
      <c r="F1024" s="2">
        <v>750000</v>
      </c>
      <c r="G1024" s="2">
        <v>24</v>
      </c>
      <c r="H1024" s="2">
        <v>18.71</v>
      </c>
      <c r="I1024" s="2" t="s">
        <v>38</v>
      </c>
      <c r="J1024" s="2">
        <v>637</v>
      </c>
      <c r="K1024" s="30">
        <v>44680</v>
      </c>
      <c r="L1024" s="30" t="s">
        <v>574</v>
      </c>
      <c r="M1024" s="2" t="s">
        <v>24</v>
      </c>
      <c r="N1024" s="2">
        <v>37700.870000000003</v>
      </c>
      <c r="O1024" s="2" t="s">
        <v>54</v>
      </c>
      <c r="P1024" s="2" t="s">
        <v>164</v>
      </c>
      <c r="Q1024" s="2" t="s">
        <v>35</v>
      </c>
      <c r="R1024" s="2">
        <v>12</v>
      </c>
      <c r="S1024" s="2">
        <v>0</v>
      </c>
      <c r="T1024" s="38" t="s">
        <v>2875</v>
      </c>
      <c r="U1024" s="13"/>
    </row>
    <row r="1025" spans="1:21" x14ac:dyDescent="0.3">
      <c r="A1025" s="2" t="s">
        <v>1546</v>
      </c>
      <c r="B1025" s="2" t="s">
        <v>1547</v>
      </c>
      <c r="C1025" s="2">
        <v>35</v>
      </c>
      <c r="D1025" s="2" t="s">
        <v>30</v>
      </c>
      <c r="E1025" s="2">
        <v>130040</v>
      </c>
      <c r="F1025" s="2">
        <v>1000000</v>
      </c>
      <c r="G1025" s="2">
        <v>84</v>
      </c>
      <c r="H1025" s="2">
        <v>20.25</v>
      </c>
      <c r="I1025" s="2" t="s">
        <v>73</v>
      </c>
      <c r="J1025" s="2">
        <v>334</v>
      </c>
      <c r="K1025" s="30">
        <v>45042</v>
      </c>
      <c r="L1025" s="30" t="s">
        <v>1548</v>
      </c>
      <c r="M1025" s="2"/>
      <c r="N1025" s="2">
        <v>22356.98</v>
      </c>
      <c r="O1025" s="2" t="s">
        <v>48</v>
      </c>
      <c r="P1025" s="2" t="s">
        <v>49</v>
      </c>
      <c r="Q1025" s="2" t="s">
        <v>42</v>
      </c>
      <c r="R1025" s="2">
        <v>1</v>
      </c>
      <c r="S1025" s="2">
        <v>0</v>
      </c>
      <c r="T1025" s="38" t="s">
        <v>2879</v>
      </c>
      <c r="U1025" s="13"/>
    </row>
    <row r="1026" spans="1:21" x14ac:dyDescent="0.3">
      <c r="A1026" s="2" t="s">
        <v>1567</v>
      </c>
      <c r="B1026" s="2" t="s">
        <v>1568</v>
      </c>
      <c r="C1026" s="2">
        <v>27</v>
      </c>
      <c r="D1026" s="2" t="s">
        <v>72</v>
      </c>
      <c r="E1026" s="2">
        <v>137914</v>
      </c>
      <c r="F1026" s="2">
        <v>100000</v>
      </c>
      <c r="G1026" s="2">
        <v>84</v>
      </c>
      <c r="H1026" s="2">
        <v>21.63</v>
      </c>
      <c r="I1026" s="2" t="s">
        <v>73</v>
      </c>
      <c r="J1026" s="2">
        <v>517</v>
      </c>
      <c r="K1026" s="30">
        <v>44721</v>
      </c>
      <c r="L1026" s="30" t="s">
        <v>1570</v>
      </c>
      <c r="M1026" s="2" t="s">
        <v>24</v>
      </c>
      <c r="N1026" s="2">
        <v>2319.8000000000002</v>
      </c>
      <c r="O1026" s="2" t="s">
        <v>60</v>
      </c>
      <c r="P1026" s="2" t="s">
        <v>2997</v>
      </c>
      <c r="Q1026" s="2" t="s">
        <v>100</v>
      </c>
      <c r="R1026" s="2">
        <v>11</v>
      </c>
      <c r="S1026" s="2">
        <v>0</v>
      </c>
      <c r="T1026" s="38" t="s">
        <v>2879</v>
      </c>
      <c r="U1026" s="13"/>
    </row>
    <row r="1027" spans="1:21" x14ac:dyDescent="0.3">
      <c r="A1027" s="3" t="s">
        <v>1571</v>
      </c>
      <c r="B1027" s="3" t="s">
        <v>1572</v>
      </c>
      <c r="C1027" s="3">
        <v>25</v>
      </c>
      <c r="D1027" s="3" t="s">
        <v>21</v>
      </c>
      <c r="E1027" s="3">
        <v>76562</v>
      </c>
      <c r="F1027" s="3">
        <v>400000</v>
      </c>
      <c r="G1027" s="3">
        <v>84</v>
      </c>
      <c r="H1027" s="3">
        <v>21.95</v>
      </c>
      <c r="I1027" s="3" t="s">
        <v>46</v>
      </c>
      <c r="J1027" s="3">
        <v>305</v>
      </c>
      <c r="K1027" s="29">
        <v>44816</v>
      </c>
      <c r="L1027" s="29" t="s">
        <v>422</v>
      </c>
      <c r="M1027" s="3" t="s">
        <v>24</v>
      </c>
      <c r="N1027" s="3">
        <v>9358.0300000000007</v>
      </c>
      <c r="O1027" s="3" t="s">
        <v>48</v>
      </c>
      <c r="P1027" s="3" t="s">
        <v>375</v>
      </c>
      <c r="Q1027" s="3" t="s">
        <v>35</v>
      </c>
      <c r="R1027" s="3">
        <v>9</v>
      </c>
      <c r="S1027" s="3">
        <v>0</v>
      </c>
      <c r="T1027" s="38" t="s">
        <v>2879</v>
      </c>
      <c r="U1027" s="13"/>
    </row>
    <row r="1028" spans="1:21" x14ac:dyDescent="0.3">
      <c r="A1028" s="3" t="s">
        <v>1576</v>
      </c>
      <c r="B1028" s="3" t="s">
        <v>1577</v>
      </c>
      <c r="C1028" s="3">
        <v>29</v>
      </c>
      <c r="D1028" s="3" t="s">
        <v>21</v>
      </c>
      <c r="E1028" s="3">
        <v>26576</v>
      </c>
      <c r="F1028" s="3">
        <v>100000</v>
      </c>
      <c r="G1028" s="3">
        <v>180</v>
      </c>
      <c r="H1028" s="3">
        <v>20.14</v>
      </c>
      <c r="I1028" s="3" t="s">
        <v>66</v>
      </c>
      <c r="J1028" s="3">
        <v>669</v>
      </c>
      <c r="K1028" s="29">
        <v>44737</v>
      </c>
      <c r="L1028" s="29" t="s">
        <v>286</v>
      </c>
      <c r="M1028" s="3" t="s">
        <v>24</v>
      </c>
      <c r="N1028" s="3">
        <v>1766.65</v>
      </c>
      <c r="O1028" s="3" t="s">
        <v>60</v>
      </c>
      <c r="P1028" s="3" t="s">
        <v>61</v>
      </c>
      <c r="Q1028" s="3" t="s">
        <v>42</v>
      </c>
      <c r="R1028" s="3">
        <v>1</v>
      </c>
      <c r="S1028" s="3">
        <v>0</v>
      </c>
      <c r="T1028" s="38" t="s">
        <v>2871</v>
      </c>
      <c r="U1028" s="13"/>
    </row>
    <row r="1029" spans="1:21" x14ac:dyDescent="0.3">
      <c r="A1029" s="2" t="s">
        <v>1583</v>
      </c>
      <c r="B1029" s="2" t="s">
        <v>1584</v>
      </c>
      <c r="C1029" s="2">
        <v>35</v>
      </c>
      <c r="D1029" s="2" t="s">
        <v>21</v>
      </c>
      <c r="E1029" s="2">
        <v>62357</v>
      </c>
      <c r="F1029" s="2">
        <v>100000</v>
      </c>
      <c r="G1029" s="2">
        <v>240</v>
      </c>
      <c r="H1029" s="2">
        <v>19.43</v>
      </c>
      <c r="I1029" s="2" t="s">
        <v>83</v>
      </c>
      <c r="J1029" s="2">
        <v>897</v>
      </c>
      <c r="K1029" s="30">
        <v>44566</v>
      </c>
      <c r="L1029" s="30" t="s">
        <v>1472</v>
      </c>
      <c r="M1029" s="2" t="s">
        <v>122</v>
      </c>
      <c r="N1029" s="2">
        <v>1654.2</v>
      </c>
      <c r="O1029" s="2" t="s">
        <v>25</v>
      </c>
      <c r="P1029" s="2" t="s">
        <v>123</v>
      </c>
      <c r="Q1029" s="2" t="s">
        <v>100</v>
      </c>
      <c r="R1029" s="2">
        <v>12</v>
      </c>
      <c r="S1029" s="2">
        <v>0</v>
      </c>
      <c r="T1029" s="38" t="s">
        <v>2867</v>
      </c>
      <c r="U1029" s="13"/>
    </row>
    <row r="1030" spans="1:21" x14ac:dyDescent="0.3">
      <c r="A1030" s="2" t="s">
        <v>1593</v>
      </c>
      <c r="B1030" s="2" t="s">
        <v>1594</v>
      </c>
      <c r="C1030" s="2">
        <v>32</v>
      </c>
      <c r="D1030" s="2" t="s">
        <v>65</v>
      </c>
      <c r="E1030" s="2">
        <v>219339</v>
      </c>
      <c r="F1030" s="2">
        <v>300000</v>
      </c>
      <c r="G1030" s="2">
        <v>60</v>
      </c>
      <c r="H1030" s="2">
        <v>16.88</v>
      </c>
      <c r="I1030" s="2" t="s">
        <v>251</v>
      </c>
      <c r="J1030" s="2">
        <v>423</v>
      </c>
      <c r="K1030" s="30">
        <v>44832</v>
      </c>
      <c r="L1030" s="30" t="s">
        <v>178</v>
      </c>
      <c r="M1030" s="2" t="s">
        <v>33</v>
      </c>
      <c r="N1030" s="2">
        <v>7436.43</v>
      </c>
      <c r="O1030" s="2" t="s">
        <v>48</v>
      </c>
      <c r="P1030" s="2" t="s">
        <v>80</v>
      </c>
      <c r="Q1030" s="2" t="s">
        <v>62</v>
      </c>
      <c r="R1030" s="2">
        <v>1</v>
      </c>
      <c r="S1030" s="2">
        <v>0</v>
      </c>
      <c r="T1030" s="38" t="s">
        <v>2879</v>
      </c>
      <c r="U1030" s="13"/>
    </row>
    <row r="1031" spans="1:21" x14ac:dyDescent="0.3">
      <c r="A1031" s="3" t="s">
        <v>1595</v>
      </c>
      <c r="B1031" s="3" t="s">
        <v>1596</v>
      </c>
      <c r="C1031" s="3">
        <v>44</v>
      </c>
      <c r="D1031" s="3" t="s">
        <v>72</v>
      </c>
      <c r="E1031" s="3">
        <v>233117</v>
      </c>
      <c r="F1031" s="3">
        <v>250000</v>
      </c>
      <c r="G1031" s="3">
        <v>240</v>
      </c>
      <c r="H1031" s="3">
        <v>10.4</v>
      </c>
      <c r="I1031" s="3" t="s">
        <v>31</v>
      </c>
      <c r="J1031" s="3">
        <v>697</v>
      </c>
      <c r="K1031" s="29">
        <v>45063</v>
      </c>
      <c r="L1031" s="29" t="s">
        <v>1597</v>
      </c>
      <c r="M1031" s="3" t="s">
        <v>33</v>
      </c>
      <c r="N1031" s="3">
        <v>2479.1799999999998</v>
      </c>
      <c r="O1031" s="3" t="s">
        <v>60</v>
      </c>
      <c r="P1031" s="3" t="s">
        <v>61</v>
      </c>
      <c r="Q1031" s="3" t="s">
        <v>42</v>
      </c>
      <c r="R1031" s="3">
        <v>2</v>
      </c>
      <c r="S1031" s="3">
        <v>0</v>
      </c>
      <c r="T1031" s="38" t="s">
        <v>2871</v>
      </c>
      <c r="U1031" s="13"/>
    </row>
    <row r="1032" spans="1:21" x14ac:dyDescent="0.3">
      <c r="A1032" s="2" t="s">
        <v>1603</v>
      </c>
      <c r="B1032" s="2" t="s">
        <v>1604</v>
      </c>
      <c r="C1032" s="2">
        <v>54</v>
      </c>
      <c r="D1032" s="2" t="s">
        <v>72</v>
      </c>
      <c r="E1032" s="2">
        <v>148864</v>
      </c>
      <c r="F1032" s="2">
        <v>300000</v>
      </c>
      <c r="G1032" s="2">
        <v>120</v>
      </c>
      <c r="H1032" s="2">
        <v>8.8699999999999992</v>
      </c>
      <c r="I1032" s="2" t="s">
        <v>66</v>
      </c>
      <c r="J1032" s="2">
        <v>663</v>
      </c>
      <c r="K1032" s="30">
        <v>45228</v>
      </c>
      <c r="L1032" s="30" t="s">
        <v>1132</v>
      </c>
      <c r="M1032" s="2" t="s">
        <v>24</v>
      </c>
      <c r="N1032" s="2">
        <v>3779.2</v>
      </c>
      <c r="O1032" s="2" t="s">
        <v>48</v>
      </c>
      <c r="P1032" s="2" t="s">
        <v>375</v>
      </c>
      <c r="Q1032" s="2" t="s">
        <v>42</v>
      </c>
      <c r="R1032" s="2">
        <v>0</v>
      </c>
      <c r="S1032" s="2">
        <v>0</v>
      </c>
      <c r="T1032" s="38" t="s">
        <v>2871</v>
      </c>
      <c r="U1032" s="13"/>
    </row>
    <row r="1033" spans="1:21" x14ac:dyDescent="0.3">
      <c r="A1033" s="2" t="s">
        <v>1625</v>
      </c>
      <c r="B1033" s="2" t="s">
        <v>642</v>
      </c>
      <c r="C1033" s="2">
        <v>23</v>
      </c>
      <c r="D1033" s="2" t="s">
        <v>30</v>
      </c>
      <c r="E1033" s="2">
        <v>90500</v>
      </c>
      <c r="F1033" s="2">
        <v>1500000</v>
      </c>
      <c r="G1033" s="2">
        <v>48</v>
      </c>
      <c r="H1033" s="2">
        <v>14.3</v>
      </c>
      <c r="I1033" s="2" t="s">
        <v>31</v>
      </c>
      <c r="J1033" s="2">
        <v>537</v>
      </c>
      <c r="K1033" s="30">
        <v>44891</v>
      </c>
      <c r="L1033" s="30" t="s">
        <v>1146</v>
      </c>
      <c r="M1033" s="2" t="s">
        <v>122</v>
      </c>
      <c r="N1033" s="2">
        <v>41215.81</v>
      </c>
      <c r="O1033" s="2" t="s">
        <v>54</v>
      </c>
      <c r="P1033" s="2" t="s">
        <v>2996</v>
      </c>
      <c r="Q1033" s="2" t="s">
        <v>42</v>
      </c>
      <c r="R1033" s="2">
        <v>2</v>
      </c>
      <c r="S1033" s="2">
        <v>0</v>
      </c>
      <c r="T1033" s="38" t="s">
        <v>2879</v>
      </c>
      <c r="U1033" s="13"/>
    </row>
    <row r="1034" spans="1:21" x14ac:dyDescent="0.3">
      <c r="A1034" s="2" t="s">
        <v>1628</v>
      </c>
      <c r="B1034" s="2" t="s">
        <v>1268</v>
      </c>
      <c r="C1034" s="2">
        <v>33</v>
      </c>
      <c r="D1034" s="2" t="s">
        <v>30</v>
      </c>
      <c r="E1034" s="2">
        <v>55976</v>
      </c>
      <c r="F1034" s="2">
        <v>750000</v>
      </c>
      <c r="G1034" s="2">
        <v>180</v>
      </c>
      <c r="H1034" s="2">
        <v>8.9600000000000009</v>
      </c>
      <c r="I1034" s="2" t="s">
        <v>73</v>
      </c>
      <c r="J1034" s="2">
        <v>805</v>
      </c>
      <c r="K1034" s="30">
        <v>44293</v>
      </c>
      <c r="L1034" s="30" t="s">
        <v>1629</v>
      </c>
      <c r="M1034" s="2" t="s">
        <v>122</v>
      </c>
      <c r="N1034" s="2">
        <v>7589.16</v>
      </c>
      <c r="O1034" s="2" t="s">
        <v>48</v>
      </c>
      <c r="P1034" s="2" t="s">
        <v>86</v>
      </c>
      <c r="Q1034" s="2" t="s">
        <v>42</v>
      </c>
      <c r="R1034" s="2">
        <v>0</v>
      </c>
      <c r="S1034" s="2">
        <v>0</v>
      </c>
      <c r="T1034" s="38" t="s">
        <v>2867</v>
      </c>
      <c r="U1034" s="13"/>
    </row>
    <row r="1035" spans="1:21" x14ac:dyDescent="0.3">
      <c r="A1035" s="2" t="s">
        <v>1636</v>
      </c>
      <c r="B1035" s="2" t="s">
        <v>96</v>
      </c>
      <c r="C1035" s="2">
        <v>43</v>
      </c>
      <c r="D1035" s="2" t="s">
        <v>30</v>
      </c>
      <c r="E1035" s="2">
        <v>47239</v>
      </c>
      <c r="F1035" s="2">
        <v>150000</v>
      </c>
      <c r="G1035" s="2">
        <v>180</v>
      </c>
      <c r="H1035" s="2">
        <v>21.56</v>
      </c>
      <c r="I1035" s="2" t="s">
        <v>46</v>
      </c>
      <c r="J1035" s="2">
        <v>551</v>
      </c>
      <c r="K1035" s="30">
        <v>44547</v>
      </c>
      <c r="L1035" s="30" t="s">
        <v>402</v>
      </c>
      <c r="M1035" s="2" t="s">
        <v>24</v>
      </c>
      <c r="N1035" s="2">
        <v>2808.89</v>
      </c>
      <c r="O1035" s="2" t="s">
        <v>60</v>
      </c>
      <c r="P1035" s="2" t="s">
        <v>61</v>
      </c>
      <c r="Q1035" s="2" t="s">
        <v>42</v>
      </c>
      <c r="R1035" s="2">
        <v>1</v>
      </c>
      <c r="S1035" s="2">
        <v>0</v>
      </c>
      <c r="T1035" s="38" t="s">
        <v>2875</v>
      </c>
      <c r="U1035" s="13"/>
    </row>
    <row r="1036" spans="1:21" x14ac:dyDescent="0.3">
      <c r="A1036" s="3" t="s">
        <v>1641</v>
      </c>
      <c r="B1036" s="3" t="s">
        <v>1642</v>
      </c>
      <c r="C1036" s="3">
        <v>24</v>
      </c>
      <c r="D1036" s="3" t="s">
        <v>30</v>
      </c>
      <c r="E1036" s="3">
        <v>165616</v>
      </c>
      <c r="F1036" s="3">
        <v>50000</v>
      </c>
      <c r="G1036" s="3">
        <v>240</v>
      </c>
      <c r="H1036" s="3">
        <v>21.6</v>
      </c>
      <c r="I1036" s="3" t="s">
        <v>73</v>
      </c>
      <c r="J1036" s="3">
        <v>711</v>
      </c>
      <c r="K1036" s="29">
        <v>44839</v>
      </c>
      <c r="L1036" s="29" t="s">
        <v>1643</v>
      </c>
      <c r="M1036" s="3" t="s">
        <v>33</v>
      </c>
      <c r="N1036" s="3">
        <v>912.61</v>
      </c>
      <c r="O1036" s="3" t="s">
        <v>54</v>
      </c>
      <c r="P1036" s="3" t="s">
        <v>183</v>
      </c>
      <c r="Q1036" s="3" t="s">
        <v>27</v>
      </c>
      <c r="R1036" s="3">
        <v>2</v>
      </c>
      <c r="S1036" s="3">
        <v>0</v>
      </c>
      <c r="T1036" s="38" t="s">
        <v>2871</v>
      </c>
      <c r="U1036" s="13"/>
    </row>
    <row r="1037" spans="1:21" x14ac:dyDescent="0.3">
      <c r="A1037" s="2" t="s">
        <v>1647</v>
      </c>
      <c r="B1037" s="2" t="s">
        <v>1648</v>
      </c>
      <c r="C1037" s="2">
        <v>62</v>
      </c>
      <c r="D1037" s="2" t="s">
        <v>30</v>
      </c>
      <c r="E1037" s="2">
        <v>21139</v>
      </c>
      <c r="F1037" s="2">
        <v>50000</v>
      </c>
      <c r="G1037" s="2">
        <v>240</v>
      </c>
      <c r="H1037" s="2">
        <v>16.09</v>
      </c>
      <c r="I1037" s="2" t="s">
        <v>83</v>
      </c>
      <c r="J1037" s="2">
        <v>611</v>
      </c>
      <c r="K1037" s="30">
        <v>44319</v>
      </c>
      <c r="L1037" s="30" t="s">
        <v>1649</v>
      </c>
      <c r="M1037" s="2" t="s">
        <v>24</v>
      </c>
      <c r="N1037" s="2">
        <v>699.01</v>
      </c>
      <c r="O1037" s="2" t="s">
        <v>60</v>
      </c>
      <c r="P1037" s="2" t="s">
        <v>69</v>
      </c>
      <c r="Q1037" s="2" t="s">
        <v>42</v>
      </c>
      <c r="R1037" s="2">
        <v>0</v>
      </c>
      <c r="S1037" s="2">
        <v>0</v>
      </c>
      <c r="T1037" s="38" t="s">
        <v>2875</v>
      </c>
      <c r="U1037" s="13"/>
    </row>
    <row r="1038" spans="1:21" x14ac:dyDescent="0.3">
      <c r="A1038" s="3" t="s">
        <v>1668</v>
      </c>
      <c r="B1038" s="3" t="s">
        <v>1669</v>
      </c>
      <c r="C1038" s="3">
        <v>27</v>
      </c>
      <c r="D1038" s="3" t="s">
        <v>45</v>
      </c>
      <c r="E1038" s="3">
        <v>189195</v>
      </c>
      <c r="F1038" s="3">
        <v>750000</v>
      </c>
      <c r="G1038" s="3">
        <v>120</v>
      </c>
      <c r="H1038" s="3">
        <v>13.11</v>
      </c>
      <c r="I1038" s="3" t="s">
        <v>73</v>
      </c>
      <c r="J1038" s="3">
        <v>647</v>
      </c>
      <c r="K1038" s="29">
        <v>45104</v>
      </c>
      <c r="L1038" s="29" t="s">
        <v>635</v>
      </c>
      <c r="M1038" s="3" t="s">
        <v>24</v>
      </c>
      <c r="N1038" s="3">
        <v>11247.02</v>
      </c>
      <c r="O1038" s="3" t="s">
        <v>54</v>
      </c>
      <c r="P1038" s="3" t="s">
        <v>304</v>
      </c>
      <c r="Q1038" s="3" t="s">
        <v>42</v>
      </c>
      <c r="R1038" s="3">
        <v>2</v>
      </c>
      <c r="S1038" s="3">
        <v>0</v>
      </c>
      <c r="T1038" s="38" t="s">
        <v>2875</v>
      </c>
      <c r="U1038" s="13"/>
    </row>
    <row r="1039" spans="1:21" x14ac:dyDescent="0.3">
      <c r="A1039" s="3" t="s">
        <v>1673</v>
      </c>
      <c r="B1039" s="3" t="s">
        <v>1674</v>
      </c>
      <c r="C1039" s="3">
        <v>52</v>
      </c>
      <c r="D1039" s="3" t="s">
        <v>45</v>
      </c>
      <c r="E1039" s="3">
        <v>19892</v>
      </c>
      <c r="F1039" s="3">
        <v>75000</v>
      </c>
      <c r="G1039" s="3">
        <v>240</v>
      </c>
      <c r="H1039" s="3">
        <v>10.11</v>
      </c>
      <c r="I1039" s="3" t="s">
        <v>46</v>
      </c>
      <c r="J1039" s="3">
        <v>581</v>
      </c>
      <c r="K1039" s="29">
        <v>45106</v>
      </c>
      <c r="L1039" s="29" t="s">
        <v>1003</v>
      </c>
      <c r="M1039" s="3" t="s">
        <v>33</v>
      </c>
      <c r="N1039" s="3">
        <v>729.24</v>
      </c>
      <c r="O1039" s="3" t="s">
        <v>105</v>
      </c>
      <c r="P1039" s="3" t="s">
        <v>159</v>
      </c>
      <c r="Q1039" s="3" t="s">
        <v>42</v>
      </c>
      <c r="R1039" s="3">
        <v>2</v>
      </c>
      <c r="S1039" s="3">
        <v>0</v>
      </c>
      <c r="T1039" s="38" t="s">
        <v>2875</v>
      </c>
      <c r="U1039" s="13"/>
    </row>
    <row r="1040" spans="1:21" x14ac:dyDescent="0.3">
      <c r="A1040" s="3" t="s">
        <v>1698</v>
      </c>
      <c r="B1040" s="3" t="s">
        <v>1102</v>
      </c>
      <c r="C1040" s="3">
        <v>48</v>
      </c>
      <c r="D1040" s="3" t="s">
        <v>45</v>
      </c>
      <c r="E1040" s="3">
        <v>249689</v>
      </c>
      <c r="F1040" s="3">
        <v>1500000</v>
      </c>
      <c r="G1040" s="3">
        <v>180</v>
      </c>
      <c r="H1040" s="3">
        <v>18.559999999999999</v>
      </c>
      <c r="I1040" s="3" t="s">
        <v>22</v>
      </c>
      <c r="J1040" s="3">
        <v>379</v>
      </c>
      <c r="K1040" s="29">
        <v>44449</v>
      </c>
      <c r="L1040" s="29" t="s">
        <v>1048</v>
      </c>
      <c r="M1040" s="3" t="s">
        <v>24</v>
      </c>
      <c r="N1040" s="3">
        <v>24763.09</v>
      </c>
      <c r="O1040" s="3" t="s">
        <v>54</v>
      </c>
      <c r="P1040" s="3" t="s">
        <v>304</v>
      </c>
      <c r="Q1040" s="3" t="s">
        <v>100</v>
      </c>
      <c r="R1040" s="3">
        <v>10</v>
      </c>
      <c r="S1040" s="3">
        <v>0</v>
      </c>
      <c r="T1040" s="38" t="s">
        <v>2879</v>
      </c>
      <c r="U1040" s="13"/>
    </row>
    <row r="1041" spans="1:21" x14ac:dyDescent="0.3">
      <c r="A1041" s="3" t="s">
        <v>1715</v>
      </c>
      <c r="B1041" s="3" t="s">
        <v>1716</v>
      </c>
      <c r="C1041" s="3">
        <v>38</v>
      </c>
      <c r="D1041" s="3" t="s">
        <v>30</v>
      </c>
      <c r="E1041" s="3">
        <v>43269</v>
      </c>
      <c r="F1041" s="3">
        <v>400000</v>
      </c>
      <c r="G1041" s="3">
        <v>48</v>
      </c>
      <c r="H1041" s="3">
        <v>21.4</v>
      </c>
      <c r="I1041" s="3" t="s">
        <v>46</v>
      </c>
      <c r="J1041" s="3">
        <v>641</v>
      </c>
      <c r="K1041" s="29">
        <v>45095</v>
      </c>
      <c r="L1041" s="29" t="s">
        <v>1718</v>
      </c>
      <c r="M1041" s="3"/>
      <c r="N1041" s="3">
        <v>12472.5</v>
      </c>
      <c r="O1041" s="3" t="s">
        <v>54</v>
      </c>
      <c r="P1041" s="3" t="s">
        <v>2996</v>
      </c>
      <c r="Q1041" s="3" t="s">
        <v>42</v>
      </c>
      <c r="R1041" s="3">
        <v>0</v>
      </c>
      <c r="S1041" s="3">
        <v>0</v>
      </c>
      <c r="T1041" s="38" t="s">
        <v>2875</v>
      </c>
      <c r="U1041" s="13"/>
    </row>
    <row r="1042" spans="1:21" x14ac:dyDescent="0.3">
      <c r="A1042" s="3" t="s">
        <v>1725</v>
      </c>
      <c r="B1042" s="3" t="s">
        <v>1162</v>
      </c>
      <c r="C1042" s="3">
        <v>44</v>
      </c>
      <c r="D1042" s="3" t="s">
        <v>65</v>
      </c>
      <c r="E1042" s="3">
        <v>141195</v>
      </c>
      <c r="F1042" s="3">
        <v>1500000</v>
      </c>
      <c r="G1042" s="3">
        <v>180</v>
      </c>
      <c r="H1042" s="3">
        <v>10.199999999999999</v>
      </c>
      <c r="I1042" s="3" t="s">
        <v>251</v>
      </c>
      <c r="J1042" s="3">
        <v>345</v>
      </c>
      <c r="K1042" s="29">
        <v>45089</v>
      </c>
      <c r="L1042" s="29" t="s">
        <v>907</v>
      </c>
      <c r="M1042" s="3" t="s">
        <v>24</v>
      </c>
      <c r="N1042" s="3">
        <v>16303.1</v>
      </c>
      <c r="O1042" s="3" t="s">
        <v>25</v>
      </c>
      <c r="P1042" s="3" t="s">
        <v>34</v>
      </c>
      <c r="Q1042" s="3" t="s">
        <v>35</v>
      </c>
      <c r="R1042" s="3">
        <v>4</v>
      </c>
      <c r="S1042" s="3">
        <v>0</v>
      </c>
      <c r="T1042" s="38" t="s">
        <v>2879</v>
      </c>
      <c r="U1042" s="13"/>
    </row>
    <row r="1043" spans="1:21" x14ac:dyDescent="0.3">
      <c r="A1043" s="3" t="s">
        <v>1729</v>
      </c>
      <c r="B1043" s="3" t="s">
        <v>1730</v>
      </c>
      <c r="C1043" s="3">
        <v>49</v>
      </c>
      <c r="D1043" s="3" t="s">
        <v>21</v>
      </c>
      <c r="E1043" s="3">
        <v>66224</v>
      </c>
      <c r="F1043" s="3">
        <v>150000</v>
      </c>
      <c r="G1043" s="3">
        <v>48</v>
      </c>
      <c r="H1043" s="3">
        <v>18.89</v>
      </c>
      <c r="I1043" s="3" t="s">
        <v>38</v>
      </c>
      <c r="J1043" s="3">
        <v>493</v>
      </c>
      <c r="K1043" s="29">
        <v>44875</v>
      </c>
      <c r="L1043" s="29" t="s">
        <v>155</v>
      </c>
      <c r="M1043" s="3" t="s">
        <v>33</v>
      </c>
      <c r="N1043" s="3">
        <v>4476.32</v>
      </c>
      <c r="O1043" s="3" t="s">
        <v>60</v>
      </c>
      <c r="P1043" s="3" t="s">
        <v>2997</v>
      </c>
      <c r="Q1043" s="3" t="s">
        <v>35</v>
      </c>
      <c r="R1043" s="3">
        <v>9</v>
      </c>
      <c r="S1043" s="3">
        <v>0</v>
      </c>
      <c r="T1043" s="38" t="s">
        <v>2879</v>
      </c>
      <c r="U1043" s="13"/>
    </row>
    <row r="1044" spans="1:21" x14ac:dyDescent="0.3">
      <c r="A1044" s="2" t="s">
        <v>1743</v>
      </c>
      <c r="B1044" s="2" t="s">
        <v>1744</v>
      </c>
      <c r="C1044" s="2">
        <v>54</v>
      </c>
      <c r="D1044" s="2" t="s">
        <v>45</v>
      </c>
      <c r="E1044" s="2">
        <v>247216</v>
      </c>
      <c r="F1044" s="2">
        <v>400000</v>
      </c>
      <c r="G1044" s="2">
        <v>48</v>
      </c>
      <c r="H1044" s="2">
        <v>18.05</v>
      </c>
      <c r="I1044" s="2" t="s">
        <v>31</v>
      </c>
      <c r="J1044" s="2">
        <v>366</v>
      </c>
      <c r="K1044" s="30">
        <v>45239</v>
      </c>
      <c r="L1044" s="30" t="s">
        <v>1017</v>
      </c>
      <c r="M1044" s="2" t="s">
        <v>24</v>
      </c>
      <c r="N1044" s="2">
        <v>11760.45</v>
      </c>
      <c r="O1044" s="2" t="s">
        <v>105</v>
      </c>
      <c r="P1044" s="2" t="s">
        <v>2999</v>
      </c>
      <c r="Q1044" s="2" t="s">
        <v>35</v>
      </c>
      <c r="R1044" s="2">
        <v>6</v>
      </c>
      <c r="S1044" s="2">
        <v>0</v>
      </c>
      <c r="T1044" s="38" t="s">
        <v>2879</v>
      </c>
      <c r="U1044" s="13"/>
    </row>
    <row r="1045" spans="1:21" x14ac:dyDescent="0.3">
      <c r="A1045" s="3" t="s">
        <v>1746</v>
      </c>
      <c r="B1045" s="3" t="s">
        <v>1747</v>
      </c>
      <c r="C1045" s="3">
        <v>33</v>
      </c>
      <c r="D1045" s="3" t="s">
        <v>21</v>
      </c>
      <c r="E1045" s="3">
        <v>201774</v>
      </c>
      <c r="F1045" s="3">
        <v>250000</v>
      </c>
      <c r="G1045" s="3">
        <v>240</v>
      </c>
      <c r="H1045" s="3">
        <v>17.57</v>
      </c>
      <c r="I1045" s="3" t="s">
        <v>31</v>
      </c>
      <c r="J1045" s="3">
        <v>785</v>
      </c>
      <c r="K1045" s="29">
        <v>44271</v>
      </c>
      <c r="L1045" s="29" t="s">
        <v>1177</v>
      </c>
      <c r="M1045" s="3" t="s">
        <v>24</v>
      </c>
      <c r="N1045" s="3">
        <v>3775.75</v>
      </c>
      <c r="O1045" s="3" t="s">
        <v>48</v>
      </c>
      <c r="P1045" s="3" t="s">
        <v>375</v>
      </c>
      <c r="Q1045" s="3" t="s">
        <v>27</v>
      </c>
      <c r="R1045" s="3">
        <v>1</v>
      </c>
      <c r="S1045" s="3">
        <v>0</v>
      </c>
      <c r="T1045" s="38" t="s">
        <v>2867</v>
      </c>
      <c r="U1045" s="13"/>
    </row>
    <row r="1046" spans="1:21" x14ac:dyDescent="0.3">
      <c r="A1046" s="2" t="s">
        <v>1751</v>
      </c>
      <c r="B1046" s="2" t="s">
        <v>1752</v>
      </c>
      <c r="C1046" s="2">
        <v>39</v>
      </c>
      <c r="D1046" s="2" t="s">
        <v>65</v>
      </c>
      <c r="E1046" s="2">
        <v>21479</v>
      </c>
      <c r="F1046" s="2">
        <v>100000</v>
      </c>
      <c r="G1046" s="2">
        <v>180</v>
      </c>
      <c r="H1046" s="2">
        <v>10.89</v>
      </c>
      <c r="I1046" s="2" t="s">
        <v>22</v>
      </c>
      <c r="J1046" s="2" t="s">
        <v>2882</v>
      </c>
      <c r="K1046" s="30">
        <v>44357</v>
      </c>
      <c r="L1046" s="30" t="s">
        <v>1753</v>
      </c>
      <c r="M1046" s="2" t="s">
        <v>33</v>
      </c>
      <c r="N1046" s="2">
        <v>1129.7</v>
      </c>
      <c r="O1046" s="2" t="s">
        <v>25</v>
      </c>
      <c r="P1046" s="2" t="s">
        <v>151</v>
      </c>
      <c r="Q1046" s="2" t="s">
        <v>42</v>
      </c>
      <c r="R1046" s="2">
        <v>2</v>
      </c>
      <c r="S1046" s="2">
        <v>0</v>
      </c>
      <c r="T1046" s="38" t="s">
        <v>2883</v>
      </c>
      <c r="U1046" s="13"/>
    </row>
    <row r="1047" spans="1:21" x14ac:dyDescent="0.3">
      <c r="A1047" s="2" t="s">
        <v>1764</v>
      </c>
      <c r="B1047" s="2" t="s">
        <v>1765</v>
      </c>
      <c r="C1047" s="2">
        <v>26</v>
      </c>
      <c r="D1047" s="2" t="s">
        <v>45</v>
      </c>
      <c r="E1047" s="2">
        <v>116301</v>
      </c>
      <c r="F1047" s="2">
        <v>150000</v>
      </c>
      <c r="G1047" s="2">
        <v>180</v>
      </c>
      <c r="H1047" s="2">
        <v>9.08</v>
      </c>
      <c r="I1047" s="2" t="s">
        <v>31</v>
      </c>
      <c r="J1047" s="2">
        <v>611</v>
      </c>
      <c r="K1047" s="30">
        <v>44560</v>
      </c>
      <c r="L1047" s="30" t="s">
        <v>808</v>
      </c>
      <c r="M1047" s="2" t="s">
        <v>24</v>
      </c>
      <c r="N1047" s="2">
        <v>1528.55</v>
      </c>
      <c r="O1047" s="2" t="s">
        <v>25</v>
      </c>
      <c r="P1047" s="2" t="s">
        <v>34</v>
      </c>
      <c r="Q1047" s="2" t="s">
        <v>100</v>
      </c>
      <c r="R1047" s="2">
        <v>1</v>
      </c>
      <c r="S1047" s="2">
        <v>0</v>
      </c>
      <c r="T1047" s="38" t="s">
        <v>2875</v>
      </c>
      <c r="U1047" s="13"/>
    </row>
    <row r="1048" spans="1:21" x14ac:dyDescent="0.3">
      <c r="A1048" s="2" t="s">
        <v>1772</v>
      </c>
      <c r="B1048" s="2" t="s">
        <v>1773</v>
      </c>
      <c r="C1048" s="2">
        <v>55</v>
      </c>
      <c r="D1048" s="2" t="s">
        <v>21</v>
      </c>
      <c r="E1048" s="2">
        <v>164219</v>
      </c>
      <c r="F1048" s="2">
        <v>400000</v>
      </c>
      <c r="G1048" s="2">
        <v>180</v>
      </c>
      <c r="H1048" s="2">
        <v>14.21</v>
      </c>
      <c r="I1048" s="2" t="s">
        <v>46</v>
      </c>
      <c r="J1048" s="2">
        <v>393</v>
      </c>
      <c r="K1048" s="30">
        <v>44806</v>
      </c>
      <c r="L1048" s="30" t="s">
        <v>1618</v>
      </c>
      <c r="M1048" s="2" t="s">
        <v>122</v>
      </c>
      <c r="N1048" s="2">
        <v>5383.52</v>
      </c>
      <c r="O1048" s="2" t="s">
        <v>48</v>
      </c>
      <c r="P1048" s="2" t="s">
        <v>80</v>
      </c>
      <c r="Q1048" s="2" t="s">
        <v>42</v>
      </c>
      <c r="R1048" s="2">
        <v>1</v>
      </c>
      <c r="S1048" s="2">
        <v>0</v>
      </c>
      <c r="T1048" s="38" t="s">
        <v>2879</v>
      </c>
      <c r="U1048" s="13"/>
    </row>
    <row r="1049" spans="1:21" x14ac:dyDescent="0.3">
      <c r="A1049" s="2" t="s">
        <v>1780</v>
      </c>
      <c r="B1049" s="2" t="s">
        <v>804</v>
      </c>
      <c r="C1049" s="2">
        <v>24</v>
      </c>
      <c r="D1049" s="2" t="s">
        <v>72</v>
      </c>
      <c r="E1049" s="2">
        <v>80694</v>
      </c>
      <c r="F1049" s="2">
        <v>75000</v>
      </c>
      <c r="G1049" s="2">
        <v>36</v>
      </c>
      <c r="H1049" s="2">
        <v>12.24</v>
      </c>
      <c r="I1049" s="2" t="s">
        <v>31</v>
      </c>
      <c r="J1049" s="2">
        <v>796</v>
      </c>
      <c r="K1049" s="30">
        <v>44693</v>
      </c>
      <c r="L1049" s="30" t="s">
        <v>628</v>
      </c>
      <c r="M1049" s="2" t="s">
        <v>122</v>
      </c>
      <c r="N1049" s="2">
        <v>2499.6799999999998</v>
      </c>
      <c r="O1049" s="2" t="s">
        <v>60</v>
      </c>
      <c r="P1049" s="2" t="s">
        <v>172</v>
      </c>
      <c r="Q1049" s="2" t="s">
        <v>42</v>
      </c>
      <c r="R1049" s="2">
        <v>0</v>
      </c>
      <c r="S1049" s="2">
        <v>0</v>
      </c>
      <c r="T1049" s="38" t="s">
        <v>2867</v>
      </c>
      <c r="U1049" s="13"/>
    </row>
    <row r="1050" spans="1:21" x14ac:dyDescent="0.3">
      <c r="A1050" s="3" t="s">
        <v>1807</v>
      </c>
      <c r="B1050" s="3" t="s">
        <v>1808</v>
      </c>
      <c r="C1050" s="3">
        <v>64</v>
      </c>
      <c r="D1050" s="3" t="s">
        <v>30</v>
      </c>
      <c r="E1050" s="3">
        <v>225095</v>
      </c>
      <c r="F1050" s="3">
        <v>1000000</v>
      </c>
      <c r="G1050" s="3">
        <v>48</v>
      </c>
      <c r="H1050" s="3">
        <v>16.32</v>
      </c>
      <c r="I1050" s="3" t="s">
        <v>73</v>
      </c>
      <c r="J1050" s="3">
        <v>833</v>
      </c>
      <c r="K1050" s="29">
        <v>44209</v>
      </c>
      <c r="L1050" s="29" t="s">
        <v>1809</v>
      </c>
      <c r="M1050" s="3" t="s">
        <v>33</v>
      </c>
      <c r="N1050" s="3">
        <v>28504.44</v>
      </c>
      <c r="O1050" s="3" t="s">
        <v>48</v>
      </c>
      <c r="P1050" s="3" t="s">
        <v>86</v>
      </c>
      <c r="Q1050" s="3" t="s">
        <v>42</v>
      </c>
      <c r="R1050" s="3">
        <v>1</v>
      </c>
      <c r="S1050" s="3">
        <v>0</v>
      </c>
      <c r="T1050" s="38" t="s">
        <v>2867</v>
      </c>
      <c r="U1050" s="13"/>
    </row>
    <row r="1051" spans="1:21" x14ac:dyDescent="0.3">
      <c r="A1051" s="2" t="s">
        <v>1815</v>
      </c>
      <c r="B1051" s="2" t="s">
        <v>1816</v>
      </c>
      <c r="C1051" s="2">
        <v>45</v>
      </c>
      <c r="D1051" s="2" t="s">
        <v>65</v>
      </c>
      <c r="E1051" s="2">
        <v>114016</v>
      </c>
      <c r="F1051" s="2">
        <v>100000</v>
      </c>
      <c r="G1051" s="2">
        <v>180</v>
      </c>
      <c r="H1051" s="2">
        <v>13.9</v>
      </c>
      <c r="I1051" s="2" t="s">
        <v>73</v>
      </c>
      <c r="J1051" s="2">
        <v>459</v>
      </c>
      <c r="K1051" s="30">
        <v>44367</v>
      </c>
      <c r="L1051" s="30" t="s">
        <v>1817</v>
      </c>
      <c r="M1051" s="2" t="s">
        <v>24</v>
      </c>
      <c r="N1051" s="2">
        <v>1325.03</v>
      </c>
      <c r="O1051" s="2" t="s">
        <v>60</v>
      </c>
      <c r="P1051" s="2" t="s">
        <v>172</v>
      </c>
      <c r="Q1051" s="2" t="s">
        <v>42</v>
      </c>
      <c r="R1051" s="2">
        <v>1</v>
      </c>
      <c r="S1051" s="2">
        <v>0</v>
      </c>
      <c r="T1051" s="38" t="s">
        <v>2879</v>
      </c>
      <c r="U1051" s="13"/>
    </row>
    <row r="1052" spans="1:21" x14ac:dyDescent="0.3">
      <c r="A1052" s="3" t="s">
        <v>1823</v>
      </c>
      <c r="B1052" s="3" t="s">
        <v>1824</v>
      </c>
      <c r="C1052" s="3">
        <v>63</v>
      </c>
      <c r="D1052" s="3" t="s">
        <v>45</v>
      </c>
      <c r="E1052" s="3">
        <v>33673</v>
      </c>
      <c r="F1052" s="3">
        <v>300000</v>
      </c>
      <c r="G1052" s="3">
        <v>12</v>
      </c>
      <c r="H1052" s="3">
        <v>21.89</v>
      </c>
      <c r="I1052" s="3" t="s">
        <v>22</v>
      </c>
      <c r="J1052" s="3">
        <v>694</v>
      </c>
      <c r="K1052" s="29">
        <v>45090</v>
      </c>
      <c r="L1052" s="29" t="s">
        <v>1825</v>
      </c>
      <c r="M1052" s="3" t="s">
        <v>24</v>
      </c>
      <c r="N1052" s="3">
        <v>28062.43</v>
      </c>
      <c r="O1052" s="3" t="s">
        <v>54</v>
      </c>
      <c r="P1052" s="3" t="s">
        <v>2996</v>
      </c>
      <c r="Q1052" s="3" t="s">
        <v>42</v>
      </c>
      <c r="R1052" s="3">
        <v>0</v>
      </c>
      <c r="S1052" s="3">
        <v>0</v>
      </c>
      <c r="T1052" s="38" t="s">
        <v>2871</v>
      </c>
      <c r="U1052" s="13"/>
    </row>
    <row r="1053" spans="1:21" x14ac:dyDescent="0.3">
      <c r="A1053" s="3" t="s">
        <v>1828</v>
      </c>
      <c r="B1053" s="3" t="s">
        <v>1829</v>
      </c>
      <c r="C1053" s="3">
        <v>64</v>
      </c>
      <c r="D1053" s="3" t="s">
        <v>30</v>
      </c>
      <c r="E1053" s="3">
        <v>83506</v>
      </c>
      <c r="F1053" s="3">
        <v>750000</v>
      </c>
      <c r="G1053" s="3">
        <v>180</v>
      </c>
      <c r="H1053" s="3">
        <v>21.19</v>
      </c>
      <c r="I1053" s="3" t="s">
        <v>251</v>
      </c>
      <c r="J1053" s="3">
        <v>560</v>
      </c>
      <c r="K1053" s="29">
        <v>44527</v>
      </c>
      <c r="L1053" s="29" t="s">
        <v>1552</v>
      </c>
      <c r="M1053" s="3" t="s">
        <v>24</v>
      </c>
      <c r="N1053" s="3">
        <v>13836.21</v>
      </c>
      <c r="O1053" s="3" t="s">
        <v>105</v>
      </c>
      <c r="P1053" s="3" t="s">
        <v>2999</v>
      </c>
      <c r="Q1053" s="3" t="s">
        <v>42</v>
      </c>
      <c r="R1053" s="3">
        <v>2</v>
      </c>
      <c r="S1053" s="3">
        <v>0</v>
      </c>
      <c r="T1053" s="38" t="s">
        <v>2875</v>
      </c>
      <c r="U1053" s="13"/>
    </row>
    <row r="1054" spans="1:21" x14ac:dyDescent="0.3">
      <c r="A1054" s="2" t="s">
        <v>1846</v>
      </c>
      <c r="B1054" s="2" t="s">
        <v>1405</v>
      </c>
      <c r="C1054" s="2">
        <v>22</v>
      </c>
      <c r="D1054" s="2" t="s">
        <v>21</v>
      </c>
      <c r="E1054" s="2">
        <v>19359</v>
      </c>
      <c r="F1054" s="2">
        <v>1000000</v>
      </c>
      <c r="G1054" s="2">
        <v>84</v>
      </c>
      <c r="H1054" s="2">
        <v>20.16</v>
      </c>
      <c r="I1054" s="2" t="s">
        <v>38</v>
      </c>
      <c r="J1054" s="2">
        <v>754</v>
      </c>
      <c r="K1054" s="30">
        <v>44363</v>
      </c>
      <c r="L1054" s="30" t="s">
        <v>278</v>
      </c>
      <c r="M1054" s="2" t="s">
        <v>24</v>
      </c>
      <c r="N1054" s="2">
        <v>22302.639999999999</v>
      </c>
      <c r="O1054" s="2" t="s">
        <v>105</v>
      </c>
      <c r="P1054" s="2" t="s">
        <v>2999</v>
      </c>
      <c r="Q1054" s="2" t="s">
        <v>42</v>
      </c>
      <c r="R1054" s="2">
        <v>1</v>
      </c>
      <c r="S1054" s="2">
        <v>0</v>
      </c>
      <c r="T1054" s="38" t="s">
        <v>2867</v>
      </c>
      <c r="U1054" s="13"/>
    </row>
    <row r="1055" spans="1:21" x14ac:dyDescent="0.3">
      <c r="A1055" s="2" t="s">
        <v>1852</v>
      </c>
      <c r="B1055" s="2" t="s">
        <v>1853</v>
      </c>
      <c r="C1055" s="2">
        <v>56</v>
      </c>
      <c r="D1055" s="2" t="s">
        <v>65</v>
      </c>
      <c r="E1055" s="2">
        <v>38708</v>
      </c>
      <c r="F1055" s="2">
        <v>2000000</v>
      </c>
      <c r="G1055" s="2">
        <v>84</v>
      </c>
      <c r="H1055" s="2">
        <v>20.14</v>
      </c>
      <c r="I1055" s="2" t="s">
        <v>22</v>
      </c>
      <c r="J1055" s="2">
        <v>651</v>
      </c>
      <c r="K1055" s="30">
        <v>45091</v>
      </c>
      <c r="L1055" s="30" t="s">
        <v>949</v>
      </c>
      <c r="M1055" s="2" t="s">
        <v>24</v>
      </c>
      <c r="N1055" s="2">
        <v>44581.15</v>
      </c>
      <c r="O1055" s="2" t="s">
        <v>60</v>
      </c>
      <c r="P1055" s="2" t="s">
        <v>2997</v>
      </c>
      <c r="Q1055" s="2" t="s">
        <v>35</v>
      </c>
      <c r="R1055" s="2">
        <v>10</v>
      </c>
      <c r="S1055" s="2">
        <v>0</v>
      </c>
      <c r="T1055" s="38" t="s">
        <v>2871</v>
      </c>
      <c r="U1055" s="13"/>
    </row>
    <row r="1056" spans="1:21" x14ac:dyDescent="0.3">
      <c r="A1056" s="2" t="s">
        <v>1856</v>
      </c>
      <c r="B1056" s="2" t="s">
        <v>777</v>
      </c>
      <c r="C1056" s="2">
        <v>41</v>
      </c>
      <c r="D1056" s="2" t="s">
        <v>72</v>
      </c>
      <c r="E1056" s="2">
        <v>169680</v>
      </c>
      <c r="F1056" s="2">
        <v>500000</v>
      </c>
      <c r="G1056" s="2">
        <v>48</v>
      </c>
      <c r="H1056" s="2">
        <v>19.78</v>
      </c>
      <c r="I1056" s="2" t="s">
        <v>73</v>
      </c>
      <c r="J1056" s="2">
        <v>627</v>
      </c>
      <c r="K1056" s="30">
        <v>44651</v>
      </c>
      <c r="L1056" s="30" t="s">
        <v>1857</v>
      </c>
      <c r="M1056" s="2" t="s">
        <v>24</v>
      </c>
      <c r="N1056" s="2">
        <v>15156.64</v>
      </c>
      <c r="O1056" s="2" t="s">
        <v>48</v>
      </c>
      <c r="P1056" s="2" t="s">
        <v>86</v>
      </c>
      <c r="Q1056" s="2" t="s">
        <v>42</v>
      </c>
      <c r="R1056" s="2">
        <v>2</v>
      </c>
      <c r="S1056" s="2">
        <v>0</v>
      </c>
      <c r="T1056" s="38" t="s">
        <v>2875</v>
      </c>
      <c r="U1056" s="13"/>
    </row>
    <row r="1057" spans="1:21" x14ac:dyDescent="0.3">
      <c r="A1057" s="2" t="s">
        <v>1861</v>
      </c>
      <c r="B1057" s="2" t="s">
        <v>1862</v>
      </c>
      <c r="C1057" s="2">
        <v>54</v>
      </c>
      <c r="D1057" s="2" t="s">
        <v>72</v>
      </c>
      <c r="E1057" s="2">
        <v>86683</v>
      </c>
      <c r="F1057" s="2">
        <v>1500000</v>
      </c>
      <c r="G1057" s="2">
        <v>180</v>
      </c>
      <c r="H1057" s="2">
        <v>16.649999999999999</v>
      </c>
      <c r="I1057" s="2" t="s">
        <v>83</v>
      </c>
      <c r="J1057" s="2">
        <v>806</v>
      </c>
      <c r="K1057" s="30">
        <v>44509</v>
      </c>
      <c r="L1057" s="30" t="s">
        <v>662</v>
      </c>
      <c r="M1057" s="2" t="s">
        <v>24</v>
      </c>
      <c r="N1057" s="2">
        <v>22714.01</v>
      </c>
      <c r="O1057" s="2" t="s">
        <v>48</v>
      </c>
      <c r="P1057" s="2" t="s">
        <v>80</v>
      </c>
      <c r="Q1057" s="2" t="s">
        <v>27</v>
      </c>
      <c r="R1057" s="2">
        <v>0</v>
      </c>
      <c r="S1057" s="2">
        <v>0</v>
      </c>
      <c r="T1057" s="38" t="s">
        <v>2867</v>
      </c>
      <c r="U1057" s="13"/>
    </row>
    <row r="1058" spans="1:21" x14ac:dyDescent="0.3">
      <c r="A1058" s="2" t="s">
        <v>1872</v>
      </c>
      <c r="B1058" s="2" t="s">
        <v>1873</v>
      </c>
      <c r="C1058" s="2">
        <v>51</v>
      </c>
      <c r="D1058" s="2" t="s">
        <v>65</v>
      </c>
      <c r="E1058" s="2">
        <v>87146</v>
      </c>
      <c r="F1058" s="2">
        <v>1000000</v>
      </c>
      <c r="G1058" s="2">
        <v>180</v>
      </c>
      <c r="H1058" s="2">
        <v>12.83</v>
      </c>
      <c r="I1058" s="2" t="s">
        <v>22</v>
      </c>
      <c r="J1058" s="2">
        <v>419</v>
      </c>
      <c r="K1058" s="30">
        <v>45240</v>
      </c>
      <c r="L1058" s="30" t="s">
        <v>1874</v>
      </c>
      <c r="M1058" s="2" t="s">
        <v>24</v>
      </c>
      <c r="N1058" s="2">
        <v>12540.77</v>
      </c>
      <c r="O1058" s="2" t="s">
        <v>25</v>
      </c>
      <c r="P1058" s="2" t="s">
        <v>26</v>
      </c>
      <c r="Q1058" s="2" t="s">
        <v>100</v>
      </c>
      <c r="R1058" s="2">
        <v>7</v>
      </c>
      <c r="S1058" s="2">
        <v>0</v>
      </c>
      <c r="T1058" s="38" t="s">
        <v>2879</v>
      </c>
      <c r="U1058" s="13"/>
    </row>
    <row r="1059" spans="1:21" x14ac:dyDescent="0.3">
      <c r="A1059" s="2" t="s">
        <v>1878</v>
      </c>
      <c r="B1059" s="2" t="s">
        <v>1879</v>
      </c>
      <c r="C1059" s="2">
        <v>47</v>
      </c>
      <c r="D1059" s="2" t="s">
        <v>72</v>
      </c>
      <c r="E1059" s="2">
        <v>118231</v>
      </c>
      <c r="F1059" s="2">
        <v>500000</v>
      </c>
      <c r="G1059" s="2">
        <v>240</v>
      </c>
      <c r="H1059" s="2">
        <v>18.86</v>
      </c>
      <c r="I1059" s="2" t="s">
        <v>31</v>
      </c>
      <c r="J1059" s="2" t="s">
        <v>2882</v>
      </c>
      <c r="K1059" s="30">
        <v>44451</v>
      </c>
      <c r="L1059" s="30" t="s">
        <v>478</v>
      </c>
      <c r="M1059" s="2" t="s">
        <v>24</v>
      </c>
      <c r="N1059" s="2">
        <v>8049.02</v>
      </c>
      <c r="O1059" s="2" t="s">
        <v>54</v>
      </c>
      <c r="P1059" s="2" t="s">
        <v>99</v>
      </c>
      <c r="Q1059" s="2" t="s">
        <v>35</v>
      </c>
      <c r="R1059" s="2">
        <v>8</v>
      </c>
      <c r="S1059" s="2">
        <v>0</v>
      </c>
      <c r="T1059" s="38" t="s">
        <v>2883</v>
      </c>
      <c r="U1059" s="13"/>
    </row>
    <row r="1060" spans="1:21" x14ac:dyDescent="0.3">
      <c r="A1060" s="3" t="s">
        <v>1892</v>
      </c>
      <c r="B1060" s="3" t="s">
        <v>1893</v>
      </c>
      <c r="C1060" s="3">
        <v>56</v>
      </c>
      <c r="D1060" s="3" t="s">
        <v>72</v>
      </c>
      <c r="E1060" s="3">
        <v>194301</v>
      </c>
      <c r="F1060" s="3">
        <v>500000</v>
      </c>
      <c r="G1060" s="3">
        <v>120</v>
      </c>
      <c r="H1060" s="3">
        <v>8.4600000000000009</v>
      </c>
      <c r="I1060" s="3" t="s">
        <v>22</v>
      </c>
      <c r="J1060" s="3">
        <v>671</v>
      </c>
      <c r="K1060" s="29">
        <v>44659</v>
      </c>
      <c r="L1060" s="29" t="s">
        <v>931</v>
      </c>
      <c r="M1060" s="3" t="s">
        <v>24</v>
      </c>
      <c r="N1060" s="3">
        <v>6188.59</v>
      </c>
      <c r="O1060" s="3" t="s">
        <v>48</v>
      </c>
      <c r="P1060" s="3" t="s">
        <v>199</v>
      </c>
      <c r="Q1060" s="3" t="s">
        <v>35</v>
      </c>
      <c r="R1060" s="3">
        <v>2</v>
      </c>
      <c r="S1060" s="3">
        <v>0</v>
      </c>
      <c r="T1060" s="38" t="s">
        <v>2871</v>
      </c>
      <c r="U1060" s="13"/>
    </row>
    <row r="1061" spans="1:21" x14ac:dyDescent="0.3">
      <c r="A1061" s="3" t="s">
        <v>1899</v>
      </c>
      <c r="B1061" s="3" t="s">
        <v>1900</v>
      </c>
      <c r="C1061" s="3">
        <v>54</v>
      </c>
      <c r="D1061" s="3" t="s">
        <v>21</v>
      </c>
      <c r="E1061" s="3">
        <v>87305</v>
      </c>
      <c r="F1061" s="3">
        <v>300000</v>
      </c>
      <c r="G1061" s="3">
        <v>240</v>
      </c>
      <c r="H1061" s="3">
        <v>21.15</v>
      </c>
      <c r="I1061" s="3" t="s">
        <v>83</v>
      </c>
      <c r="J1061" s="3">
        <v>612</v>
      </c>
      <c r="K1061" s="29">
        <v>44837</v>
      </c>
      <c r="L1061" s="29" t="s">
        <v>1794</v>
      </c>
      <c r="M1061" s="3" t="s">
        <v>24</v>
      </c>
      <c r="N1061" s="3">
        <v>5368.56</v>
      </c>
      <c r="O1061" s="3" t="s">
        <v>25</v>
      </c>
      <c r="P1061" s="3" t="s">
        <v>151</v>
      </c>
      <c r="Q1061" s="3" t="s">
        <v>42</v>
      </c>
      <c r="R1061" s="3">
        <v>1</v>
      </c>
      <c r="S1061" s="3">
        <v>0</v>
      </c>
      <c r="T1061" s="38" t="s">
        <v>2875</v>
      </c>
      <c r="U1061" s="13"/>
    </row>
    <row r="1062" spans="1:21" x14ac:dyDescent="0.3">
      <c r="A1062" s="3" t="s">
        <v>1911</v>
      </c>
      <c r="B1062" s="3" t="s">
        <v>1912</v>
      </c>
      <c r="C1062" s="3">
        <v>41</v>
      </c>
      <c r="D1062" s="3" t="s">
        <v>21</v>
      </c>
      <c r="E1062" s="3">
        <v>43092</v>
      </c>
      <c r="F1062" s="3">
        <v>50000</v>
      </c>
      <c r="G1062" s="3">
        <v>84</v>
      </c>
      <c r="H1062" s="3">
        <v>20.41</v>
      </c>
      <c r="I1062" s="3" t="s">
        <v>251</v>
      </c>
      <c r="J1062" s="3">
        <v>711</v>
      </c>
      <c r="K1062" s="29">
        <v>45204</v>
      </c>
      <c r="L1062" s="29" t="s">
        <v>1292</v>
      </c>
      <c r="M1062" s="3" t="s">
        <v>33</v>
      </c>
      <c r="N1062" s="3">
        <v>1122.69</v>
      </c>
      <c r="O1062" s="3" t="s">
        <v>48</v>
      </c>
      <c r="P1062" s="3" t="s">
        <v>49</v>
      </c>
      <c r="Q1062" s="3" t="s">
        <v>35</v>
      </c>
      <c r="R1062" s="3">
        <v>1</v>
      </c>
      <c r="S1062" s="3">
        <v>0</v>
      </c>
      <c r="T1062" s="38" t="s">
        <v>2871</v>
      </c>
      <c r="U1062" s="13"/>
    </row>
    <row r="1063" spans="1:21" x14ac:dyDescent="0.3">
      <c r="A1063" s="2" t="s">
        <v>1922</v>
      </c>
      <c r="B1063" s="2" t="s">
        <v>1923</v>
      </c>
      <c r="C1063" s="2">
        <v>49</v>
      </c>
      <c r="D1063" s="2" t="s">
        <v>65</v>
      </c>
      <c r="E1063" s="2">
        <v>90881</v>
      </c>
      <c r="F1063" s="2">
        <v>200000</v>
      </c>
      <c r="G1063" s="2">
        <v>180</v>
      </c>
      <c r="H1063" s="2">
        <v>8.6999999999999993</v>
      </c>
      <c r="I1063" s="2" t="s">
        <v>73</v>
      </c>
      <c r="J1063" s="2">
        <v>553</v>
      </c>
      <c r="K1063" s="30">
        <v>44579</v>
      </c>
      <c r="L1063" s="30" t="s">
        <v>245</v>
      </c>
      <c r="M1063" s="2" t="s">
        <v>33</v>
      </c>
      <c r="N1063" s="2">
        <v>1993</v>
      </c>
      <c r="O1063" s="2" t="s">
        <v>54</v>
      </c>
      <c r="P1063" s="2" t="s">
        <v>2996</v>
      </c>
      <c r="Q1063" s="2" t="s">
        <v>42</v>
      </c>
      <c r="R1063" s="2">
        <v>2</v>
      </c>
      <c r="S1063" s="2">
        <v>0</v>
      </c>
      <c r="T1063" s="38" t="s">
        <v>2875</v>
      </c>
      <c r="U1063" s="13"/>
    </row>
    <row r="1064" spans="1:21" x14ac:dyDescent="0.3">
      <c r="A1064" s="2" t="s">
        <v>1925</v>
      </c>
      <c r="B1064" s="2" t="s">
        <v>1853</v>
      </c>
      <c r="C1064" s="2">
        <v>47</v>
      </c>
      <c r="D1064" s="2" t="s">
        <v>72</v>
      </c>
      <c r="E1064" s="2">
        <v>86791</v>
      </c>
      <c r="F1064" s="2">
        <v>150000</v>
      </c>
      <c r="G1064" s="2">
        <v>36</v>
      </c>
      <c r="H1064" s="2">
        <v>13.68</v>
      </c>
      <c r="I1064" s="2" t="s">
        <v>83</v>
      </c>
      <c r="J1064" s="2">
        <v>393</v>
      </c>
      <c r="K1064" s="30">
        <v>44824</v>
      </c>
      <c r="L1064" s="30" t="s">
        <v>1926</v>
      </c>
      <c r="M1064" s="2" t="s">
        <v>33</v>
      </c>
      <c r="N1064" s="2">
        <v>5103.3599999999997</v>
      </c>
      <c r="O1064" s="2" t="s">
        <v>25</v>
      </c>
      <c r="P1064" s="2" t="s">
        <v>2998</v>
      </c>
      <c r="Q1064" s="2" t="s">
        <v>42</v>
      </c>
      <c r="R1064" s="2">
        <v>1</v>
      </c>
      <c r="S1064" s="2">
        <v>0</v>
      </c>
      <c r="T1064" s="38" t="s">
        <v>2879</v>
      </c>
      <c r="U1064" s="13"/>
    </row>
    <row r="1065" spans="1:21" x14ac:dyDescent="0.3">
      <c r="A1065" s="2" t="s">
        <v>1934</v>
      </c>
      <c r="B1065" s="2" t="s">
        <v>1883</v>
      </c>
      <c r="C1065" s="2">
        <v>57</v>
      </c>
      <c r="D1065" s="2" t="s">
        <v>21</v>
      </c>
      <c r="E1065" s="2">
        <v>249596</v>
      </c>
      <c r="F1065" s="2">
        <v>250000</v>
      </c>
      <c r="G1065" s="2">
        <v>180</v>
      </c>
      <c r="H1065" s="2">
        <v>16.63</v>
      </c>
      <c r="I1065" s="2" t="s">
        <v>22</v>
      </c>
      <c r="J1065" s="2">
        <v>746</v>
      </c>
      <c r="K1065" s="30">
        <v>45228</v>
      </c>
      <c r="L1065" s="30" t="s">
        <v>1935</v>
      </c>
      <c r="M1065" s="2" t="s">
        <v>24</v>
      </c>
      <c r="N1065" s="2">
        <v>3782.15</v>
      </c>
      <c r="O1065" s="2" t="s">
        <v>25</v>
      </c>
      <c r="P1065" s="2" t="s">
        <v>2998</v>
      </c>
      <c r="Q1065" s="2" t="s">
        <v>42</v>
      </c>
      <c r="R1065" s="2">
        <v>1</v>
      </c>
      <c r="S1065" s="2">
        <v>0</v>
      </c>
      <c r="T1065" s="38" t="s">
        <v>2871</v>
      </c>
      <c r="U1065" s="13"/>
    </row>
    <row r="1066" spans="1:21" x14ac:dyDescent="0.3">
      <c r="A1066" s="3" t="s">
        <v>1944</v>
      </c>
      <c r="B1066" s="3" t="s">
        <v>1945</v>
      </c>
      <c r="C1066" s="3">
        <v>42</v>
      </c>
      <c r="D1066" s="3" t="s">
        <v>72</v>
      </c>
      <c r="E1066" s="3">
        <v>199932</v>
      </c>
      <c r="F1066" s="3">
        <v>500000</v>
      </c>
      <c r="G1066" s="3">
        <v>60</v>
      </c>
      <c r="H1066" s="3">
        <v>17.97</v>
      </c>
      <c r="I1066" s="3" t="s">
        <v>73</v>
      </c>
      <c r="J1066" s="3">
        <v>601</v>
      </c>
      <c r="K1066" s="29">
        <v>44218</v>
      </c>
      <c r="L1066" s="29" t="s">
        <v>1946</v>
      </c>
      <c r="M1066" s="3" t="s">
        <v>33</v>
      </c>
      <c r="N1066" s="3">
        <v>12688.56</v>
      </c>
      <c r="O1066" s="3" t="s">
        <v>48</v>
      </c>
      <c r="P1066" s="3" t="s">
        <v>49</v>
      </c>
      <c r="Q1066" s="3" t="s">
        <v>42</v>
      </c>
      <c r="R1066" s="3">
        <v>2</v>
      </c>
      <c r="S1066" s="3">
        <v>0</v>
      </c>
      <c r="T1066" s="38" t="s">
        <v>2875</v>
      </c>
      <c r="U1066" s="13"/>
    </row>
    <row r="1067" spans="1:21" x14ac:dyDescent="0.3">
      <c r="A1067" s="2" t="s">
        <v>1976</v>
      </c>
      <c r="B1067" s="2" t="s">
        <v>1977</v>
      </c>
      <c r="C1067" s="2">
        <v>31</v>
      </c>
      <c r="D1067" s="2" t="s">
        <v>65</v>
      </c>
      <c r="E1067" s="2">
        <v>207172</v>
      </c>
      <c r="F1067" s="2">
        <v>50000</v>
      </c>
      <c r="G1067" s="2">
        <v>120</v>
      </c>
      <c r="H1067" s="2">
        <v>12.89</v>
      </c>
      <c r="I1067" s="2" t="s">
        <v>22</v>
      </c>
      <c r="J1067" s="2">
        <v>895</v>
      </c>
      <c r="K1067" s="30">
        <v>44520</v>
      </c>
      <c r="L1067" s="30" t="s">
        <v>516</v>
      </c>
      <c r="M1067" s="2" t="s">
        <v>24</v>
      </c>
      <c r="N1067" s="2">
        <v>743.31</v>
      </c>
      <c r="O1067" s="2" t="s">
        <v>25</v>
      </c>
      <c r="P1067" s="2" t="s">
        <v>2998</v>
      </c>
      <c r="Q1067" s="2" t="s">
        <v>42</v>
      </c>
      <c r="R1067" s="2">
        <v>2</v>
      </c>
      <c r="S1067" s="2">
        <v>0</v>
      </c>
      <c r="T1067" s="38" t="s">
        <v>2867</v>
      </c>
      <c r="U1067" s="13"/>
    </row>
    <row r="1068" spans="1:21" x14ac:dyDescent="0.3">
      <c r="A1068" s="3" t="s">
        <v>1993</v>
      </c>
      <c r="B1068" s="3" t="s">
        <v>1994</v>
      </c>
      <c r="C1068" s="3">
        <v>25</v>
      </c>
      <c r="D1068" s="3" t="s">
        <v>21</v>
      </c>
      <c r="E1068" s="3">
        <v>39434</v>
      </c>
      <c r="F1068" s="3">
        <v>200000</v>
      </c>
      <c r="G1068" s="3">
        <v>12</v>
      </c>
      <c r="H1068" s="3">
        <v>21.72</v>
      </c>
      <c r="I1068" s="3" t="s">
        <v>66</v>
      </c>
      <c r="J1068" s="3">
        <v>707</v>
      </c>
      <c r="K1068" s="29">
        <v>44997</v>
      </c>
      <c r="L1068" s="29" t="s">
        <v>1995</v>
      </c>
      <c r="M1068" s="3" t="s">
        <v>24</v>
      </c>
      <c r="N1068" s="3">
        <v>18691.939999999999</v>
      </c>
      <c r="O1068" s="3" t="s">
        <v>54</v>
      </c>
      <c r="P1068" s="3" t="s">
        <v>2996</v>
      </c>
      <c r="Q1068" s="3" t="s">
        <v>42</v>
      </c>
      <c r="R1068" s="3">
        <v>1</v>
      </c>
      <c r="S1068" s="3">
        <v>0</v>
      </c>
      <c r="T1068" s="38" t="s">
        <v>2871</v>
      </c>
      <c r="U1068" s="13"/>
    </row>
    <row r="1069" spans="1:21" x14ac:dyDescent="0.3">
      <c r="A1069" s="2" t="s">
        <v>1996</v>
      </c>
      <c r="B1069" s="2" t="s">
        <v>1997</v>
      </c>
      <c r="C1069" s="2">
        <v>65</v>
      </c>
      <c r="D1069" s="2" t="s">
        <v>72</v>
      </c>
      <c r="E1069" s="2">
        <v>101853</v>
      </c>
      <c r="F1069" s="2">
        <v>300000</v>
      </c>
      <c r="G1069" s="2">
        <v>240</v>
      </c>
      <c r="H1069" s="2">
        <v>8.9600000000000009</v>
      </c>
      <c r="I1069" s="2" t="s">
        <v>251</v>
      </c>
      <c r="J1069" s="2">
        <v>324</v>
      </c>
      <c r="K1069" s="30">
        <v>44273</v>
      </c>
      <c r="L1069" s="30" t="s">
        <v>1998</v>
      </c>
      <c r="M1069" s="2" t="s">
        <v>24</v>
      </c>
      <c r="N1069" s="2">
        <v>2691.47</v>
      </c>
      <c r="O1069" s="2" t="s">
        <v>54</v>
      </c>
      <c r="P1069" s="2" t="s">
        <v>164</v>
      </c>
      <c r="Q1069" s="2" t="s">
        <v>35</v>
      </c>
      <c r="R1069" s="2">
        <v>7</v>
      </c>
      <c r="S1069" s="2">
        <v>0</v>
      </c>
      <c r="T1069" s="38" t="s">
        <v>2879</v>
      </c>
      <c r="U1069" s="13"/>
    </row>
    <row r="1070" spans="1:21" x14ac:dyDescent="0.3">
      <c r="A1070" s="2" t="s">
        <v>2015</v>
      </c>
      <c r="B1070" s="2" t="s">
        <v>2016</v>
      </c>
      <c r="C1070" s="2">
        <v>47</v>
      </c>
      <c r="D1070" s="2" t="s">
        <v>21</v>
      </c>
      <c r="E1070" s="2">
        <v>31900</v>
      </c>
      <c r="F1070" s="2">
        <v>250000</v>
      </c>
      <c r="G1070" s="2">
        <v>84</v>
      </c>
      <c r="H1070" s="2">
        <v>21.95</v>
      </c>
      <c r="I1070" s="2" t="s">
        <v>31</v>
      </c>
      <c r="J1070" s="2">
        <v>517</v>
      </c>
      <c r="K1070" s="30">
        <v>44275</v>
      </c>
      <c r="L1070" s="30" t="s">
        <v>462</v>
      </c>
      <c r="M1070" s="2" t="s">
        <v>122</v>
      </c>
      <c r="N1070" s="2">
        <v>5848.77</v>
      </c>
      <c r="O1070" s="2" t="s">
        <v>60</v>
      </c>
      <c r="P1070" s="2" t="s">
        <v>172</v>
      </c>
      <c r="Q1070" s="2" t="s">
        <v>35</v>
      </c>
      <c r="R1070" s="2">
        <v>4</v>
      </c>
      <c r="S1070" s="2">
        <v>0</v>
      </c>
      <c r="T1070" s="38" t="s">
        <v>2879</v>
      </c>
      <c r="U1070" s="13"/>
    </row>
    <row r="1071" spans="1:21" x14ac:dyDescent="0.3">
      <c r="A1071" s="3" t="s">
        <v>2022</v>
      </c>
      <c r="B1071" s="3" t="s">
        <v>2023</v>
      </c>
      <c r="C1071" s="3">
        <v>33</v>
      </c>
      <c r="D1071" s="3" t="s">
        <v>72</v>
      </c>
      <c r="E1071" s="3">
        <v>39232</v>
      </c>
      <c r="F1071" s="3">
        <v>300000</v>
      </c>
      <c r="G1071" s="3">
        <v>84</v>
      </c>
      <c r="H1071" s="3">
        <v>21.47</v>
      </c>
      <c r="I1071" s="3" t="s">
        <v>66</v>
      </c>
      <c r="J1071" s="3">
        <v>468</v>
      </c>
      <c r="K1071" s="29">
        <v>45170</v>
      </c>
      <c r="L1071" s="29" t="s">
        <v>2024</v>
      </c>
      <c r="M1071" s="3" t="s">
        <v>24</v>
      </c>
      <c r="N1071" s="3">
        <v>6929.92</v>
      </c>
      <c r="O1071" s="3" t="s">
        <v>105</v>
      </c>
      <c r="P1071" s="3" t="s">
        <v>130</v>
      </c>
      <c r="Q1071" s="3" t="s">
        <v>27</v>
      </c>
      <c r="R1071" s="3">
        <v>1</v>
      </c>
      <c r="S1071" s="3">
        <v>0</v>
      </c>
      <c r="T1071" s="38" t="s">
        <v>2879</v>
      </c>
      <c r="U1071" s="13"/>
    </row>
    <row r="1072" spans="1:21" x14ac:dyDescent="0.3">
      <c r="A1072" s="3" t="s">
        <v>2031</v>
      </c>
      <c r="B1072" s="3" t="s">
        <v>2032</v>
      </c>
      <c r="C1072" s="3">
        <v>41</v>
      </c>
      <c r="D1072" s="3" t="s">
        <v>21</v>
      </c>
      <c r="E1072" s="3">
        <v>146618</v>
      </c>
      <c r="F1072" s="3">
        <v>75000</v>
      </c>
      <c r="G1072" s="3">
        <v>180</v>
      </c>
      <c r="H1072" s="3">
        <v>16.91</v>
      </c>
      <c r="I1072" s="3" t="s">
        <v>31</v>
      </c>
      <c r="J1072" s="3">
        <v>723</v>
      </c>
      <c r="K1072" s="29">
        <v>45069</v>
      </c>
      <c r="L1072" s="29" t="s">
        <v>1002</v>
      </c>
      <c r="M1072" s="3" t="s">
        <v>24</v>
      </c>
      <c r="N1072" s="3">
        <v>1149.47</v>
      </c>
      <c r="O1072" s="3" t="s">
        <v>60</v>
      </c>
      <c r="P1072" s="3" t="s">
        <v>61</v>
      </c>
      <c r="Q1072" s="3" t="s">
        <v>35</v>
      </c>
      <c r="R1072" s="3">
        <v>5</v>
      </c>
      <c r="S1072" s="3">
        <v>0</v>
      </c>
      <c r="T1072" s="38" t="s">
        <v>2871</v>
      </c>
      <c r="U1072" s="13"/>
    </row>
    <row r="1073" spans="1:21" x14ac:dyDescent="0.3">
      <c r="A1073" s="3" t="s">
        <v>2040</v>
      </c>
      <c r="B1073" s="3" t="s">
        <v>2041</v>
      </c>
      <c r="C1073" s="3">
        <v>25</v>
      </c>
      <c r="D1073" s="3" t="s">
        <v>45</v>
      </c>
      <c r="E1073" s="3">
        <v>127486</v>
      </c>
      <c r="F1073" s="3">
        <v>100000</v>
      </c>
      <c r="G1073" s="3">
        <v>120</v>
      </c>
      <c r="H1073" s="3">
        <v>21.67</v>
      </c>
      <c r="I1073" s="3" t="s">
        <v>251</v>
      </c>
      <c r="J1073" s="3">
        <v>712</v>
      </c>
      <c r="K1073" s="29">
        <v>44670</v>
      </c>
      <c r="L1073" s="29" t="s">
        <v>2042</v>
      </c>
      <c r="M1073" s="3" t="s">
        <v>24</v>
      </c>
      <c r="N1073" s="3">
        <v>2044.55</v>
      </c>
      <c r="O1073" s="3" t="s">
        <v>48</v>
      </c>
      <c r="P1073" s="3" t="s">
        <v>375</v>
      </c>
      <c r="Q1073" s="3" t="s">
        <v>35</v>
      </c>
      <c r="R1073" s="3">
        <v>2</v>
      </c>
      <c r="S1073" s="3">
        <v>0</v>
      </c>
      <c r="T1073" s="38" t="s">
        <v>2871</v>
      </c>
      <c r="U1073" s="13"/>
    </row>
    <row r="1074" spans="1:21" x14ac:dyDescent="0.3">
      <c r="A1074" s="3" t="s">
        <v>2045</v>
      </c>
      <c r="B1074" s="3" t="s">
        <v>2046</v>
      </c>
      <c r="C1074" s="3">
        <v>62</v>
      </c>
      <c r="D1074" s="3" t="s">
        <v>45</v>
      </c>
      <c r="E1074" s="3">
        <v>55120</v>
      </c>
      <c r="F1074" s="3">
        <v>50000</v>
      </c>
      <c r="G1074" s="3">
        <v>240</v>
      </c>
      <c r="H1074" s="3">
        <v>20.85</v>
      </c>
      <c r="I1074" s="3" t="s">
        <v>22</v>
      </c>
      <c r="J1074" s="3">
        <v>885</v>
      </c>
      <c r="K1074" s="29">
        <v>44464</v>
      </c>
      <c r="L1074" s="29" t="s">
        <v>487</v>
      </c>
      <c r="M1074" s="3" t="s">
        <v>33</v>
      </c>
      <c r="N1074" s="3">
        <v>882.89</v>
      </c>
      <c r="O1074" s="3" t="s">
        <v>60</v>
      </c>
      <c r="P1074" s="3" t="s">
        <v>172</v>
      </c>
      <c r="Q1074" s="3" t="s">
        <v>42</v>
      </c>
      <c r="R1074" s="3">
        <v>2</v>
      </c>
      <c r="S1074" s="3">
        <v>0</v>
      </c>
      <c r="T1074" s="38" t="s">
        <v>2867</v>
      </c>
      <c r="U1074" s="13"/>
    </row>
    <row r="1075" spans="1:21" x14ac:dyDescent="0.3">
      <c r="A1075" s="3" t="s">
        <v>2061</v>
      </c>
      <c r="B1075" s="3" t="s">
        <v>2062</v>
      </c>
      <c r="C1075" s="3">
        <v>32</v>
      </c>
      <c r="D1075" s="3" t="s">
        <v>72</v>
      </c>
      <c r="E1075" s="3">
        <v>149049</v>
      </c>
      <c r="F1075" s="3">
        <v>200000</v>
      </c>
      <c r="G1075" s="3">
        <v>120</v>
      </c>
      <c r="H1075" s="3">
        <v>11.76</v>
      </c>
      <c r="I1075" s="3" t="s">
        <v>38</v>
      </c>
      <c r="J1075" s="3">
        <v>707</v>
      </c>
      <c r="K1075" s="29">
        <v>44857</v>
      </c>
      <c r="L1075" s="29" t="s">
        <v>170</v>
      </c>
      <c r="M1075" s="3" t="s">
        <v>24</v>
      </c>
      <c r="N1075" s="3">
        <v>2841.74</v>
      </c>
      <c r="O1075" s="3" t="s">
        <v>25</v>
      </c>
      <c r="P1075" s="3" t="s">
        <v>26</v>
      </c>
      <c r="Q1075" s="3" t="s">
        <v>35</v>
      </c>
      <c r="R1075" s="3">
        <v>2</v>
      </c>
      <c r="S1075" s="3">
        <v>0</v>
      </c>
      <c r="T1075" s="38" t="s">
        <v>2871</v>
      </c>
      <c r="U1075" s="13"/>
    </row>
    <row r="1076" spans="1:21" x14ac:dyDescent="0.3">
      <c r="A1076" s="2" t="s">
        <v>2077</v>
      </c>
      <c r="B1076" s="2" t="s">
        <v>1047</v>
      </c>
      <c r="C1076" s="2">
        <v>28</v>
      </c>
      <c r="D1076" s="2" t="s">
        <v>21</v>
      </c>
      <c r="E1076" s="2">
        <v>240807</v>
      </c>
      <c r="F1076" s="2">
        <v>1500000</v>
      </c>
      <c r="G1076" s="2">
        <v>120</v>
      </c>
      <c r="H1076" s="2">
        <v>10.78</v>
      </c>
      <c r="I1076" s="2" t="s">
        <v>22</v>
      </c>
      <c r="J1076" s="2" t="s">
        <v>2882</v>
      </c>
      <c r="K1076" s="30">
        <v>44304</v>
      </c>
      <c r="L1076" s="30" t="s">
        <v>1009</v>
      </c>
      <c r="M1076" s="2" t="s">
        <v>24</v>
      </c>
      <c r="N1076" s="2">
        <v>20476.150000000001</v>
      </c>
      <c r="O1076" s="2" t="s">
        <v>48</v>
      </c>
      <c r="P1076" s="2" t="s">
        <v>375</v>
      </c>
      <c r="Q1076" s="2" t="s">
        <v>100</v>
      </c>
      <c r="R1076" s="2">
        <v>0</v>
      </c>
      <c r="S1076" s="2">
        <v>0</v>
      </c>
      <c r="T1076" s="38" t="s">
        <v>2883</v>
      </c>
      <c r="U1076" s="13"/>
    </row>
    <row r="1077" spans="1:21" x14ac:dyDescent="0.3">
      <c r="A1077" s="3" t="s">
        <v>2078</v>
      </c>
      <c r="B1077" s="3" t="s">
        <v>2079</v>
      </c>
      <c r="C1077" s="3">
        <v>25</v>
      </c>
      <c r="D1077" s="3" t="s">
        <v>21</v>
      </c>
      <c r="E1077" s="3">
        <v>34671</v>
      </c>
      <c r="F1077" s="3">
        <v>200000</v>
      </c>
      <c r="G1077" s="3">
        <v>84</v>
      </c>
      <c r="H1077" s="3">
        <v>17.47</v>
      </c>
      <c r="I1077" s="3" t="s">
        <v>73</v>
      </c>
      <c r="J1077" s="3">
        <v>576</v>
      </c>
      <c r="K1077" s="29">
        <v>44442</v>
      </c>
      <c r="L1077" s="29" t="s">
        <v>1699</v>
      </c>
      <c r="M1077" s="3" t="s">
        <v>33</v>
      </c>
      <c r="N1077" s="3">
        <v>4141.67</v>
      </c>
      <c r="O1077" s="3" t="s">
        <v>105</v>
      </c>
      <c r="P1077" s="3" t="s">
        <v>159</v>
      </c>
      <c r="Q1077" s="3" t="s">
        <v>35</v>
      </c>
      <c r="R1077" s="3">
        <v>9</v>
      </c>
      <c r="S1077" s="3">
        <v>0</v>
      </c>
      <c r="T1077" s="38" t="s">
        <v>2875</v>
      </c>
      <c r="U1077" s="13"/>
    </row>
    <row r="1078" spans="1:21" x14ac:dyDescent="0.3">
      <c r="A1078" s="3" t="s">
        <v>2090</v>
      </c>
      <c r="B1078" s="3" t="s">
        <v>2091</v>
      </c>
      <c r="C1078" s="3">
        <v>31</v>
      </c>
      <c r="D1078" s="3" t="s">
        <v>65</v>
      </c>
      <c r="E1078" s="3">
        <v>146646</v>
      </c>
      <c r="F1078" s="3">
        <v>300000</v>
      </c>
      <c r="G1078" s="3">
        <v>240</v>
      </c>
      <c r="H1078" s="3">
        <v>12.34</v>
      </c>
      <c r="I1078" s="3" t="s">
        <v>31</v>
      </c>
      <c r="J1078" s="3">
        <v>579</v>
      </c>
      <c r="K1078" s="29">
        <v>44980</v>
      </c>
      <c r="L1078" s="29" t="s">
        <v>167</v>
      </c>
      <c r="M1078" s="3" t="s">
        <v>24</v>
      </c>
      <c r="N1078" s="3">
        <v>3374.64</v>
      </c>
      <c r="O1078" s="3" t="s">
        <v>48</v>
      </c>
      <c r="P1078" s="3" t="s">
        <v>49</v>
      </c>
      <c r="Q1078" s="3" t="s">
        <v>42</v>
      </c>
      <c r="R1078" s="3">
        <v>0</v>
      </c>
      <c r="S1078" s="3">
        <v>0</v>
      </c>
      <c r="T1078" s="38" t="s">
        <v>2875</v>
      </c>
      <c r="U1078" s="13"/>
    </row>
    <row r="1079" spans="1:21" x14ac:dyDescent="0.3">
      <c r="A1079" s="3" t="s">
        <v>2119</v>
      </c>
      <c r="B1079" s="3" t="s">
        <v>1536</v>
      </c>
      <c r="C1079" s="3">
        <v>33</v>
      </c>
      <c r="D1079" s="3" t="s">
        <v>45</v>
      </c>
      <c r="E1079" s="3">
        <v>129246</v>
      </c>
      <c r="F1079" s="3">
        <v>1000000</v>
      </c>
      <c r="G1079" s="3">
        <v>84</v>
      </c>
      <c r="H1079" s="3">
        <v>19.16</v>
      </c>
      <c r="I1079" s="3" t="s">
        <v>251</v>
      </c>
      <c r="J1079" s="3">
        <v>504</v>
      </c>
      <c r="K1079" s="29">
        <v>44605</v>
      </c>
      <c r="L1079" s="29" t="s">
        <v>1707</v>
      </c>
      <c r="M1079" s="3" t="s">
        <v>122</v>
      </c>
      <c r="N1079" s="3">
        <v>21703.19</v>
      </c>
      <c r="O1079" s="3" t="s">
        <v>48</v>
      </c>
      <c r="P1079" s="3" t="s">
        <v>86</v>
      </c>
      <c r="Q1079" s="3" t="s">
        <v>35</v>
      </c>
      <c r="R1079" s="3">
        <v>6</v>
      </c>
      <c r="S1079" s="3">
        <v>0</v>
      </c>
      <c r="T1079" s="38" t="s">
        <v>2879</v>
      </c>
      <c r="U1079" s="13"/>
    </row>
    <row r="1080" spans="1:21" x14ac:dyDescent="0.3">
      <c r="A1080" s="2" t="s">
        <v>2120</v>
      </c>
      <c r="B1080" s="2" t="s">
        <v>2121</v>
      </c>
      <c r="C1080" s="2">
        <v>41</v>
      </c>
      <c r="D1080" s="2" t="s">
        <v>45</v>
      </c>
      <c r="E1080" s="2">
        <v>179710</v>
      </c>
      <c r="F1080" s="2">
        <v>400000</v>
      </c>
      <c r="G1080" s="2">
        <v>240</v>
      </c>
      <c r="H1080" s="2">
        <v>10.16</v>
      </c>
      <c r="I1080" s="2" t="s">
        <v>73</v>
      </c>
      <c r="J1080" s="2">
        <v>398</v>
      </c>
      <c r="K1080" s="30">
        <v>44838</v>
      </c>
      <c r="L1080" s="30" t="s">
        <v>971</v>
      </c>
      <c r="M1080" s="2" t="s">
        <v>33</v>
      </c>
      <c r="N1080" s="2">
        <v>3902.58</v>
      </c>
      <c r="O1080" s="2" t="s">
        <v>105</v>
      </c>
      <c r="P1080" s="2" t="s">
        <v>2999</v>
      </c>
      <c r="Q1080" s="2" t="s">
        <v>27</v>
      </c>
      <c r="R1080" s="2">
        <v>1</v>
      </c>
      <c r="S1080" s="2">
        <v>0</v>
      </c>
      <c r="T1080" s="38" t="s">
        <v>2879</v>
      </c>
      <c r="U1080" s="13"/>
    </row>
    <row r="1081" spans="1:21" x14ac:dyDescent="0.3">
      <c r="A1081" s="2" t="s">
        <v>2125</v>
      </c>
      <c r="B1081" s="2" t="s">
        <v>2126</v>
      </c>
      <c r="C1081" s="2">
        <v>59</v>
      </c>
      <c r="D1081" s="2" t="s">
        <v>45</v>
      </c>
      <c r="E1081" s="2">
        <v>112808</v>
      </c>
      <c r="F1081" s="2">
        <v>100000</v>
      </c>
      <c r="G1081" s="2">
        <v>240</v>
      </c>
      <c r="H1081" s="2">
        <v>20.55</v>
      </c>
      <c r="I1081" s="2" t="s">
        <v>66</v>
      </c>
      <c r="J1081" s="2">
        <v>354</v>
      </c>
      <c r="K1081" s="30">
        <v>44209</v>
      </c>
      <c r="L1081" s="30" t="s">
        <v>2029</v>
      </c>
      <c r="M1081" s="2" t="s">
        <v>24</v>
      </c>
      <c r="N1081" s="2">
        <v>1742.1</v>
      </c>
      <c r="O1081" s="2" t="s">
        <v>60</v>
      </c>
      <c r="P1081" s="2" t="s">
        <v>192</v>
      </c>
      <c r="Q1081" s="2" t="s">
        <v>42</v>
      </c>
      <c r="R1081" s="2">
        <v>1</v>
      </c>
      <c r="S1081" s="2">
        <v>0</v>
      </c>
      <c r="T1081" s="38" t="s">
        <v>2879</v>
      </c>
      <c r="U1081" s="13"/>
    </row>
    <row r="1082" spans="1:21" x14ac:dyDescent="0.3">
      <c r="A1082" s="2" t="s">
        <v>2129</v>
      </c>
      <c r="B1082" s="2" t="s">
        <v>2130</v>
      </c>
      <c r="C1082" s="2">
        <v>35</v>
      </c>
      <c r="D1082" s="2" t="s">
        <v>45</v>
      </c>
      <c r="E1082" s="2">
        <v>52788</v>
      </c>
      <c r="F1082" s="2">
        <v>500000</v>
      </c>
      <c r="G1082" s="2">
        <v>180</v>
      </c>
      <c r="H1082" s="2">
        <v>9.48</v>
      </c>
      <c r="I1082" s="2" t="s">
        <v>251</v>
      </c>
      <c r="J1082" s="2">
        <v>608</v>
      </c>
      <c r="K1082" s="30">
        <v>44608</v>
      </c>
      <c r="L1082" s="30" t="s">
        <v>1559</v>
      </c>
      <c r="M1082" s="2" t="s">
        <v>24</v>
      </c>
      <c r="N1082" s="2">
        <v>5215.09</v>
      </c>
      <c r="O1082" s="2" t="s">
        <v>48</v>
      </c>
      <c r="P1082" s="2" t="s">
        <v>49</v>
      </c>
      <c r="Q1082" s="2" t="s">
        <v>42</v>
      </c>
      <c r="R1082" s="2">
        <v>1</v>
      </c>
      <c r="S1082" s="2">
        <v>0</v>
      </c>
      <c r="T1082" s="38" t="s">
        <v>2875</v>
      </c>
      <c r="U1082" s="13"/>
    </row>
    <row r="1083" spans="1:21" x14ac:dyDescent="0.3">
      <c r="A1083" s="3" t="s">
        <v>2134</v>
      </c>
      <c r="B1083" s="3" t="s">
        <v>723</v>
      </c>
      <c r="C1083" s="3">
        <v>32</v>
      </c>
      <c r="D1083" s="3" t="s">
        <v>45</v>
      </c>
      <c r="E1083" s="3">
        <v>209422</v>
      </c>
      <c r="F1083" s="3">
        <v>1500000</v>
      </c>
      <c r="G1083" s="3">
        <v>240</v>
      </c>
      <c r="H1083" s="3">
        <v>10.41</v>
      </c>
      <c r="I1083" s="3" t="s">
        <v>31</v>
      </c>
      <c r="J1083" s="3">
        <v>596</v>
      </c>
      <c r="K1083" s="29">
        <v>44949</v>
      </c>
      <c r="L1083" s="29" t="s">
        <v>174</v>
      </c>
      <c r="M1083" s="3" t="s">
        <v>24</v>
      </c>
      <c r="N1083" s="3">
        <v>14885.12</v>
      </c>
      <c r="O1083" s="3" t="s">
        <v>48</v>
      </c>
      <c r="P1083" s="3" t="s">
        <v>49</v>
      </c>
      <c r="Q1083" s="3" t="s">
        <v>42</v>
      </c>
      <c r="R1083" s="3">
        <v>2</v>
      </c>
      <c r="S1083" s="3">
        <v>0</v>
      </c>
      <c r="T1083" s="38" t="s">
        <v>2875</v>
      </c>
      <c r="U1083" s="13"/>
    </row>
    <row r="1084" spans="1:21" x14ac:dyDescent="0.3">
      <c r="A1084" s="2" t="s">
        <v>2139</v>
      </c>
      <c r="B1084" s="2" t="s">
        <v>2140</v>
      </c>
      <c r="C1084" s="2">
        <v>33</v>
      </c>
      <c r="D1084" s="2" t="s">
        <v>30</v>
      </c>
      <c r="E1084" s="2">
        <v>107239</v>
      </c>
      <c r="F1084" s="2">
        <v>1000000</v>
      </c>
      <c r="G1084" s="2">
        <v>84</v>
      </c>
      <c r="H1084" s="2">
        <v>14.16</v>
      </c>
      <c r="I1084" s="2" t="s">
        <v>251</v>
      </c>
      <c r="J1084" s="2">
        <v>585</v>
      </c>
      <c r="K1084" s="30">
        <v>45187</v>
      </c>
      <c r="L1084" s="30" t="s">
        <v>847</v>
      </c>
      <c r="M1084" s="2" t="s">
        <v>33</v>
      </c>
      <c r="N1084" s="2">
        <v>18828.509999999998</v>
      </c>
      <c r="O1084" s="2" t="s">
        <v>48</v>
      </c>
      <c r="P1084" s="2" t="s">
        <v>80</v>
      </c>
      <c r="Q1084" s="2" t="s">
        <v>27</v>
      </c>
      <c r="R1084" s="2">
        <v>0</v>
      </c>
      <c r="S1084" s="2">
        <v>0</v>
      </c>
      <c r="T1084" s="38" t="s">
        <v>2875</v>
      </c>
      <c r="U1084" s="13"/>
    </row>
    <row r="1085" spans="1:21" x14ac:dyDescent="0.3">
      <c r="A1085" s="3" t="s">
        <v>2141</v>
      </c>
      <c r="B1085" s="3" t="s">
        <v>2142</v>
      </c>
      <c r="C1085" s="3">
        <v>58</v>
      </c>
      <c r="D1085" s="3" t="s">
        <v>45</v>
      </c>
      <c r="E1085" s="3"/>
      <c r="F1085" s="3">
        <v>1000000</v>
      </c>
      <c r="G1085" s="3">
        <v>240</v>
      </c>
      <c r="H1085" s="3">
        <v>11.26</v>
      </c>
      <c r="I1085" s="3" t="s">
        <v>38</v>
      </c>
      <c r="J1085" s="3">
        <v>894</v>
      </c>
      <c r="K1085" s="29">
        <v>45023</v>
      </c>
      <c r="L1085" s="29" t="s">
        <v>643</v>
      </c>
      <c r="M1085" s="3" t="s">
        <v>24</v>
      </c>
      <c r="N1085" s="3">
        <v>10499.41</v>
      </c>
      <c r="O1085" s="3" t="s">
        <v>48</v>
      </c>
      <c r="P1085" s="3" t="s">
        <v>375</v>
      </c>
      <c r="Q1085" s="3" t="s">
        <v>42</v>
      </c>
      <c r="R1085" s="3">
        <v>2</v>
      </c>
      <c r="S1085" s="3">
        <v>0</v>
      </c>
      <c r="T1085" s="38" t="s">
        <v>2867</v>
      </c>
      <c r="U1085" s="13"/>
    </row>
    <row r="1086" spans="1:21" x14ac:dyDescent="0.3">
      <c r="A1086" s="3" t="s">
        <v>2151</v>
      </c>
      <c r="B1086" s="3" t="s">
        <v>2152</v>
      </c>
      <c r="C1086" s="3">
        <v>55</v>
      </c>
      <c r="D1086" s="3" t="s">
        <v>21</v>
      </c>
      <c r="E1086" s="3">
        <v>41453</v>
      </c>
      <c r="F1086" s="3">
        <v>75000</v>
      </c>
      <c r="G1086" s="3">
        <v>180</v>
      </c>
      <c r="H1086" s="3">
        <v>10.84</v>
      </c>
      <c r="I1086" s="3" t="s">
        <v>38</v>
      </c>
      <c r="J1086" s="3">
        <v>323</v>
      </c>
      <c r="K1086" s="29">
        <v>44929</v>
      </c>
      <c r="L1086" s="29" t="s">
        <v>1218</v>
      </c>
      <c r="M1086" s="3" t="s">
        <v>24</v>
      </c>
      <c r="N1086" s="3">
        <v>844.93</v>
      </c>
      <c r="O1086" s="3" t="s">
        <v>105</v>
      </c>
      <c r="P1086" s="3" t="s">
        <v>130</v>
      </c>
      <c r="Q1086" s="3" t="s">
        <v>42</v>
      </c>
      <c r="R1086" s="3">
        <v>1</v>
      </c>
      <c r="S1086" s="3">
        <v>0</v>
      </c>
      <c r="T1086" s="38" t="s">
        <v>2879</v>
      </c>
      <c r="U1086" s="13"/>
    </row>
    <row r="1087" spans="1:21" x14ac:dyDescent="0.3">
      <c r="A1087" s="2" t="s">
        <v>2153</v>
      </c>
      <c r="B1087" s="2" t="s">
        <v>2154</v>
      </c>
      <c r="C1087" s="2">
        <v>26</v>
      </c>
      <c r="D1087" s="2" t="s">
        <v>45</v>
      </c>
      <c r="E1087" s="2">
        <v>165826</v>
      </c>
      <c r="F1087" s="2">
        <v>150000</v>
      </c>
      <c r="G1087" s="2">
        <v>240</v>
      </c>
      <c r="H1087" s="2">
        <v>21.01</v>
      </c>
      <c r="I1087" s="2" t="s">
        <v>66</v>
      </c>
      <c r="J1087" s="2">
        <v>708</v>
      </c>
      <c r="K1087" s="30">
        <v>44424</v>
      </c>
      <c r="L1087" s="30" t="s">
        <v>389</v>
      </c>
      <c r="M1087" s="2" t="s">
        <v>24</v>
      </c>
      <c r="N1087" s="2">
        <v>2667.65</v>
      </c>
      <c r="O1087" s="2" t="s">
        <v>54</v>
      </c>
      <c r="P1087" s="2" t="s">
        <v>304</v>
      </c>
      <c r="Q1087" s="2" t="s">
        <v>35</v>
      </c>
      <c r="R1087" s="2">
        <v>8</v>
      </c>
      <c r="S1087" s="2">
        <v>0</v>
      </c>
      <c r="T1087" s="38" t="s">
        <v>2871</v>
      </c>
      <c r="U1087" s="13"/>
    </row>
    <row r="1088" spans="1:21" x14ac:dyDescent="0.3">
      <c r="A1088" s="3" t="s">
        <v>2155</v>
      </c>
      <c r="B1088" s="3" t="s">
        <v>1581</v>
      </c>
      <c r="C1088" s="3">
        <v>63</v>
      </c>
      <c r="D1088" s="3" t="s">
        <v>72</v>
      </c>
      <c r="E1088" s="3">
        <v>23460</v>
      </c>
      <c r="F1088" s="3">
        <v>250000</v>
      </c>
      <c r="G1088" s="3">
        <v>120</v>
      </c>
      <c r="H1088" s="3">
        <v>11.28</v>
      </c>
      <c r="I1088" s="3" t="s">
        <v>38</v>
      </c>
      <c r="J1088" s="3">
        <v>360</v>
      </c>
      <c r="K1088" s="29">
        <v>44872</v>
      </c>
      <c r="L1088" s="29" t="s">
        <v>2156</v>
      </c>
      <c r="M1088" s="3" t="s">
        <v>24</v>
      </c>
      <c r="N1088" s="3">
        <v>3483.49</v>
      </c>
      <c r="O1088" s="3" t="s">
        <v>105</v>
      </c>
      <c r="P1088" s="3" t="s">
        <v>159</v>
      </c>
      <c r="Q1088" s="3" t="s">
        <v>62</v>
      </c>
      <c r="R1088" s="3">
        <v>2</v>
      </c>
      <c r="S1088" s="3">
        <v>0</v>
      </c>
      <c r="T1088" s="38" t="s">
        <v>2879</v>
      </c>
      <c r="U1088" s="13"/>
    </row>
    <row r="1089" spans="1:21" x14ac:dyDescent="0.3">
      <c r="A1089" s="2" t="s">
        <v>2168</v>
      </c>
      <c r="B1089" s="2" t="s">
        <v>44</v>
      </c>
      <c r="C1089" s="2">
        <v>63</v>
      </c>
      <c r="D1089" s="2" t="s">
        <v>30</v>
      </c>
      <c r="E1089" s="2">
        <v>153109</v>
      </c>
      <c r="F1089" s="2">
        <v>200000</v>
      </c>
      <c r="G1089" s="2">
        <v>84</v>
      </c>
      <c r="H1089" s="2">
        <v>17.62</v>
      </c>
      <c r="I1089" s="2" t="s">
        <v>22</v>
      </c>
      <c r="J1089" s="2">
        <v>355</v>
      </c>
      <c r="K1089" s="30">
        <v>45192</v>
      </c>
      <c r="L1089" s="30" t="s">
        <v>814</v>
      </c>
      <c r="M1089" s="2" t="s">
        <v>24</v>
      </c>
      <c r="N1089" s="2">
        <v>4159.1400000000003</v>
      </c>
      <c r="O1089" s="2" t="s">
        <v>48</v>
      </c>
      <c r="P1089" s="2" t="s">
        <v>80</v>
      </c>
      <c r="Q1089" s="2" t="s">
        <v>42</v>
      </c>
      <c r="R1089" s="2">
        <v>2</v>
      </c>
      <c r="S1089" s="2">
        <v>0</v>
      </c>
      <c r="T1089" s="38" t="s">
        <v>2879</v>
      </c>
      <c r="U1089" s="13"/>
    </row>
    <row r="1090" spans="1:21" x14ac:dyDescent="0.3">
      <c r="A1090" s="3" t="s">
        <v>2169</v>
      </c>
      <c r="B1090" s="3" t="s">
        <v>1690</v>
      </c>
      <c r="C1090" s="3">
        <v>30</v>
      </c>
      <c r="D1090" s="3" t="s">
        <v>45</v>
      </c>
      <c r="E1090" s="3">
        <v>75433</v>
      </c>
      <c r="F1090" s="3">
        <v>200000</v>
      </c>
      <c r="G1090" s="3">
        <v>240</v>
      </c>
      <c r="H1090" s="3">
        <v>10.56</v>
      </c>
      <c r="I1090" s="3" t="s">
        <v>38</v>
      </c>
      <c r="J1090" s="3">
        <v>445</v>
      </c>
      <c r="K1090" s="29">
        <v>45126</v>
      </c>
      <c r="L1090" s="29" t="s">
        <v>1307</v>
      </c>
      <c r="M1090" s="3" t="s">
        <v>24</v>
      </c>
      <c r="N1090" s="3">
        <v>2004.83</v>
      </c>
      <c r="O1090" s="3" t="s">
        <v>25</v>
      </c>
      <c r="P1090" s="3" t="s">
        <v>34</v>
      </c>
      <c r="Q1090" s="3" t="s">
        <v>100</v>
      </c>
      <c r="R1090" s="3">
        <v>11</v>
      </c>
      <c r="S1090" s="3">
        <v>0</v>
      </c>
      <c r="T1090" s="38" t="s">
        <v>2879</v>
      </c>
      <c r="U1090" s="13"/>
    </row>
    <row r="1091" spans="1:21" x14ac:dyDescent="0.3">
      <c r="A1091" s="2" t="s">
        <v>2182</v>
      </c>
      <c r="B1091" s="2" t="s">
        <v>2183</v>
      </c>
      <c r="C1091" s="2">
        <v>26</v>
      </c>
      <c r="D1091" s="2" t="s">
        <v>65</v>
      </c>
      <c r="E1091" s="2">
        <v>62134</v>
      </c>
      <c r="F1091" s="2">
        <v>200000</v>
      </c>
      <c r="G1091" s="2">
        <v>60</v>
      </c>
      <c r="H1091" s="2">
        <v>11.26</v>
      </c>
      <c r="I1091" s="2" t="s">
        <v>31</v>
      </c>
      <c r="J1091" s="2">
        <v>430</v>
      </c>
      <c r="K1091" s="30">
        <v>44298</v>
      </c>
      <c r="L1091" s="30" t="s">
        <v>688</v>
      </c>
      <c r="M1091" s="2"/>
      <c r="N1091" s="2">
        <v>4374.46</v>
      </c>
      <c r="O1091" s="2" t="s">
        <v>105</v>
      </c>
      <c r="P1091" s="2" t="s">
        <v>159</v>
      </c>
      <c r="Q1091" s="2" t="s">
        <v>42</v>
      </c>
      <c r="R1091" s="2">
        <v>0</v>
      </c>
      <c r="S1091" s="2">
        <v>0</v>
      </c>
      <c r="T1091" s="38" t="s">
        <v>2879</v>
      </c>
      <c r="U1091" s="13"/>
    </row>
    <row r="1092" spans="1:21" x14ac:dyDescent="0.3">
      <c r="A1092" s="2" t="s">
        <v>2191</v>
      </c>
      <c r="B1092" s="2" t="s">
        <v>2192</v>
      </c>
      <c r="C1092" s="2">
        <v>31</v>
      </c>
      <c r="D1092" s="2" t="s">
        <v>45</v>
      </c>
      <c r="E1092" s="2">
        <v>21693</v>
      </c>
      <c r="F1092" s="2">
        <v>75000</v>
      </c>
      <c r="G1092" s="2">
        <v>48</v>
      </c>
      <c r="H1092" s="2">
        <v>19.22</v>
      </c>
      <c r="I1092" s="2" t="s">
        <v>38</v>
      </c>
      <c r="J1092" s="2">
        <v>520</v>
      </c>
      <c r="K1092" s="30">
        <v>44504</v>
      </c>
      <c r="L1092" s="30" t="s">
        <v>1191</v>
      </c>
      <c r="M1092" s="2" t="s">
        <v>24</v>
      </c>
      <c r="N1092" s="2">
        <v>2251.23</v>
      </c>
      <c r="O1092" s="2" t="s">
        <v>60</v>
      </c>
      <c r="P1092" s="2" t="s">
        <v>69</v>
      </c>
      <c r="Q1092" s="2" t="s">
        <v>42</v>
      </c>
      <c r="R1092" s="2">
        <v>0</v>
      </c>
      <c r="S1092" s="2">
        <v>0</v>
      </c>
      <c r="T1092" s="38" t="s">
        <v>2879</v>
      </c>
      <c r="U1092" s="13"/>
    </row>
    <row r="1093" spans="1:21" x14ac:dyDescent="0.3">
      <c r="A1093" s="3" t="s">
        <v>2193</v>
      </c>
      <c r="B1093" s="3" t="s">
        <v>1028</v>
      </c>
      <c r="C1093" s="3">
        <v>26</v>
      </c>
      <c r="D1093" s="3" t="s">
        <v>30</v>
      </c>
      <c r="E1093" s="3">
        <v>163216</v>
      </c>
      <c r="F1093" s="3">
        <v>500000</v>
      </c>
      <c r="G1093" s="3">
        <v>240</v>
      </c>
      <c r="H1093" s="3">
        <v>18.14</v>
      </c>
      <c r="I1093" s="3" t="s">
        <v>22</v>
      </c>
      <c r="J1093" s="3">
        <v>840</v>
      </c>
      <c r="K1093" s="29">
        <v>45271</v>
      </c>
      <c r="L1093" s="29" t="s">
        <v>1785</v>
      </c>
      <c r="M1093" s="3" t="s">
        <v>33</v>
      </c>
      <c r="N1093" s="3">
        <v>7770.47</v>
      </c>
      <c r="O1093" s="3" t="s">
        <v>25</v>
      </c>
      <c r="P1093" s="3" t="s">
        <v>123</v>
      </c>
      <c r="Q1093" s="3"/>
      <c r="R1093" s="3">
        <v>1</v>
      </c>
      <c r="S1093" s="3">
        <v>0</v>
      </c>
      <c r="T1093" s="38" t="s">
        <v>2867</v>
      </c>
      <c r="U1093" s="13"/>
    </row>
    <row r="1094" spans="1:21" x14ac:dyDescent="0.3">
      <c r="A1094" s="3" t="s">
        <v>2196</v>
      </c>
      <c r="B1094" s="3" t="s">
        <v>2197</v>
      </c>
      <c r="C1094" s="3">
        <v>48</v>
      </c>
      <c r="D1094" s="3" t="s">
        <v>21</v>
      </c>
      <c r="E1094" s="3">
        <v>35890</v>
      </c>
      <c r="F1094" s="3">
        <v>250000</v>
      </c>
      <c r="G1094" s="3">
        <v>240</v>
      </c>
      <c r="H1094" s="3">
        <v>14.83</v>
      </c>
      <c r="I1094" s="3" t="s">
        <v>38</v>
      </c>
      <c r="J1094" s="3">
        <v>795</v>
      </c>
      <c r="K1094" s="29">
        <v>45054</v>
      </c>
      <c r="L1094" s="29" t="s">
        <v>141</v>
      </c>
      <c r="M1094" s="3" t="s">
        <v>122</v>
      </c>
      <c r="N1094" s="3">
        <v>3260.62</v>
      </c>
      <c r="O1094" s="3" t="s">
        <v>54</v>
      </c>
      <c r="P1094" s="3" t="s">
        <v>2996</v>
      </c>
      <c r="Q1094" s="3" t="s">
        <v>42</v>
      </c>
      <c r="R1094" s="3">
        <v>1</v>
      </c>
      <c r="S1094" s="3">
        <v>0</v>
      </c>
      <c r="T1094" s="38" t="s">
        <v>2867</v>
      </c>
      <c r="U1094" s="13"/>
    </row>
    <row r="1095" spans="1:21" x14ac:dyDescent="0.3">
      <c r="A1095" s="2" t="s">
        <v>2204</v>
      </c>
      <c r="B1095" s="2" t="s">
        <v>2205</v>
      </c>
      <c r="C1095" s="2">
        <v>23</v>
      </c>
      <c r="D1095" s="2" t="s">
        <v>30</v>
      </c>
      <c r="E1095" s="2">
        <v>34140</v>
      </c>
      <c r="F1095" s="2">
        <v>100000</v>
      </c>
      <c r="G1095" s="2">
        <v>240</v>
      </c>
      <c r="H1095" s="2">
        <v>20.07</v>
      </c>
      <c r="I1095" s="2" t="s">
        <v>73</v>
      </c>
      <c r="J1095" s="2">
        <v>732</v>
      </c>
      <c r="K1095" s="30">
        <v>44691</v>
      </c>
      <c r="L1095" s="30" t="s">
        <v>1135</v>
      </c>
      <c r="M1095" s="2" t="s">
        <v>24</v>
      </c>
      <c r="N1095" s="2">
        <v>1704.32</v>
      </c>
      <c r="O1095" s="2" t="s">
        <v>48</v>
      </c>
      <c r="P1095" s="2" t="s">
        <v>86</v>
      </c>
      <c r="Q1095" s="2" t="s">
        <v>27</v>
      </c>
      <c r="R1095" s="2">
        <v>1</v>
      </c>
      <c r="S1095" s="2">
        <v>0</v>
      </c>
      <c r="T1095" s="38" t="s">
        <v>2871</v>
      </c>
      <c r="U1095" s="13"/>
    </row>
    <row r="1096" spans="1:21" x14ac:dyDescent="0.3">
      <c r="A1096" s="3" t="s">
        <v>2214</v>
      </c>
      <c r="B1096" s="3" t="s">
        <v>2154</v>
      </c>
      <c r="C1096" s="3">
        <v>38</v>
      </c>
      <c r="D1096" s="3" t="s">
        <v>45</v>
      </c>
      <c r="E1096" s="3"/>
      <c r="F1096" s="3">
        <v>75000</v>
      </c>
      <c r="G1096" s="3">
        <v>48</v>
      </c>
      <c r="H1096" s="3">
        <v>17.16</v>
      </c>
      <c r="I1096" s="3" t="s">
        <v>251</v>
      </c>
      <c r="J1096" s="3">
        <v>398</v>
      </c>
      <c r="K1096" s="29">
        <v>44542</v>
      </c>
      <c r="L1096" s="29" t="s">
        <v>897</v>
      </c>
      <c r="M1096" s="3" t="s">
        <v>24</v>
      </c>
      <c r="N1096" s="3">
        <v>2170.34</v>
      </c>
      <c r="O1096" s="3" t="s">
        <v>105</v>
      </c>
      <c r="P1096" s="3" t="s">
        <v>2999</v>
      </c>
      <c r="Q1096" s="3" t="s">
        <v>42</v>
      </c>
      <c r="R1096" s="3">
        <v>2</v>
      </c>
      <c r="S1096" s="3">
        <v>0</v>
      </c>
      <c r="T1096" s="38" t="s">
        <v>2879</v>
      </c>
      <c r="U1096" s="13"/>
    </row>
    <row r="1097" spans="1:21" x14ac:dyDescent="0.3">
      <c r="A1097" s="2" t="s">
        <v>2217</v>
      </c>
      <c r="B1097" s="2" t="s">
        <v>2218</v>
      </c>
      <c r="C1097" s="2">
        <v>26</v>
      </c>
      <c r="D1097" s="2" t="s">
        <v>21</v>
      </c>
      <c r="E1097" s="2">
        <v>56085</v>
      </c>
      <c r="F1097" s="2">
        <v>500000</v>
      </c>
      <c r="G1097" s="2">
        <v>84</v>
      </c>
      <c r="H1097" s="2">
        <v>11.5</v>
      </c>
      <c r="I1097" s="2" t="s">
        <v>22</v>
      </c>
      <c r="J1097" s="2">
        <v>622</v>
      </c>
      <c r="K1097" s="30">
        <v>44847</v>
      </c>
      <c r="L1097" s="30" t="s">
        <v>178</v>
      </c>
      <c r="M1097" s="2" t="s">
        <v>24</v>
      </c>
      <c r="N1097" s="2">
        <v>8693.23</v>
      </c>
      <c r="O1097" s="2" t="s">
        <v>25</v>
      </c>
      <c r="P1097" s="2" t="s">
        <v>2998</v>
      </c>
      <c r="Q1097" s="2" t="s">
        <v>42</v>
      </c>
      <c r="R1097" s="2">
        <v>0</v>
      </c>
      <c r="S1097" s="2">
        <v>0</v>
      </c>
      <c r="T1097" s="38" t="s">
        <v>2875</v>
      </c>
      <c r="U1097" s="13"/>
    </row>
    <row r="1098" spans="1:21" x14ac:dyDescent="0.3">
      <c r="A1098" s="3" t="s">
        <v>2219</v>
      </c>
      <c r="B1098" s="3" t="s">
        <v>1634</v>
      </c>
      <c r="C1098" s="3">
        <v>62</v>
      </c>
      <c r="D1098" s="3" t="s">
        <v>72</v>
      </c>
      <c r="E1098" s="3">
        <v>79464</v>
      </c>
      <c r="F1098" s="3">
        <v>100000</v>
      </c>
      <c r="G1098" s="3">
        <v>120</v>
      </c>
      <c r="H1098" s="3">
        <v>20.149999999999999</v>
      </c>
      <c r="I1098" s="3" t="s">
        <v>83</v>
      </c>
      <c r="J1098" s="3">
        <v>500</v>
      </c>
      <c r="K1098" s="29">
        <v>44580</v>
      </c>
      <c r="L1098" s="29" t="s">
        <v>2220</v>
      </c>
      <c r="M1098" s="3" t="s">
        <v>24</v>
      </c>
      <c r="N1098" s="3">
        <v>1942.51</v>
      </c>
      <c r="O1098" s="3" t="s">
        <v>48</v>
      </c>
      <c r="P1098" s="3" t="s">
        <v>80</v>
      </c>
      <c r="Q1098" s="3" t="s">
        <v>42</v>
      </c>
      <c r="R1098" s="3">
        <v>0</v>
      </c>
      <c r="S1098" s="3">
        <v>0</v>
      </c>
      <c r="T1098" s="38" t="s">
        <v>2879</v>
      </c>
      <c r="U1098" s="13"/>
    </row>
    <row r="1099" spans="1:21" x14ac:dyDescent="0.3">
      <c r="A1099" s="2" t="s">
        <v>2221</v>
      </c>
      <c r="B1099" s="2" t="s">
        <v>2222</v>
      </c>
      <c r="C1099" s="2">
        <v>30</v>
      </c>
      <c r="D1099" s="2" t="s">
        <v>30</v>
      </c>
      <c r="E1099" s="2">
        <v>181401</v>
      </c>
      <c r="F1099" s="2">
        <v>75000</v>
      </c>
      <c r="G1099" s="2">
        <v>240</v>
      </c>
      <c r="H1099" s="2">
        <v>19.93</v>
      </c>
      <c r="I1099" s="2" t="s">
        <v>83</v>
      </c>
      <c r="J1099" s="2">
        <v>303</v>
      </c>
      <c r="K1099" s="30">
        <v>44624</v>
      </c>
      <c r="L1099" s="30" t="s">
        <v>606</v>
      </c>
      <c r="M1099" s="2" t="s">
        <v>24</v>
      </c>
      <c r="N1099" s="2">
        <v>1270</v>
      </c>
      <c r="O1099" s="2" t="s">
        <v>60</v>
      </c>
      <c r="P1099" s="2" t="s">
        <v>172</v>
      </c>
      <c r="Q1099" s="2" t="s">
        <v>42</v>
      </c>
      <c r="R1099" s="2">
        <v>1</v>
      </c>
      <c r="S1099" s="2">
        <v>0</v>
      </c>
      <c r="T1099" s="38" t="s">
        <v>2879</v>
      </c>
      <c r="U1099" s="13"/>
    </row>
    <row r="1100" spans="1:21" x14ac:dyDescent="0.3">
      <c r="A1100" s="3" t="s">
        <v>2232</v>
      </c>
      <c r="B1100" s="3" t="s">
        <v>2233</v>
      </c>
      <c r="C1100" s="3">
        <v>36</v>
      </c>
      <c r="D1100" s="3" t="s">
        <v>21</v>
      </c>
      <c r="E1100" s="3">
        <v>181793</v>
      </c>
      <c r="F1100" s="3">
        <v>50000</v>
      </c>
      <c r="G1100" s="3">
        <v>60</v>
      </c>
      <c r="H1100" s="3">
        <v>13.99</v>
      </c>
      <c r="I1100" s="3" t="s">
        <v>83</v>
      </c>
      <c r="J1100" s="3" t="s">
        <v>2882</v>
      </c>
      <c r="K1100" s="29">
        <v>44422</v>
      </c>
      <c r="L1100" s="29" t="s">
        <v>699</v>
      </c>
      <c r="M1100" s="3" t="s">
        <v>24</v>
      </c>
      <c r="N1100" s="3">
        <v>1163.1500000000001</v>
      </c>
      <c r="O1100" s="3" t="s">
        <v>105</v>
      </c>
      <c r="P1100" s="3" t="s">
        <v>2999</v>
      </c>
      <c r="Q1100" s="3" t="s">
        <v>27</v>
      </c>
      <c r="R1100" s="3">
        <v>0</v>
      </c>
      <c r="S1100" s="3">
        <v>0</v>
      </c>
      <c r="T1100" s="38" t="s">
        <v>2883</v>
      </c>
      <c r="U1100" s="13"/>
    </row>
    <row r="1101" spans="1:21" x14ac:dyDescent="0.3">
      <c r="A1101" s="3" t="s">
        <v>2241</v>
      </c>
      <c r="B1101" s="3" t="s">
        <v>2242</v>
      </c>
      <c r="C1101" s="3">
        <v>24</v>
      </c>
      <c r="D1101" s="3" t="s">
        <v>21</v>
      </c>
      <c r="E1101" s="3">
        <v>211585</v>
      </c>
      <c r="F1101" s="3">
        <v>75000</v>
      </c>
      <c r="G1101" s="3">
        <v>120</v>
      </c>
      <c r="H1101" s="3">
        <v>17</v>
      </c>
      <c r="I1101" s="3" t="s">
        <v>251</v>
      </c>
      <c r="J1101" s="3">
        <v>576</v>
      </c>
      <c r="K1101" s="29">
        <v>45047</v>
      </c>
      <c r="L1101" s="29" t="s">
        <v>2243</v>
      </c>
      <c r="M1101" s="3" t="s">
        <v>24</v>
      </c>
      <c r="N1101" s="3">
        <v>1303.48</v>
      </c>
      <c r="O1101" s="3" t="s">
        <v>25</v>
      </c>
      <c r="P1101" s="3" t="s">
        <v>26</v>
      </c>
      <c r="Q1101" s="3" t="s">
        <v>35</v>
      </c>
      <c r="R1101" s="3">
        <v>1</v>
      </c>
      <c r="S1101" s="3">
        <v>0</v>
      </c>
      <c r="T1101" s="38" t="s">
        <v>2875</v>
      </c>
      <c r="U1101" s="13"/>
    </row>
    <row r="1102" spans="1:21" x14ac:dyDescent="0.3">
      <c r="A1102" s="3" t="s">
        <v>2255</v>
      </c>
      <c r="B1102" s="3" t="s">
        <v>2256</v>
      </c>
      <c r="C1102" s="3">
        <v>22</v>
      </c>
      <c r="D1102" s="3" t="s">
        <v>21</v>
      </c>
      <c r="E1102" s="3">
        <v>195983</v>
      </c>
      <c r="F1102" s="3">
        <v>150000</v>
      </c>
      <c r="G1102" s="3">
        <v>240</v>
      </c>
      <c r="H1102" s="3">
        <v>19.02</v>
      </c>
      <c r="I1102" s="3" t="s">
        <v>31</v>
      </c>
      <c r="J1102" s="3">
        <v>620</v>
      </c>
      <c r="K1102" s="29">
        <v>45186</v>
      </c>
      <c r="L1102" s="29" t="s">
        <v>1457</v>
      </c>
      <c r="M1102" s="3" t="s">
        <v>24</v>
      </c>
      <c r="N1102" s="3">
        <v>2433.36</v>
      </c>
      <c r="O1102" s="3" t="s">
        <v>105</v>
      </c>
      <c r="P1102" s="3" t="s">
        <v>130</v>
      </c>
      <c r="Q1102" s="3" t="s">
        <v>42</v>
      </c>
      <c r="R1102" s="3">
        <v>1</v>
      </c>
      <c r="S1102" s="3">
        <v>0</v>
      </c>
      <c r="T1102" s="38" t="s">
        <v>2875</v>
      </c>
      <c r="U1102" s="13"/>
    </row>
    <row r="1103" spans="1:21" x14ac:dyDescent="0.3">
      <c r="A1103" s="3" t="s">
        <v>2259</v>
      </c>
      <c r="B1103" s="3" t="s">
        <v>2185</v>
      </c>
      <c r="C1103" s="3">
        <v>49</v>
      </c>
      <c r="D1103" s="3" t="s">
        <v>65</v>
      </c>
      <c r="E1103" s="3">
        <v>59753</v>
      </c>
      <c r="F1103" s="3">
        <v>1000000</v>
      </c>
      <c r="G1103" s="3">
        <v>240</v>
      </c>
      <c r="H1103" s="3">
        <v>14.56</v>
      </c>
      <c r="I1103" s="3" t="s">
        <v>73</v>
      </c>
      <c r="J1103" s="3">
        <v>708</v>
      </c>
      <c r="K1103" s="29">
        <v>44799</v>
      </c>
      <c r="L1103" s="29" t="s">
        <v>597</v>
      </c>
      <c r="M1103" s="3" t="s">
        <v>24</v>
      </c>
      <c r="N1103" s="3">
        <v>12843.96</v>
      </c>
      <c r="O1103" s="3" t="s">
        <v>25</v>
      </c>
      <c r="P1103" s="3" t="s">
        <v>151</v>
      </c>
      <c r="Q1103" s="3" t="s">
        <v>42</v>
      </c>
      <c r="R1103" s="3">
        <v>0</v>
      </c>
      <c r="S1103" s="3">
        <v>0</v>
      </c>
      <c r="T1103" s="38" t="s">
        <v>2871</v>
      </c>
      <c r="U1103" s="13"/>
    </row>
    <row r="1104" spans="1:21" x14ac:dyDescent="0.3">
      <c r="A1104" s="3" t="s">
        <v>2267</v>
      </c>
      <c r="B1104" s="3" t="s">
        <v>2268</v>
      </c>
      <c r="C1104" s="3">
        <v>49</v>
      </c>
      <c r="D1104" s="3" t="s">
        <v>45</v>
      </c>
      <c r="E1104" s="3">
        <v>206187</v>
      </c>
      <c r="F1104" s="3">
        <v>200000</v>
      </c>
      <c r="G1104" s="3">
        <v>84</v>
      </c>
      <c r="H1104" s="3">
        <v>16.559999999999999</v>
      </c>
      <c r="I1104" s="3" t="s">
        <v>73</v>
      </c>
      <c r="J1104" s="3">
        <v>560</v>
      </c>
      <c r="K1104" s="29">
        <v>44611</v>
      </c>
      <c r="L1104" s="29" t="s">
        <v>2269</v>
      </c>
      <c r="M1104" s="3" t="s">
        <v>24</v>
      </c>
      <c r="N1104" s="3">
        <v>4036.47</v>
      </c>
      <c r="O1104" s="3" t="s">
        <v>54</v>
      </c>
      <c r="P1104" s="3" t="s">
        <v>99</v>
      </c>
      <c r="Q1104" s="3" t="s">
        <v>42</v>
      </c>
      <c r="R1104" s="3">
        <v>2</v>
      </c>
      <c r="S1104" s="3">
        <v>0</v>
      </c>
      <c r="T1104" s="38" t="s">
        <v>2875</v>
      </c>
      <c r="U1104" s="13"/>
    </row>
    <row r="1105" spans="1:21" x14ac:dyDescent="0.3">
      <c r="A1105" s="2" t="s">
        <v>2273</v>
      </c>
      <c r="B1105" s="2" t="s">
        <v>605</v>
      </c>
      <c r="C1105" s="2">
        <v>54</v>
      </c>
      <c r="D1105" s="2" t="s">
        <v>65</v>
      </c>
      <c r="E1105" s="2">
        <v>126517</v>
      </c>
      <c r="F1105" s="2">
        <v>1000000</v>
      </c>
      <c r="G1105" s="2">
        <v>180</v>
      </c>
      <c r="H1105" s="2">
        <v>12.24</v>
      </c>
      <c r="I1105" s="2" t="s">
        <v>22</v>
      </c>
      <c r="J1105" s="2">
        <v>546</v>
      </c>
      <c r="K1105" s="30">
        <v>45168</v>
      </c>
      <c r="L1105" s="30" t="s">
        <v>2274</v>
      </c>
      <c r="M1105" s="2" t="s">
        <v>24</v>
      </c>
      <c r="N1105" s="2">
        <v>12156.52</v>
      </c>
      <c r="O1105" s="2" t="s">
        <v>54</v>
      </c>
      <c r="P1105" s="2" t="s">
        <v>164</v>
      </c>
      <c r="Q1105" s="2" t="s">
        <v>35</v>
      </c>
      <c r="R1105" s="2">
        <v>6</v>
      </c>
      <c r="S1105" s="2">
        <v>0</v>
      </c>
      <c r="T1105" s="38" t="s">
        <v>2879</v>
      </c>
      <c r="U1105" s="13"/>
    </row>
    <row r="1106" spans="1:21" x14ac:dyDescent="0.3">
      <c r="A1106" s="2" t="s">
        <v>2282</v>
      </c>
      <c r="B1106" s="2" t="s">
        <v>144</v>
      </c>
      <c r="C1106" s="2">
        <v>63</v>
      </c>
      <c r="D1106" s="2" t="s">
        <v>21</v>
      </c>
      <c r="E1106" s="2">
        <v>183211</v>
      </c>
      <c r="F1106" s="2">
        <v>400000</v>
      </c>
      <c r="G1106" s="2">
        <v>120</v>
      </c>
      <c r="H1106" s="2">
        <v>8.14</v>
      </c>
      <c r="I1106" s="2" t="s">
        <v>66</v>
      </c>
      <c r="J1106" s="2">
        <v>580</v>
      </c>
      <c r="K1106" s="30">
        <v>45161</v>
      </c>
      <c r="L1106" s="30" t="s">
        <v>2283</v>
      </c>
      <c r="M1106" s="2" t="s">
        <v>24</v>
      </c>
      <c r="N1106" s="2">
        <v>4882.74</v>
      </c>
      <c r="O1106" s="2" t="s">
        <v>25</v>
      </c>
      <c r="P1106" s="2" t="s">
        <v>123</v>
      </c>
      <c r="Q1106" s="2" t="s">
        <v>35</v>
      </c>
      <c r="R1106" s="2">
        <v>0</v>
      </c>
      <c r="S1106" s="2">
        <v>0</v>
      </c>
      <c r="T1106" s="38" t="s">
        <v>2875</v>
      </c>
      <c r="U1106" s="13"/>
    </row>
    <row r="1107" spans="1:21" x14ac:dyDescent="0.3">
      <c r="A1107" s="3" t="s">
        <v>2287</v>
      </c>
      <c r="B1107" s="3" t="s">
        <v>382</v>
      </c>
      <c r="C1107" s="3">
        <v>55</v>
      </c>
      <c r="D1107" s="3" t="s">
        <v>72</v>
      </c>
      <c r="E1107" s="3">
        <v>189193</v>
      </c>
      <c r="F1107" s="3">
        <v>300000</v>
      </c>
      <c r="G1107" s="3">
        <v>120</v>
      </c>
      <c r="H1107" s="3">
        <v>19.649999999999999</v>
      </c>
      <c r="I1107" s="3" t="s">
        <v>46</v>
      </c>
      <c r="J1107" s="3">
        <v>366</v>
      </c>
      <c r="K1107" s="29">
        <v>44743</v>
      </c>
      <c r="L1107" s="29" t="s">
        <v>1091</v>
      </c>
      <c r="M1107" s="3" t="s">
        <v>24</v>
      </c>
      <c r="N1107" s="3">
        <v>5728.22</v>
      </c>
      <c r="O1107" s="3" t="s">
        <v>105</v>
      </c>
      <c r="P1107" s="3" t="s">
        <v>2999</v>
      </c>
      <c r="Q1107" s="3" t="s">
        <v>42</v>
      </c>
      <c r="R1107" s="3">
        <v>0</v>
      </c>
      <c r="S1107" s="3">
        <v>0</v>
      </c>
      <c r="T1107" s="38" t="s">
        <v>2879</v>
      </c>
      <c r="U1107" s="13"/>
    </row>
    <row r="1108" spans="1:21" x14ac:dyDescent="0.3">
      <c r="A1108" s="2" t="s">
        <v>2293</v>
      </c>
      <c r="B1108" s="2" t="s">
        <v>2294</v>
      </c>
      <c r="C1108" s="2">
        <v>62</v>
      </c>
      <c r="D1108" s="2" t="s">
        <v>21</v>
      </c>
      <c r="E1108" s="2">
        <v>135677</v>
      </c>
      <c r="F1108" s="2">
        <v>75000</v>
      </c>
      <c r="G1108" s="2">
        <v>48</v>
      </c>
      <c r="H1108" s="2">
        <v>11.96</v>
      </c>
      <c r="I1108" s="2" t="s">
        <v>83</v>
      </c>
      <c r="J1108" s="2">
        <v>435</v>
      </c>
      <c r="K1108" s="30">
        <v>44784</v>
      </c>
      <c r="L1108" s="30" t="s">
        <v>1032</v>
      </c>
      <c r="M1108" s="2" t="s">
        <v>33</v>
      </c>
      <c r="N1108" s="2">
        <v>1973.57</v>
      </c>
      <c r="O1108" s="2" t="s">
        <v>48</v>
      </c>
      <c r="P1108" s="2" t="s">
        <v>49</v>
      </c>
      <c r="Q1108" s="2" t="s">
        <v>35</v>
      </c>
      <c r="R1108" s="2">
        <v>6</v>
      </c>
      <c r="S1108" s="2">
        <v>0</v>
      </c>
      <c r="T1108" s="38" t="s">
        <v>2879</v>
      </c>
      <c r="U1108" s="13"/>
    </row>
    <row r="1109" spans="1:21" x14ac:dyDescent="0.3">
      <c r="A1109" s="2" t="s">
        <v>2296</v>
      </c>
      <c r="B1109" s="2" t="s">
        <v>2297</v>
      </c>
      <c r="C1109" s="2">
        <v>59</v>
      </c>
      <c r="D1109" s="2" t="s">
        <v>21</v>
      </c>
      <c r="E1109" s="2">
        <v>106451</v>
      </c>
      <c r="F1109" s="2">
        <v>2000000</v>
      </c>
      <c r="G1109" s="2">
        <v>240</v>
      </c>
      <c r="H1109" s="2">
        <v>14.02</v>
      </c>
      <c r="I1109" s="2" t="s">
        <v>251</v>
      </c>
      <c r="J1109" s="2">
        <v>337</v>
      </c>
      <c r="K1109" s="30">
        <v>44628</v>
      </c>
      <c r="L1109" s="30" t="s">
        <v>68</v>
      </c>
      <c r="M1109" s="2" t="s">
        <v>24</v>
      </c>
      <c r="N1109" s="2">
        <v>24899.47</v>
      </c>
      <c r="O1109" s="2" t="s">
        <v>54</v>
      </c>
      <c r="P1109" s="2" t="s">
        <v>164</v>
      </c>
      <c r="Q1109" s="2" t="s">
        <v>42</v>
      </c>
      <c r="R1109" s="2">
        <v>0</v>
      </c>
      <c r="S1109" s="2">
        <v>0</v>
      </c>
      <c r="T1109" s="38" t="s">
        <v>2879</v>
      </c>
      <c r="U1109" s="13"/>
    </row>
    <row r="1110" spans="1:21" x14ac:dyDescent="0.3">
      <c r="A1110" s="2" t="s">
        <v>2299</v>
      </c>
      <c r="B1110" s="2" t="s">
        <v>2079</v>
      </c>
      <c r="C1110" s="2">
        <v>55</v>
      </c>
      <c r="D1110" s="2" t="s">
        <v>30</v>
      </c>
      <c r="E1110" s="2">
        <v>139573</v>
      </c>
      <c r="F1110" s="2">
        <v>100000</v>
      </c>
      <c r="G1110" s="2">
        <v>180</v>
      </c>
      <c r="H1110" s="2">
        <v>16.010000000000002</v>
      </c>
      <c r="I1110" s="2" t="s">
        <v>38</v>
      </c>
      <c r="J1110" s="2">
        <v>877</v>
      </c>
      <c r="K1110" s="30">
        <v>44411</v>
      </c>
      <c r="L1110" s="30" t="s">
        <v>1172</v>
      </c>
      <c r="M1110" s="2" t="s">
        <v>24</v>
      </c>
      <c r="N1110" s="2">
        <v>1469.4</v>
      </c>
      <c r="O1110" s="2" t="s">
        <v>60</v>
      </c>
      <c r="P1110" s="2" t="s">
        <v>69</v>
      </c>
      <c r="Q1110" s="2" t="s">
        <v>42</v>
      </c>
      <c r="R1110" s="2">
        <v>0</v>
      </c>
      <c r="S1110" s="2">
        <v>0</v>
      </c>
      <c r="T1110" s="38" t="s">
        <v>2867</v>
      </c>
      <c r="U1110" s="13"/>
    </row>
    <row r="1111" spans="1:21" x14ac:dyDescent="0.3">
      <c r="A1111" s="3" t="s">
        <v>2300</v>
      </c>
      <c r="B1111" s="3" t="s">
        <v>379</v>
      </c>
      <c r="C1111" s="3">
        <v>32</v>
      </c>
      <c r="D1111" s="3" t="s">
        <v>65</v>
      </c>
      <c r="E1111" s="3">
        <v>139648</v>
      </c>
      <c r="F1111" s="3">
        <v>250000</v>
      </c>
      <c r="G1111" s="3">
        <v>84</v>
      </c>
      <c r="H1111" s="3">
        <v>16.89</v>
      </c>
      <c r="I1111" s="3" t="s">
        <v>22</v>
      </c>
      <c r="J1111" s="3">
        <v>491</v>
      </c>
      <c r="K1111" s="29">
        <v>44578</v>
      </c>
      <c r="L1111" s="29" t="s">
        <v>217</v>
      </c>
      <c r="M1111" s="3" t="s">
        <v>24</v>
      </c>
      <c r="N1111" s="3">
        <v>5093.07</v>
      </c>
      <c r="O1111" s="3" t="s">
        <v>48</v>
      </c>
      <c r="P1111" s="3" t="s">
        <v>199</v>
      </c>
      <c r="Q1111" s="3" t="s">
        <v>42</v>
      </c>
      <c r="R1111" s="3">
        <v>0</v>
      </c>
      <c r="S1111" s="3">
        <v>0</v>
      </c>
      <c r="T1111" s="38" t="s">
        <v>2879</v>
      </c>
      <c r="U1111" s="13"/>
    </row>
    <row r="1112" spans="1:21" x14ac:dyDescent="0.3">
      <c r="A1112" s="2" t="s">
        <v>2305</v>
      </c>
      <c r="B1112" s="2" t="s">
        <v>2949</v>
      </c>
      <c r="C1112" s="2">
        <v>58</v>
      </c>
      <c r="D1112" s="2" t="s">
        <v>30</v>
      </c>
      <c r="E1112" s="2">
        <v>49050</v>
      </c>
      <c r="F1112" s="2">
        <v>1000000</v>
      </c>
      <c r="G1112" s="2">
        <v>84</v>
      </c>
      <c r="H1112" s="2">
        <v>18.93</v>
      </c>
      <c r="I1112" s="2" t="s">
        <v>46</v>
      </c>
      <c r="J1112" s="2">
        <v>392</v>
      </c>
      <c r="K1112" s="30">
        <v>45007</v>
      </c>
      <c r="L1112" s="30" t="s">
        <v>680</v>
      </c>
      <c r="M1112" s="2" t="s">
        <v>24</v>
      </c>
      <c r="N1112" s="2">
        <v>21566.44</v>
      </c>
      <c r="O1112" s="2" t="s">
        <v>48</v>
      </c>
      <c r="P1112" s="2" t="s">
        <v>86</v>
      </c>
      <c r="Q1112" s="2" t="s">
        <v>42</v>
      </c>
      <c r="R1112" s="2">
        <v>1</v>
      </c>
      <c r="S1112" s="2">
        <v>0</v>
      </c>
      <c r="T1112" s="38" t="s">
        <v>2879</v>
      </c>
      <c r="U1112" s="13"/>
    </row>
    <row r="1113" spans="1:21" x14ac:dyDescent="0.3">
      <c r="A1113" s="2" t="s">
        <v>2313</v>
      </c>
      <c r="B1113" s="2" t="s">
        <v>2314</v>
      </c>
      <c r="C1113" s="2">
        <v>36</v>
      </c>
      <c r="D1113" s="2" t="s">
        <v>45</v>
      </c>
      <c r="E1113" s="2">
        <v>61703</v>
      </c>
      <c r="F1113" s="2">
        <v>2000000</v>
      </c>
      <c r="G1113" s="2">
        <v>48</v>
      </c>
      <c r="H1113" s="2">
        <v>12.85</v>
      </c>
      <c r="I1113" s="2" t="s">
        <v>38</v>
      </c>
      <c r="J1113" s="2">
        <v>813</v>
      </c>
      <c r="K1113" s="30">
        <v>45012</v>
      </c>
      <c r="L1113" s="30" t="s">
        <v>653</v>
      </c>
      <c r="M1113" s="2" t="s">
        <v>24</v>
      </c>
      <c r="N1113" s="2">
        <v>53506.21</v>
      </c>
      <c r="O1113" s="2" t="s">
        <v>25</v>
      </c>
      <c r="P1113" s="2" t="s">
        <v>123</v>
      </c>
      <c r="Q1113" s="2" t="s">
        <v>42</v>
      </c>
      <c r="R1113" s="2">
        <v>2</v>
      </c>
      <c r="S1113" s="2">
        <v>0</v>
      </c>
      <c r="T1113" s="38" t="s">
        <v>2867</v>
      </c>
      <c r="U1113" s="13"/>
    </row>
    <row r="1114" spans="1:21" x14ac:dyDescent="0.3">
      <c r="A1114" s="2" t="s">
        <v>2320</v>
      </c>
      <c r="B1114" s="2" t="s">
        <v>2321</v>
      </c>
      <c r="C1114" s="2">
        <v>60</v>
      </c>
      <c r="D1114" s="2" t="s">
        <v>65</v>
      </c>
      <c r="E1114" s="2">
        <v>146612</v>
      </c>
      <c r="F1114" s="2">
        <v>250000</v>
      </c>
      <c r="G1114" s="2">
        <v>180</v>
      </c>
      <c r="H1114" s="2">
        <v>17.82</v>
      </c>
      <c r="I1114" s="2" t="s">
        <v>38</v>
      </c>
      <c r="J1114" s="2">
        <v>414</v>
      </c>
      <c r="K1114" s="30">
        <v>44360</v>
      </c>
      <c r="L1114" s="30" t="s">
        <v>2322</v>
      </c>
      <c r="M1114" s="2" t="s">
        <v>24</v>
      </c>
      <c r="N1114" s="2">
        <v>3993.72</v>
      </c>
      <c r="O1114" s="2" t="s">
        <v>105</v>
      </c>
      <c r="P1114" s="2" t="s">
        <v>118</v>
      </c>
      <c r="Q1114" s="2" t="s">
        <v>27</v>
      </c>
      <c r="R1114" s="2">
        <v>2</v>
      </c>
      <c r="S1114" s="2">
        <v>0</v>
      </c>
      <c r="T1114" s="38" t="s">
        <v>2879</v>
      </c>
      <c r="U1114" s="13"/>
    </row>
    <row r="1115" spans="1:21" x14ac:dyDescent="0.3">
      <c r="A1115" s="3" t="s">
        <v>2323</v>
      </c>
      <c r="B1115" s="3" t="s">
        <v>2324</v>
      </c>
      <c r="C1115" s="3">
        <v>59</v>
      </c>
      <c r="D1115" s="3" t="s">
        <v>21</v>
      </c>
      <c r="E1115" s="3">
        <v>66803</v>
      </c>
      <c r="F1115" s="3">
        <v>500000</v>
      </c>
      <c r="G1115" s="3">
        <v>180</v>
      </c>
      <c r="H1115" s="3">
        <v>13.81</v>
      </c>
      <c r="I1115" s="3" t="s">
        <v>31</v>
      </c>
      <c r="J1115" s="3">
        <v>588</v>
      </c>
      <c r="K1115" s="29">
        <v>44948</v>
      </c>
      <c r="L1115" s="29" t="s">
        <v>1335</v>
      </c>
      <c r="M1115" s="3" t="s">
        <v>24</v>
      </c>
      <c r="N1115" s="3">
        <v>6595</v>
      </c>
      <c r="O1115" s="3" t="s">
        <v>25</v>
      </c>
      <c r="P1115" s="3" t="s">
        <v>26</v>
      </c>
      <c r="Q1115" s="3" t="s">
        <v>42</v>
      </c>
      <c r="R1115" s="3">
        <v>1</v>
      </c>
      <c r="S1115" s="3">
        <v>0</v>
      </c>
      <c r="T1115" s="38" t="s">
        <v>2875</v>
      </c>
      <c r="U1115" s="13"/>
    </row>
    <row r="1116" spans="1:21" x14ac:dyDescent="0.3">
      <c r="A1116" s="2" t="s">
        <v>2333</v>
      </c>
      <c r="B1116" s="2" t="s">
        <v>2334</v>
      </c>
      <c r="C1116" s="2">
        <v>39</v>
      </c>
      <c r="D1116" s="2" t="s">
        <v>65</v>
      </c>
      <c r="E1116" s="2">
        <v>172045</v>
      </c>
      <c r="F1116" s="2">
        <v>2000000</v>
      </c>
      <c r="G1116" s="2">
        <v>84</v>
      </c>
      <c r="H1116" s="2">
        <v>8.91</v>
      </c>
      <c r="I1116" s="2" t="s">
        <v>83</v>
      </c>
      <c r="J1116" s="2">
        <v>318</v>
      </c>
      <c r="K1116" s="30">
        <v>44786</v>
      </c>
      <c r="L1116" s="30" t="s">
        <v>1085</v>
      </c>
      <c r="M1116" s="2" t="s">
        <v>24</v>
      </c>
      <c r="N1116" s="2">
        <v>32086.880000000001</v>
      </c>
      <c r="O1116" s="2" t="s">
        <v>48</v>
      </c>
      <c r="P1116" s="2" t="s">
        <v>86</v>
      </c>
      <c r="Q1116" s="2" t="s">
        <v>42</v>
      </c>
      <c r="R1116" s="2">
        <v>0</v>
      </c>
      <c r="S1116" s="2">
        <v>0</v>
      </c>
      <c r="T1116" s="38" t="s">
        <v>2879</v>
      </c>
      <c r="U1116" s="13"/>
    </row>
    <row r="1117" spans="1:21" x14ac:dyDescent="0.3">
      <c r="A1117" s="3" t="s">
        <v>2338</v>
      </c>
      <c r="B1117" s="3" t="s">
        <v>2237</v>
      </c>
      <c r="C1117" s="3">
        <v>41</v>
      </c>
      <c r="D1117" s="3" t="s">
        <v>21</v>
      </c>
      <c r="E1117" s="3">
        <v>211832</v>
      </c>
      <c r="F1117" s="3">
        <v>250000</v>
      </c>
      <c r="G1117" s="3">
        <v>180</v>
      </c>
      <c r="H1117" s="3">
        <v>17.28</v>
      </c>
      <c r="I1117" s="3" t="s">
        <v>46</v>
      </c>
      <c r="J1117" s="3">
        <v>459</v>
      </c>
      <c r="K1117" s="29">
        <v>44917</v>
      </c>
      <c r="L1117" s="29" t="s">
        <v>396</v>
      </c>
      <c r="M1117" s="3" t="s">
        <v>24</v>
      </c>
      <c r="N1117" s="3">
        <v>3897.23</v>
      </c>
      <c r="O1117" s="3" t="s">
        <v>54</v>
      </c>
      <c r="P1117" s="3" t="s">
        <v>99</v>
      </c>
      <c r="Q1117" s="3" t="s">
        <v>35</v>
      </c>
      <c r="R1117" s="3">
        <v>2</v>
      </c>
      <c r="S1117" s="3">
        <v>0</v>
      </c>
      <c r="T1117" s="38" t="s">
        <v>2879</v>
      </c>
      <c r="U1117" s="13"/>
    </row>
    <row r="1118" spans="1:21" x14ac:dyDescent="0.3">
      <c r="A1118" s="3" t="s">
        <v>2345</v>
      </c>
      <c r="B1118" s="3" t="s">
        <v>2346</v>
      </c>
      <c r="C1118" s="3">
        <v>40</v>
      </c>
      <c r="D1118" s="3" t="s">
        <v>72</v>
      </c>
      <c r="E1118" s="3">
        <v>154635</v>
      </c>
      <c r="F1118" s="3">
        <v>250000</v>
      </c>
      <c r="G1118" s="3">
        <v>180</v>
      </c>
      <c r="H1118" s="3">
        <v>17.010000000000002</v>
      </c>
      <c r="I1118" s="3" t="s">
        <v>22</v>
      </c>
      <c r="J1118" s="3">
        <v>692</v>
      </c>
      <c r="K1118" s="29">
        <v>44583</v>
      </c>
      <c r="L1118" s="29" t="s">
        <v>2220</v>
      </c>
      <c r="M1118" s="3" t="s">
        <v>24</v>
      </c>
      <c r="N1118" s="3">
        <v>3849.28</v>
      </c>
      <c r="O1118" s="3" t="s">
        <v>54</v>
      </c>
      <c r="P1118" s="3" t="s">
        <v>164</v>
      </c>
      <c r="Q1118" s="3" t="s">
        <v>35</v>
      </c>
      <c r="R1118" s="3">
        <v>6</v>
      </c>
      <c r="S1118" s="3">
        <v>0</v>
      </c>
      <c r="T1118" s="38" t="s">
        <v>2871</v>
      </c>
      <c r="U1118" s="13"/>
    </row>
    <row r="1119" spans="1:21" x14ac:dyDescent="0.3">
      <c r="A1119" s="3" t="s">
        <v>2350</v>
      </c>
      <c r="B1119" s="3" t="s">
        <v>2351</v>
      </c>
      <c r="C1119" s="3">
        <v>23</v>
      </c>
      <c r="D1119" s="3" t="s">
        <v>45</v>
      </c>
      <c r="E1119" s="3">
        <v>246607</v>
      </c>
      <c r="F1119" s="3">
        <v>2000000</v>
      </c>
      <c r="G1119" s="3">
        <v>120</v>
      </c>
      <c r="H1119" s="3">
        <v>15.5</v>
      </c>
      <c r="I1119" s="3" t="s">
        <v>83</v>
      </c>
      <c r="J1119" s="3">
        <v>465</v>
      </c>
      <c r="K1119" s="29">
        <v>44687</v>
      </c>
      <c r="L1119" s="29" t="s">
        <v>1389</v>
      </c>
      <c r="M1119" s="3" t="s">
        <v>24</v>
      </c>
      <c r="N1119" s="3">
        <v>32882.11</v>
      </c>
      <c r="O1119" s="3" t="s">
        <v>60</v>
      </c>
      <c r="P1119" s="3" t="s">
        <v>61</v>
      </c>
      <c r="Q1119" s="3" t="s">
        <v>42</v>
      </c>
      <c r="R1119" s="3">
        <v>2</v>
      </c>
      <c r="S1119" s="3">
        <v>0</v>
      </c>
      <c r="T1119" s="38" t="s">
        <v>2879</v>
      </c>
      <c r="U1119" s="13"/>
    </row>
    <row r="1120" spans="1:21" x14ac:dyDescent="0.3">
      <c r="A1120" s="2" t="s">
        <v>2356</v>
      </c>
      <c r="B1120" s="2" t="s">
        <v>216</v>
      </c>
      <c r="C1120" s="2">
        <v>56</v>
      </c>
      <c r="D1120" s="2" t="s">
        <v>72</v>
      </c>
      <c r="E1120" s="2">
        <v>202641</v>
      </c>
      <c r="F1120" s="2">
        <v>2000000</v>
      </c>
      <c r="G1120" s="2">
        <v>240</v>
      </c>
      <c r="H1120" s="2">
        <v>17.86</v>
      </c>
      <c r="I1120" s="2" t="s">
        <v>31</v>
      </c>
      <c r="J1120" s="2">
        <v>792</v>
      </c>
      <c r="K1120" s="30">
        <v>44278</v>
      </c>
      <c r="L1120" s="30" t="s">
        <v>1279</v>
      </c>
      <c r="M1120" s="2" t="s">
        <v>122</v>
      </c>
      <c r="N1120" s="2">
        <v>30650.92</v>
      </c>
      <c r="O1120" s="2" t="s">
        <v>25</v>
      </c>
      <c r="P1120" s="2" t="s">
        <v>151</v>
      </c>
      <c r="Q1120" s="2" t="s">
        <v>35</v>
      </c>
      <c r="R1120" s="2">
        <v>12</v>
      </c>
      <c r="S1120" s="2">
        <v>0</v>
      </c>
      <c r="T1120" s="38" t="s">
        <v>2867</v>
      </c>
      <c r="U1120" s="13"/>
    </row>
    <row r="1121" spans="1:21" x14ac:dyDescent="0.3">
      <c r="A1121" s="2" t="s">
        <v>2366</v>
      </c>
      <c r="B1121" s="2" t="s">
        <v>2367</v>
      </c>
      <c r="C1121" s="2">
        <v>58</v>
      </c>
      <c r="D1121" s="2" t="s">
        <v>21</v>
      </c>
      <c r="E1121" s="2">
        <v>139593</v>
      </c>
      <c r="F1121" s="2">
        <v>1500000</v>
      </c>
      <c r="G1121" s="2">
        <v>180</v>
      </c>
      <c r="H1121" s="2">
        <v>17.260000000000002</v>
      </c>
      <c r="I1121" s="2" t="s">
        <v>251</v>
      </c>
      <c r="J1121" s="2">
        <v>431</v>
      </c>
      <c r="K1121" s="30">
        <v>44723</v>
      </c>
      <c r="L1121" s="30" t="s">
        <v>230</v>
      </c>
      <c r="M1121" s="2" t="s">
        <v>24</v>
      </c>
      <c r="N1121" s="2">
        <v>23362.03</v>
      </c>
      <c r="O1121" s="2" t="s">
        <v>105</v>
      </c>
      <c r="P1121" s="2" t="s">
        <v>2999</v>
      </c>
      <c r="Q1121" s="2" t="s">
        <v>42</v>
      </c>
      <c r="R1121" s="2">
        <v>1</v>
      </c>
      <c r="S1121" s="2">
        <v>0</v>
      </c>
      <c r="T1121" s="38" t="s">
        <v>2879</v>
      </c>
      <c r="U1121" s="13"/>
    </row>
    <row r="1122" spans="1:21" x14ac:dyDescent="0.3">
      <c r="A1122" s="2" t="s">
        <v>2382</v>
      </c>
      <c r="B1122" s="2" t="s">
        <v>2383</v>
      </c>
      <c r="C1122" s="2">
        <v>59</v>
      </c>
      <c r="D1122" s="2" t="s">
        <v>65</v>
      </c>
      <c r="E1122" s="2">
        <v>240742</v>
      </c>
      <c r="F1122" s="2">
        <v>75000</v>
      </c>
      <c r="G1122" s="2">
        <v>180</v>
      </c>
      <c r="H1122" s="2">
        <v>18.77</v>
      </c>
      <c r="I1122" s="2" t="s">
        <v>83</v>
      </c>
      <c r="J1122" s="2">
        <v>767</v>
      </c>
      <c r="K1122" s="30">
        <v>44751</v>
      </c>
      <c r="L1122" s="30" t="s">
        <v>2384</v>
      </c>
      <c r="M1122" s="2" t="s">
        <v>24</v>
      </c>
      <c r="N1122" s="2">
        <v>1249.5899999999999</v>
      </c>
      <c r="O1122" s="2" t="s">
        <v>25</v>
      </c>
      <c r="P1122" s="2" t="s">
        <v>151</v>
      </c>
      <c r="Q1122" s="2" t="s">
        <v>35</v>
      </c>
      <c r="R1122" s="2">
        <v>12</v>
      </c>
      <c r="S1122" s="2">
        <v>0</v>
      </c>
      <c r="T1122" s="38" t="s">
        <v>2867</v>
      </c>
      <c r="U1122" s="13"/>
    </row>
    <row r="1123" spans="1:21" x14ac:dyDescent="0.3">
      <c r="A1123" s="2" t="s">
        <v>2388</v>
      </c>
      <c r="B1123" s="2" t="s">
        <v>2111</v>
      </c>
      <c r="C1123" s="2">
        <v>29</v>
      </c>
      <c r="D1123" s="2" t="s">
        <v>30</v>
      </c>
      <c r="E1123" s="2">
        <v>142816</v>
      </c>
      <c r="F1123" s="2">
        <v>50000</v>
      </c>
      <c r="G1123" s="2">
        <v>84</v>
      </c>
      <c r="H1123" s="2">
        <v>20.45</v>
      </c>
      <c r="I1123" s="2" t="s">
        <v>31</v>
      </c>
      <c r="J1123" s="2">
        <v>807</v>
      </c>
      <c r="K1123" s="30">
        <v>44820</v>
      </c>
      <c r="L1123" s="30" t="s">
        <v>2246</v>
      </c>
      <c r="M1123" s="2" t="s">
        <v>33</v>
      </c>
      <c r="N1123" s="2">
        <v>1123.9000000000001</v>
      </c>
      <c r="O1123" s="2" t="s">
        <v>105</v>
      </c>
      <c r="P1123" s="2" t="s">
        <v>159</v>
      </c>
      <c r="Q1123" s="2" t="s">
        <v>42</v>
      </c>
      <c r="R1123" s="2">
        <v>0</v>
      </c>
      <c r="S1123" s="2">
        <v>0</v>
      </c>
      <c r="T1123" s="38" t="s">
        <v>2867</v>
      </c>
      <c r="U1123" s="13"/>
    </row>
    <row r="1124" spans="1:21" x14ac:dyDescent="0.3">
      <c r="A1124" s="3" t="s">
        <v>2396</v>
      </c>
      <c r="B1124" s="3" t="s">
        <v>2397</v>
      </c>
      <c r="C1124" s="3">
        <v>40</v>
      </c>
      <c r="D1124" s="3" t="s">
        <v>21</v>
      </c>
      <c r="E1124" s="3"/>
      <c r="F1124" s="3">
        <v>250000</v>
      </c>
      <c r="G1124" s="3">
        <v>120</v>
      </c>
      <c r="H1124" s="3">
        <v>18.97</v>
      </c>
      <c r="I1124" s="3" t="s">
        <v>38</v>
      </c>
      <c r="J1124" s="3">
        <v>871</v>
      </c>
      <c r="K1124" s="29">
        <v>45227</v>
      </c>
      <c r="L1124" s="29" t="s">
        <v>966</v>
      </c>
      <c r="M1124" s="3" t="s">
        <v>122</v>
      </c>
      <c r="N1124" s="3">
        <v>4661.91</v>
      </c>
      <c r="O1124" s="3" t="s">
        <v>54</v>
      </c>
      <c r="P1124" s="3" t="s">
        <v>2996</v>
      </c>
      <c r="Q1124" s="3" t="s">
        <v>42</v>
      </c>
      <c r="R1124" s="3">
        <v>0</v>
      </c>
      <c r="S1124" s="3">
        <v>0</v>
      </c>
      <c r="T1124" s="38" t="s">
        <v>2867</v>
      </c>
      <c r="U1124" s="13"/>
    </row>
    <row r="1125" spans="1:21" x14ac:dyDescent="0.3">
      <c r="A1125" s="2" t="s">
        <v>2398</v>
      </c>
      <c r="B1125" s="2" t="s">
        <v>1897</v>
      </c>
      <c r="C1125" s="2">
        <v>26</v>
      </c>
      <c r="D1125" s="2" t="s">
        <v>30</v>
      </c>
      <c r="E1125" s="2">
        <v>57052</v>
      </c>
      <c r="F1125" s="2">
        <v>250000</v>
      </c>
      <c r="G1125" s="2">
        <v>180</v>
      </c>
      <c r="H1125" s="2">
        <v>21.15</v>
      </c>
      <c r="I1125" s="2" t="s">
        <v>31</v>
      </c>
      <c r="J1125" s="2">
        <v>347</v>
      </c>
      <c r="K1125" s="30">
        <v>44965</v>
      </c>
      <c r="L1125" s="30" t="s">
        <v>293</v>
      </c>
      <c r="M1125" s="2" t="s">
        <v>24</v>
      </c>
      <c r="N1125" s="2">
        <v>4604.58</v>
      </c>
      <c r="O1125" s="2" t="s">
        <v>60</v>
      </c>
      <c r="P1125" s="2" t="s">
        <v>2997</v>
      </c>
      <c r="Q1125" s="2" t="s">
        <v>42</v>
      </c>
      <c r="R1125" s="2">
        <v>0</v>
      </c>
      <c r="S1125" s="2">
        <v>0</v>
      </c>
      <c r="T1125" s="38" t="s">
        <v>2879</v>
      </c>
      <c r="U1125" s="13"/>
    </row>
    <row r="1126" spans="1:21" x14ac:dyDescent="0.3">
      <c r="A1126" s="2" t="s">
        <v>2401</v>
      </c>
      <c r="B1126" s="2" t="s">
        <v>2402</v>
      </c>
      <c r="C1126" s="2">
        <v>31</v>
      </c>
      <c r="D1126" s="2" t="s">
        <v>30</v>
      </c>
      <c r="E1126" s="2">
        <v>169614</v>
      </c>
      <c r="F1126" s="2">
        <v>200000</v>
      </c>
      <c r="G1126" s="2">
        <v>48</v>
      </c>
      <c r="H1126" s="2">
        <v>15.65</v>
      </c>
      <c r="I1126" s="2" t="s">
        <v>31</v>
      </c>
      <c r="J1126" s="2">
        <v>551</v>
      </c>
      <c r="K1126" s="30">
        <v>44730</v>
      </c>
      <c r="L1126" s="30" t="s">
        <v>2403</v>
      </c>
      <c r="M1126" s="2" t="s">
        <v>122</v>
      </c>
      <c r="N1126" s="2">
        <v>5632.27</v>
      </c>
      <c r="O1126" s="2" t="s">
        <v>48</v>
      </c>
      <c r="P1126" s="2" t="s">
        <v>375</v>
      </c>
      <c r="Q1126" s="2" t="s">
        <v>42</v>
      </c>
      <c r="R1126" s="2">
        <v>2</v>
      </c>
      <c r="S1126" s="2">
        <v>0</v>
      </c>
      <c r="T1126" s="38" t="s">
        <v>2875</v>
      </c>
      <c r="U1126" s="13"/>
    </row>
    <row r="1127" spans="1:21" x14ac:dyDescent="0.3">
      <c r="A1127" s="3" t="s">
        <v>2409</v>
      </c>
      <c r="B1127" s="3" t="s">
        <v>599</v>
      </c>
      <c r="C1127" s="3">
        <v>39</v>
      </c>
      <c r="D1127" s="3" t="s">
        <v>65</v>
      </c>
      <c r="E1127" s="3">
        <v>133302</v>
      </c>
      <c r="F1127" s="3">
        <v>1500000</v>
      </c>
      <c r="G1127" s="3">
        <v>36</v>
      </c>
      <c r="H1127" s="3">
        <v>16.93</v>
      </c>
      <c r="I1127" s="3" t="s">
        <v>22</v>
      </c>
      <c r="J1127" s="3">
        <v>486</v>
      </c>
      <c r="K1127" s="29">
        <v>45082</v>
      </c>
      <c r="L1127" s="29" t="s">
        <v>906</v>
      </c>
      <c r="M1127" s="3" t="s">
        <v>33</v>
      </c>
      <c r="N1127" s="3">
        <v>53426.85</v>
      </c>
      <c r="O1127" s="3" t="s">
        <v>54</v>
      </c>
      <c r="P1127" s="3" t="s">
        <v>183</v>
      </c>
      <c r="Q1127" s="3" t="s">
        <v>42</v>
      </c>
      <c r="R1127" s="3">
        <v>1</v>
      </c>
      <c r="S1127" s="3">
        <v>0</v>
      </c>
      <c r="T1127" s="38" t="s">
        <v>2879</v>
      </c>
      <c r="U1127" s="13"/>
    </row>
    <row r="1128" spans="1:21" x14ac:dyDescent="0.3">
      <c r="A1128" s="2" t="s">
        <v>2416</v>
      </c>
      <c r="B1128" s="2" t="s">
        <v>2417</v>
      </c>
      <c r="C1128" s="2">
        <v>27</v>
      </c>
      <c r="D1128" s="2" t="s">
        <v>30</v>
      </c>
      <c r="E1128" s="2">
        <v>147829</v>
      </c>
      <c r="F1128" s="2">
        <v>750000</v>
      </c>
      <c r="G1128" s="2">
        <v>240</v>
      </c>
      <c r="H1128" s="2">
        <v>9.26</v>
      </c>
      <c r="I1128" s="2" t="s">
        <v>83</v>
      </c>
      <c r="J1128" s="2">
        <v>423</v>
      </c>
      <c r="K1128" s="30">
        <v>44845</v>
      </c>
      <c r="L1128" s="30" t="s">
        <v>2400</v>
      </c>
      <c r="M1128" s="2" t="s">
        <v>122</v>
      </c>
      <c r="N1128" s="2">
        <v>6873.86</v>
      </c>
      <c r="O1128" s="2" t="s">
        <v>60</v>
      </c>
      <c r="P1128" s="2" t="s">
        <v>69</v>
      </c>
      <c r="Q1128" s="2" t="s">
        <v>27</v>
      </c>
      <c r="R1128" s="2">
        <v>1</v>
      </c>
      <c r="S1128" s="2">
        <v>0</v>
      </c>
      <c r="T1128" s="38" t="s">
        <v>2879</v>
      </c>
      <c r="U1128" s="13"/>
    </row>
    <row r="1129" spans="1:21" x14ac:dyDescent="0.3">
      <c r="A1129" s="3" t="s">
        <v>2423</v>
      </c>
      <c r="B1129" s="3" t="s">
        <v>2424</v>
      </c>
      <c r="C1129" s="3">
        <v>33</v>
      </c>
      <c r="D1129" s="3" t="s">
        <v>45</v>
      </c>
      <c r="E1129" s="3">
        <v>17431</v>
      </c>
      <c r="F1129" s="3">
        <v>100000</v>
      </c>
      <c r="G1129" s="3">
        <v>240</v>
      </c>
      <c r="H1129" s="3">
        <v>9.76</v>
      </c>
      <c r="I1129" s="3" t="s">
        <v>31</v>
      </c>
      <c r="J1129" s="3">
        <v>339</v>
      </c>
      <c r="K1129" s="29">
        <v>44797</v>
      </c>
      <c r="L1129" s="29" t="s">
        <v>308</v>
      </c>
      <c r="M1129" s="3" t="s">
        <v>33</v>
      </c>
      <c r="N1129" s="3">
        <v>949.17</v>
      </c>
      <c r="O1129" s="3" t="s">
        <v>25</v>
      </c>
      <c r="P1129" s="3" t="s">
        <v>123</v>
      </c>
      <c r="Q1129" s="3" t="s">
        <v>42</v>
      </c>
      <c r="R1129" s="3">
        <v>0</v>
      </c>
      <c r="S1129" s="3">
        <v>0</v>
      </c>
      <c r="T1129" s="38" t="s">
        <v>2879</v>
      </c>
      <c r="U1129" s="13"/>
    </row>
    <row r="1130" spans="1:21" x14ac:dyDescent="0.3">
      <c r="A1130" s="2" t="s">
        <v>2425</v>
      </c>
      <c r="B1130" s="2" t="s">
        <v>2426</v>
      </c>
      <c r="C1130" s="2">
        <v>32</v>
      </c>
      <c r="D1130" s="2" t="s">
        <v>65</v>
      </c>
      <c r="E1130" s="2">
        <v>60198</v>
      </c>
      <c r="F1130" s="2">
        <v>100000</v>
      </c>
      <c r="G1130" s="2">
        <v>240</v>
      </c>
      <c r="H1130" s="2">
        <v>21.5</v>
      </c>
      <c r="I1130" s="2" t="s">
        <v>251</v>
      </c>
      <c r="J1130" s="2">
        <v>673</v>
      </c>
      <c r="K1130" s="30">
        <v>44614</v>
      </c>
      <c r="L1130" s="30" t="s">
        <v>2427</v>
      </c>
      <c r="M1130" s="2" t="s">
        <v>24</v>
      </c>
      <c r="N1130" s="2">
        <v>1817.28</v>
      </c>
      <c r="O1130" s="2" t="s">
        <v>25</v>
      </c>
      <c r="P1130" s="2" t="s">
        <v>34</v>
      </c>
      <c r="Q1130" s="2" t="s">
        <v>27</v>
      </c>
      <c r="R1130" s="2">
        <v>0</v>
      </c>
      <c r="S1130" s="2">
        <v>0</v>
      </c>
      <c r="T1130" s="38" t="s">
        <v>2871</v>
      </c>
      <c r="U1130" s="13"/>
    </row>
    <row r="1131" spans="1:21" x14ac:dyDescent="0.3">
      <c r="A1131" s="3" t="s">
        <v>2432</v>
      </c>
      <c r="B1131" s="3" t="s">
        <v>1923</v>
      </c>
      <c r="C1131" s="3">
        <v>41</v>
      </c>
      <c r="D1131" s="3" t="s">
        <v>65</v>
      </c>
      <c r="E1131" s="3">
        <v>138073</v>
      </c>
      <c r="F1131" s="3">
        <v>200000</v>
      </c>
      <c r="G1131" s="3">
        <v>36</v>
      </c>
      <c r="H1131" s="3">
        <v>12.18</v>
      </c>
      <c r="I1131" s="3" t="s">
        <v>38</v>
      </c>
      <c r="J1131" s="3">
        <v>398</v>
      </c>
      <c r="K1131" s="29">
        <v>44598</v>
      </c>
      <c r="L1131" s="29" t="s">
        <v>217</v>
      </c>
      <c r="M1131" s="3" t="s">
        <v>24</v>
      </c>
      <c r="N1131" s="3">
        <v>6660.07</v>
      </c>
      <c r="O1131" s="3" t="s">
        <v>60</v>
      </c>
      <c r="P1131" s="3" t="s">
        <v>2997</v>
      </c>
      <c r="Q1131" s="3" t="s">
        <v>35</v>
      </c>
      <c r="R1131" s="3">
        <v>11</v>
      </c>
      <c r="S1131" s="3">
        <v>0</v>
      </c>
      <c r="T1131" s="38" t="s">
        <v>2879</v>
      </c>
      <c r="U1131" s="13"/>
    </row>
    <row r="1132" spans="1:21" x14ac:dyDescent="0.3">
      <c r="A1132" s="2" t="s">
        <v>2440</v>
      </c>
      <c r="B1132" s="2" t="s">
        <v>1360</v>
      </c>
      <c r="C1132" s="2">
        <v>38</v>
      </c>
      <c r="D1132" s="2" t="s">
        <v>21</v>
      </c>
      <c r="E1132" s="2">
        <v>226547</v>
      </c>
      <c r="F1132" s="2">
        <v>400000</v>
      </c>
      <c r="G1132" s="2">
        <v>240</v>
      </c>
      <c r="H1132" s="2">
        <v>14.12</v>
      </c>
      <c r="I1132" s="2" t="s">
        <v>22</v>
      </c>
      <c r="J1132" s="2">
        <v>650</v>
      </c>
      <c r="K1132" s="30">
        <v>44945</v>
      </c>
      <c r="L1132" s="30" t="s">
        <v>454</v>
      </c>
      <c r="M1132" s="2" t="s">
        <v>33</v>
      </c>
      <c r="N1132" s="2">
        <v>5008.9799999999996</v>
      </c>
      <c r="O1132" s="2" t="s">
        <v>54</v>
      </c>
      <c r="P1132" s="2" t="s">
        <v>183</v>
      </c>
      <c r="Q1132" s="2" t="s">
        <v>62</v>
      </c>
      <c r="R1132" s="2">
        <v>0</v>
      </c>
      <c r="S1132" s="2">
        <v>0</v>
      </c>
      <c r="T1132" s="38" t="s">
        <v>2871</v>
      </c>
      <c r="U1132" s="13"/>
    </row>
    <row r="1133" spans="1:21" x14ac:dyDescent="0.3">
      <c r="A1133" s="3" t="s">
        <v>2441</v>
      </c>
      <c r="B1133" s="3" t="s">
        <v>1384</v>
      </c>
      <c r="C1133" s="3">
        <v>56</v>
      </c>
      <c r="D1133" s="3" t="s">
        <v>30</v>
      </c>
      <c r="E1133" s="3">
        <v>39794</v>
      </c>
      <c r="F1133" s="3">
        <v>150000</v>
      </c>
      <c r="G1133" s="3">
        <v>180</v>
      </c>
      <c r="H1133" s="3">
        <v>19.54</v>
      </c>
      <c r="I1133" s="3" t="s">
        <v>22</v>
      </c>
      <c r="J1133" s="3">
        <v>863</v>
      </c>
      <c r="K1133" s="29">
        <v>45123</v>
      </c>
      <c r="L1133" s="29" t="s">
        <v>380</v>
      </c>
      <c r="M1133" s="3" t="s">
        <v>24</v>
      </c>
      <c r="N1133" s="3">
        <v>2583.61</v>
      </c>
      <c r="O1133" s="3" t="s">
        <v>48</v>
      </c>
      <c r="P1133" s="3" t="s">
        <v>86</v>
      </c>
      <c r="Q1133" s="3" t="s">
        <v>42</v>
      </c>
      <c r="R1133" s="3">
        <v>1</v>
      </c>
      <c r="S1133" s="3">
        <v>0</v>
      </c>
      <c r="T1133" s="38" t="s">
        <v>2867</v>
      </c>
      <c r="U1133" s="13"/>
    </row>
    <row r="1134" spans="1:21" x14ac:dyDescent="0.3">
      <c r="A1134" s="3" t="s">
        <v>2443</v>
      </c>
      <c r="B1134" s="3" t="s">
        <v>2444</v>
      </c>
      <c r="C1134" s="3">
        <v>56</v>
      </c>
      <c r="D1134" s="3" t="s">
        <v>21</v>
      </c>
      <c r="E1134" s="3">
        <v>156415</v>
      </c>
      <c r="F1134" s="3">
        <v>150000</v>
      </c>
      <c r="G1134" s="3">
        <v>240</v>
      </c>
      <c r="H1134" s="3">
        <v>9.92</v>
      </c>
      <c r="I1134" s="3" t="s">
        <v>251</v>
      </c>
      <c r="J1134" s="3">
        <v>402</v>
      </c>
      <c r="K1134" s="29">
        <v>44508</v>
      </c>
      <c r="L1134" s="29" t="s">
        <v>1983</v>
      </c>
      <c r="M1134" s="3" t="s">
        <v>24</v>
      </c>
      <c r="N1134" s="3">
        <v>1439.59</v>
      </c>
      <c r="O1134" s="3" t="s">
        <v>105</v>
      </c>
      <c r="P1134" s="3" t="s">
        <v>2999</v>
      </c>
      <c r="Q1134" s="3" t="s">
        <v>35</v>
      </c>
      <c r="R1134" s="3">
        <v>3</v>
      </c>
      <c r="S1134" s="3">
        <v>0</v>
      </c>
      <c r="T1134" s="38" t="s">
        <v>2879</v>
      </c>
      <c r="U1134" s="13"/>
    </row>
    <row r="1135" spans="1:21" x14ac:dyDescent="0.3">
      <c r="A1135" s="2" t="s">
        <v>2450</v>
      </c>
      <c r="B1135" s="2" t="s">
        <v>2451</v>
      </c>
      <c r="C1135" s="2">
        <v>47</v>
      </c>
      <c r="D1135" s="2" t="s">
        <v>45</v>
      </c>
      <c r="E1135" s="2">
        <v>65691</v>
      </c>
      <c r="F1135" s="2">
        <v>150000</v>
      </c>
      <c r="G1135" s="2">
        <v>84</v>
      </c>
      <c r="H1135" s="2">
        <v>8.52</v>
      </c>
      <c r="I1135" s="2" t="s">
        <v>66</v>
      </c>
      <c r="J1135" s="2">
        <v>443</v>
      </c>
      <c r="K1135" s="30">
        <v>44507</v>
      </c>
      <c r="L1135" s="30" t="s">
        <v>1094</v>
      </c>
      <c r="M1135" s="2" t="s">
        <v>24</v>
      </c>
      <c r="N1135" s="2">
        <v>2376.98</v>
      </c>
      <c r="O1135" s="2" t="s">
        <v>60</v>
      </c>
      <c r="P1135" s="2" t="s">
        <v>172</v>
      </c>
      <c r="Q1135" s="2" t="s">
        <v>42</v>
      </c>
      <c r="R1135" s="2">
        <v>2</v>
      </c>
      <c r="S1135" s="2">
        <v>0</v>
      </c>
      <c r="T1135" s="38" t="s">
        <v>2879</v>
      </c>
      <c r="U1135" s="13"/>
    </row>
    <row r="1136" spans="1:21" x14ac:dyDescent="0.3">
      <c r="A1136" s="2" t="s">
        <v>2453</v>
      </c>
      <c r="B1136" s="2" t="s">
        <v>1606</v>
      </c>
      <c r="C1136" s="2">
        <v>31</v>
      </c>
      <c r="D1136" s="2" t="s">
        <v>72</v>
      </c>
      <c r="E1136" s="2">
        <v>245746</v>
      </c>
      <c r="F1136" s="2">
        <v>2000000</v>
      </c>
      <c r="G1136" s="2">
        <v>84</v>
      </c>
      <c r="H1136" s="2">
        <v>20.190000000000001</v>
      </c>
      <c r="I1136" s="2" t="s">
        <v>46</v>
      </c>
      <c r="J1136" s="2">
        <v>690</v>
      </c>
      <c r="K1136" s="30">
        <v>45069</v>
      </c>
      <c r="L1136" s="30" t="s">
        <v>314</v>
      </c>
      <c r="M1136" s="2" t="s">
        <v>33</v>
      </c>
      <c r="N1136" s="2">
        <v>44641.49</v>
      </c>
      <c r="O1136" s="2" t="s">
        <v>48</v>
      </c>
      <c r="P1136" s="2" t="s">
        <v>49</v>
      </c>
      <c r="Q1136" s="2" t="s">
        <v>42</v>
      </c>
      <c r="R1136" s="2">
        <v>2</v>
      </c>
      <c r="S1136" s="2">
        <v>0</v>
      </c>
      <c r="T1136" s="38" t="s">
        <v>2871</v>
      </c>
      <c r="U1136" s="13"/>
    </row>
    <row r="1137" spans="1:21" x14ac:dyDescent="0.3">
      <c r="A1137" s="2" t="s">
        <v>2459</v>
      </c>
      <c r="B1137" s="2" t="s">
        <v>1097</v>
      </c>
      <c r="C1137" s="2">
        <v>37</v>
      </c>
      <c r="D1137" s="2" t="s">
        <v>21</v>
      </c>
      <c r="E1137" s="2">
        <v>167075</v>
      </c>
      <c r="F1137" s="2">
        <v>1000000</v>
      </c>
      <c r="G1137" s="2">
        <v>120</v>
      </c>
      <c r="H1137" s="2">
        <v>19.32</v>
      </c>
      <c r="I1137" s="2" t="s">
        <v>46</v>
      </c>
      <c r="J1137" s="2">
        <v>655</v>
      </c>
      <c r="K1137" s="30">
        <v>45267</v>
      </c>
      <c r="L1137" s="30" t="s">
        <v>608</v>
      </c>
      <c r="M1137" s="2" t="s">
        <v>122</v>
      </c>
      <c r="N1137" s="2">
        <v>18876.87</v>
      </c>
      <c r="O1137" s="2" t="s">
        <v>60</v>
      </c>
      <c r="P1137" s="2" t="s">
        <v>2997</v>
      </c>
      <c r="Q1137" s="2" t="s">
        <v>42</v>
      </c>
      <c r="R1137" s="2">
        <v>2</v>
      </c>
      <c r="S1137" s="2">
        <v>0</v>
      </c>
      <c r="T1137" s="38" t="s">
        <v>2871</v>
      </c>
      <c r="U1137" s="13"/>
    </row>
    <row r="1138" spans="1:21" x14ac:dyDescent="0.3">
      <c r="A1138" s="2" t="s">
        <v>2462</v>
      </c>
      <c r="B1138" s="2" t="s">
        <v>2463</v>
      </c>
      <c r="C1138" s="2">
        <v>65</v>
      </c>
      <c r="D1138" s="2" t="s">
        <v>21</v>
      </c>
      <c r="E1138" s="2">
        <v>107373</v>
      </c>
      <c r="F1138" s="2">
        <v>150000</v>
      </c>
      <c r="G1138" s="2">
        <v>60</v>
      </c>
      <c r="H1138" s="2">
        <v>13.97</v>
      </c>
      <c r="I1138" s="2" t="s">
        <v>46</v>
      </c>
      <c r="J1138" s="2">
        <v>632</v>
      </c>
      <c r="K1138" s="30">
        <v>44525</v>
      </c>
      <c r="L1138" s="30" t="s">
        <v>2464</v>
      </c>
      <c r="M1138" s="2" t="s">
        <v>33</v>
      </c>
      <c r="N1138" s="2">
        <v>3487.91</v>
      </c>
      <c r="O1138" s="2" t="s">
        <v>60</v>
      </c>
      <c r="P1138" s="2" t="s">
        <v>61</v>
      </c>
      <c r="Q1138" s="2" t="s">
        <v>35</v>
      </c>
      <c r="R1138" s="2">
        <v>12</v>
      </c>
      <c r="S1138" s="2">
        <v>0</v>
      </c>
      <c r="T1138" s="38" t="s">
        <v>2875</v>
      </c>
      <c r="U1138" s="13"/>
    </row>
    <row r="1139" spans="1:21" x14ac:dyDescent="0.3">
      <c r="A1139" s="2" t="s">
        <v>2468</v>
      </c>
      <c r="B1139" s="2" t="s">
        <v>566</v>
      </c>
      <c r="C1139" s="2">
        <v>27</v>
      </c>
      <c r="D1139" s="2" t="s">
        <v>65</v>
      </c>
      <c r="E1139" s="2">
        <v>97031</v>
      </c>
      <c r="F1139" s="2">
        <v>750000</v>
      </c>
      <c r="G1139" s="2">
        <v>180</v>
      </c>
      <c r="H1139" s="2">
        <v>16.77</v>
      </c>
      <c r="I1139" s="2" t="s">
        <v>73</v>
      </c>
      <c r="J1139" s="2">
        <v>507</v>
      </c>
      <c r="K1139" s="30">
        <v>45093</v>
      </c>
      <c r="L1139" s="30" t="s">
        <v>2361</v>
      </c>
      <c r="M1139" s="2" t="s">
        <v>24</v>
      </c>
      <c r="N1139" s="2">
        <v>11420.5</v>
      </c>
      <c r="O1139" s="2" t="s">
        <v>48</v>
      </c>
      <c r="P1139" s="2" t="s">
        <v>80</v>
      </c>
      <c r="Q1139" s="2" t="s">
        <v>42</v>
      </c>
      <c r="R1139" s="2">
        <v>1</v>
      </c>
      <c r="S1139" s="2">
        <v>0</v>
      </c>
      <c r="T1139" s="38" t="s">
        <v>2879</v>
      </c>
      <c r="U1139" s="13"/>
    </row>
    <row r="1140" spans="1:21" x14ac:dyDescent="0.3">
      <c r="A1140" s="2" t="s">
        <v>2474</v>
      </c>
      <c r="B1140" s="2" t="s">
        <v>292</v>
      </c>
      <c r="C1140" s="2">
        <v>37</v>
      </c>
      <c r="D1140" s="2" t="s">
        <v>72</v>
      </c>
      <c r="E1140" s="2">
        <v>239796</v>
      </c>
      <c r="F1140" s="2">
        <v>750000</v>
      </c>
      <c r="G1140" s="2">
        <v>180</v>
      </c>
      <c r="H1140" s="2">
        <v>19.649999999999999</v>
      </c>
      <c r="I1140" s="2" t="s">
        <v>73</v>
      </c>
      <c r="J1140" s="2">
        <v>869</v>
      </c>
      <c r="K1140" s="30">
        <v>44578</v>
      </c>
      <c r="L1140" s="30" t="s">
        <v>1556</v>
      </c>
      <c r="M1140" s="2" t="s">
        <v>24</v>
      </c>
      <c r="N1140" s="2">
        <v>12978.7</v>
      </c>
      <c r="O1140" s="2" t="s">
        <v>54</v>
      </c>
      <c r="P1140" s="2" t="s">
        <v>99</v>
      </c>
      <c r="Q1140" s="2" t="s">
        <v>42</v>
      </c>
      <c r="R1140" s="2">
        <v>0</v>
      </c>
      <c r="S1140" s="2">
        <v>0</v>
      </c>
      <c r="T1140" s="38" t="s">
        <v>2867</v>
      </c>
      <c r="U1140" s="13"/>
    </row>
    <row r="1141" spans="1:21" x14ac:dyDescent="0.3">
      <c r="A1141" s="3" t="s">
        <v>2475</v>
      </c>
      <c r="B1141" s="3" t="s">
        <v>1245</v>
      </c>
      <c r="C1141" s="3">
        <v>62</v>
      </c>
      <c r="D1141" s="3" t="s">
        <v>45</v>
      </c>
      <c r="E1141" s="3">
        <v>247942</v>
      </c>
      <c r="F1141" s="3">
        <v>300000</v>
      </c>
      <c r="G1141" s="3">
        <v>60</v>
      </c>
      <c r="H1141" s="3">
        <v>17.75</v>
      </c>
      <c r="I1141" s="3" t="s">
        <v>38</v>
      </c>
      <c r="J1141" s="3">
        <v>569</v>
      </c>
      <c r="K1141" s="29">
        <v>44677</v>
      </c>
      <c r="L1141" s="29" t="s">
        <v>2476</v>
      </c>
      <c r="M1141" s="3" t="s">
        <v>24</v>
      </c>
      <c r="N1141" s="3">
        <v>7577.29</v>
      </c>
      <c r="O1141" s="3" t="s">
        <v>60</v>
      </c>
      <c r="P1141" s="3" t="s">
        <v>61</v>
      </c>
      <c r="Q1141" s="3" t="s">
        <v>35</v>
      </c>
      <c r="R1141" s="3">
        <v>5</v>
      </c>
      <c r="S1141" s="3">
        <v>0</v>
      </c>
      <c r="T1141" s="38" t="s">
        <v>2875</v>
      </c>
      <c r="U1141" s="13"/>
    </row>
    <row r="1142" spans="1:21" x14ac:dyDescent="0.3">
      <c r="A1142" s="3" t="s">
        <v>2478</v>
      </c>
      <c r="B1142" s="3" t="s">
        <v>2479</v>
      </c>
      <c r="C1142" s="3">
        <v>44</v>
      </c>
      <c r="D1142" s="3" t="s">
        <v>45</v>
      </c>
      <c r="E1142" s="3">
        <v>230240</v>
      </c>
      <c r="F1142" s="3">
        <v>150000</v>
      </c>
      <c r="G1142" s="3">
        <v>180</v>
      </c>
      <c r="H1142" s="3">
        <v>11.4</v>
      </c>
      <c r="I1142" s="3" t="s">
        <v>46</v>
      </c>
      <c r="J1142" s="3">
        <v>771</v>
      </c>
      <c r="K1142" s="29">
        <v>45090</v>
      </c>
      <c r="L1142" s="29" t="s">
        <v>1717</v>
      </c>
      <c r="M1142" s="3" t="s">
        <v>24</v>
      </c>
      <c r="N1142" s="3">
        <v>1742.76</v>
      </c>
      <c r="O1142" s="3" t="s">
        <v>54</v>
      </c>
      <c r="P1142" s="3" t="s">
        <v>164</v>
      </c>
      <c r="Q1142" s="3" t="s">
        <v>100</v>
      </c>
      <c r="R1142" s="3">
        <v>7</v>
      </c>
      <c r="S1142" s="3">
        <v>0</v>
      </c>
      <c r="T1142" s="38" t="s">
        <v>2867</v>
      </c>
      <c r="U1142" s="13"/>
    </row>
    <row r="1143" spans="1:21" x14ac:dyDescent="0.3">
      <c r="A1143" s="2" t="s">
        <v>2484</v>
      </c>
      <c r="B1143" s="2" t="s">
        <v>453</v>
      </c>
      <c r="C1143" s="2">
        <v>31</v>
      </c>
      <c r="D1143" s="2" t="s">
        <v>45</v>
      </c>
      <c r="E1143" s="2">
        <v>193604</v>
      </c>
      <c r="F1143" s="2">
        <v>750000</v>
      </c>
      <c r="G1143" s="2">
        <v>84</v>
      </c>
      <c r="H1143" s="2">
        <v>20.010000000000002</v>
      </c>
      <c r="I1143" s="2" t="s">
        <v>46</v>
      </c>
      <c r="J1143" s="2">
        <v>666</v>
      </c>
      <c r="K1143" s="30">
        <v>44327</v>
      </c>
      <c r="L1143" s="30" t="s">
        <v>589</v>
      </c>
      <c r="M1143" s="2" t="s">
        <v>24</v>
      </c>
      <c r="N1143" s="2">
        <v>16659.169999999998</v>
      </c>
      <c r="O1143" s="2" t="s">
        <v>54</v>
      </c>
      <c r="P1143" s="2" t="s">
        <v>304</v>
      </c>
      <c r="Q1143" s="2" t="s">
        <v>42</v>
      </c>
      <c r="R1143" s="2">
        <v>0</v>
      </c>
      <c r="S1143" s="2">
        <v>0</v>
      </c>
      <c r="T1143" s="38" t="s">
        <v>2871</v>
      </c>
      <c r="U1143" s="13"/>
    </row>
    <row r="1144" spans="1:21" x14ac:dyDescent="0.3">
      <c r="A1144" s="3" t="s">
        <v>2493</v>
      </c>
      <c r="B1144" s="3" t="s">
        <v>2494</v>
      </c>
      <c r="C1144" s="3">
        <v>34</v>
      </c>
      <c r="D1144" s="3" t="s">
        <v>45</v>
      </c>
      <c r="E1144" s="3">
        <v>145600</v>
      </c>
      <c r="F1144" s="3">
        <v>100000</v>
      </c>
      <c r="G1144" s="3">
        <v>240</v>
      </c>
      <c r="H1144" s="3">
        <v>10.67</v>
      </c>
      <c r="I1144" s="3" t="s">
        <v>38</v>
      </c>
      <c r="J1144" s="3">
        <v>399</v>
      </c>
      <c r="K1144" s="29">
        <v>44559</v>
      </c>
      <c r="L1144" s="29" t="s">
        <v>1487</v>
      </c>
      <c r="M1144" s="3" t="s">
        <v>24</v>
      </c>
      <c r="N1144" s="3">
        <v>1009.83</v>
      </c>
      <c r="O1144" s="3" t="s">
        <v>105</v>
      </c>
      <c r="P1144" s="3" t="s">
        <v>2999</v>
      </c>
      <c r="Q1144" s="3" t="s">
        <v>42</v>
      </c>
      <c r="R1144" s="3">
        <v>1</v>
      </c>
      <c r="S1144" s="3">
        <v>0</v>
      </c>
      <c r="T1144" s="38" t="s">
        <v>2879</v>
      </c>
      <c r="U1144" s="13"/>
    </row>
    <row r="1145" spans="1:21" x14ac:dyDescent="0.3">
      <c r="A1145" s="2" t="s">
        <v>2499</v>
      </c>
      <c r="B1145" s="2" t="s">
        <v>2500</v>
      </c>
      <c r="C1145" s="2">
        <v>31</v>
      </c>
      <c r="D1145" s="2" t="s">
        <v>30</v>
      </c>
      <c r="E1145" s="2">
        <v>229325</v>
      </c>
      <c r="F1145" s="2">
        <v>400000</v>
      </c>
      <c r="G1145" s="2">
        <v>48</v>
      </c>
      <c r="H1145" s="2">
        <v>19.010000000000002</v>
      </c>
      <c r="I1145" s="2" t="s">
        <v>46</v>
      </c>
      <c r="J1145" s="2">
        <v>666</v>
      </c>
      <c r="K1145" s="30">
        <v>44399</v>
      </c>
      <c r="L1145" s="30" t="s">
        <v>1315</v>
      </c>
      <c r="M1145" s="2" t="s">
        <v>24</v>
      </c>
      <c r="N1145" s="2">
        <v>11962.16</v>
      </c>
      <c r="O1145" s="2" t="s">
        <v>25</v>
      </c>
      <c r="P1145" s="2" t="s">
        <v>2998</v>
      </c>
      <c r="Q1145" s="2" t="s">
        <v>42</v>
      </c>
      <c r="R1145" s="2">
        <v>2</v>
      </c>
      <c r="S1145" s="2">
        <v>0</v>
      </c>
      <c r="T1145" s="38" t="s">
        <v>2871</v>
      </c>
      <c r="U1145" s="13"/>
    </row>
    <row r="1146" spans="1:21" x14ac:dyDescent="0.3">
      <c r="A1146" s="3" t="s">
        <v>2501</v>
      </c>
      <c r="B1146" s="3" t="s">
        <v>2502</v>
      </c>
      <c r="C1146" s="3">
        <v>64</v>
      </c>
      <c r="D1146" s="3" t="s">
        <v>30</v>
      </c>
      <c r="E1146" s="3">
        <v>153238</v>
      </c>
      <c r="F1146" s="3">
        <v>750000</v>
      </c>
      <c r="G1146" s="3">
        <v>240</v>
      </c>
      <c r="H1146" s="3">
        <v>15.06</v>
      </c>
      <c r="I1146" s="3" t="s">
        <v>83</v>
      </c>
      <c r="J1146" s="3">
        <v>589</v>
      </c>
      <c r="K1146" s="29">
        <v>44602</v>
      </c>
      <c r="L1146" s="29" t="s">
        <v>1559</v>
      </c>
      <c r="M1146" s="3" t="s">
        <v>24</v>
      </c>
      <c r="N1146" s="3">
        <v>9909.19</v>
      </c>
      <c r="O1146" s="3" t="s">
        <v>48</v>
      </c>
      <c r="P1146" s="3" t="s">
        <v>86</v>
      </c>
      <c r="Q1146" s="3" t="s">
        <v>100</v>
      </c>
      <c r="R1146" s="3">
        <v>7</v>
      </c>
      <c r="S1146" s="3">
        <v>0</v>
      </c>
      <c r="T1146" s="38" t="s">
        <v>2875</v>
      </c>
      <c r="U1146" s="13"/>
    </row>
    <row r="1147" spans="1:21" x14ac:dyDescent="0.3">
      <c r="A1147" s="3" t="s">
        <v>2515</v>
      </c>
      <c r="B1147" s="3" t="s">
        <v>1456</v>
      </c>
      <c r="C1147" s="3">
        <v>48</v>
      </c>
      <c r="D1147" s="3" t="s">
        <v>65</v>
      </c>
      <c r="E1147" s="3">
        <v>87898</v>
      </c>
      <c r="F1147" s="3">
        <v>150000</v>
      </c>
      <c r="G1147" s="3">
        <v>180</v>
      </c>
      <c r="H1147" s="3">
        <v>11.17</v>
      </c>
      <c r="I1147" s="3" t="s">
        <v>46</v>
      </c>
      <c r="J1147" s="3">
        <v>704</v>
      </c>
      <c r="K1147" s="29">
        <v>44653</v>
      </c>
      <c r="L1147" s="29" t="s">
        <v>2239</v>
      </c>
      <c r="M1147" s="3" t="s">
        <v>24</v>
      </c>
      <c r="N1147" s="3">
        <v>1720.94</v>
      </c>
      <c r="O1147" s="3" t="s">
        <v>25</v>
      </c>
      <c r="P1147" s="3" t="s">
        <v>2998</v>
      </c>
      <c r="Q1147" s="3" t="s">
        <v>100</v>
      </c>
      <c r="R1147" s="3">
        <v>2</v>
      </c>
      <c r="S1147" s="3">
        <v>0</v>
      </c>
      <c r="T1147" s="38" t="s">
        <v>2871</v>
      </c>
      <c r="U1147" s="13"/>
    </row>
    <row r="1148" spans="1:21" x14ac:dyDescent="0.3">
      <c r="A1148" s="2" t="s">
        <v>2518</v>
      </c>
      <c r="B1148" s="2" t="s">
        <v>270</v>
      </c>
      <c r="C1148" s="2">
        <v>24</v>
      </c>
      <c r="D1148" s="2" t="s">
        <v>65</v>
      </c>
      <c r="E1148" s="2">
        <v>63359</v>
      </c>
      <c r="F1148" s="2">
        <v>75000</v>
      </c>
      <c r="G1148" s="2">
        <v>24</v>
      </c>
      <c r="H1148" s="2">
        <v>11.01</v>
      </c>
      <c r="I1148" s="2" t="s">
        <v>38</v>
      </c>
      <c r="J1148" s="2">
        <v>748</v>
      </c>
      <c r="K1148" s="30">
        <v>44281</v>
      </c>
      <c r="L1148" s="30" t="s">
        <v>1672</v>
      </c>
      <c r="M1148" s="2" t="s">
        <v>24</v>
      </c>
      <c r="N1148" s="2">
        <v>3495.94</v>
      </c>
      <c r="O1148" s="2" t="s">
        <v>105</v>
      </c>
      <c r="P1148" s="2" t="s">
        <v>118</v>
      </c>
      <c r="Q1148" s="2" t="s">
        <v>42</v>
      </c>
      <c r="R1148" s="2">
        <v>2</v>
      </c>
      <c r="S1148" s="2">
        <v>0</v>
      </c>
      <c r="T1148" s="38" t="s">
        <v>2871</v>
      </c>
      <c r="U1148" s="13"/>
    </row>
    <row r="1149" spans="1:21" x14ac:dyDescent="0.3">
      <c r="A1149" s="3" t="s">
        <v>2523</v>
      </c>
      <c r="B1149" s="3" t="s">
        <v>2524</v>
      </c>
      <c r="C1149" s="3">
        <v>31</v>
      </c>
      <c r="D1149" s="3" t="s">
        <v>45</v>
      </c>
      <c r="E1149" s="3">
        <v>98244</v>
      </c>
      <c r="F1149" s="3">
        <v>50000</v>
      </c>
      <c r="G1149" s="3">
        <v>24</v>
      </c>
      <c r="H1149" s="3">
        <v>17.43</v>
      </c>
      <c r="I1149" s="3" t="s">
        <v>73</v>
      </c>
      <c r="J1149" s="3">
        <v>830</v>
      </c>
      <c r="K1149" s="29">
        <v>44544</v>
      </c>
      <c r="L1149" s="29" t="s">
        <v>2525</v>
      </c>
      <c r="M1149" s="3" t="s">
        <v>24</v>
      </c>
      <c r="N1149" s="3">
        <v>2482.46</v>
      </c>
      <c r="O1149" s="3" t="s">
        <v>54</v>
      </c>
      <c r="P1149" s="3" t="s">
        <v>304</v>
      </c>
      <c r="Q1149" s="3" t="s">
        <v>42</v>
      </c>
      <c r="R1149" s="3">
        <v>2</v>
      </c>
      <c r="S1149" s="3">
        <v>0</v>
      </c>
      <c r="T1149" s="38" t="s">
        <v>2867</v>
      </c>
      <c r="U1149" s="13"/>
    </row>
    <row r="1150" spans="1:21" x14ac:dyDescent="0.3">
      <c r="A1150" s="2" t="s">
        <v>2543</v>
      </c>
      <c r="B1150" s="2" t="s">
        <v>795</v>
      </c>
      <c r="C1150" s="2">
        <v>31</v>
      </c>
      <c r="D1150" s="2" t="s">
        <v>30</v>
      </c>
      <c r="E1150" s="2">
        <v>123838</v>
      </c>
      <c r="F1150" s="2">
        <v>75000</v>
      </c>
      <c r="G1150" s="2">
        <v>240</v>
      </c>
      <c r="H1150" s="2">
        <v>20.7</v>
      </c>
      <c r="I1150" s="2" t="s">
        <v>73</v>
      </c>
      <c r="J1150" s="2">
        <v>462</v>
      </c>
      <c r="K1150" s="30">
        <v>44772</v>
      </c>
      <c r="L1150" s="30" t="s">
        <v>307</v>
      </c>
      <c r="M1150" s="2" t="s">
        <v>24</v>
      </c>
      <c r="N1150" s="2">
        <v>1315.45</v>
      </c>
      <c r="O1150" s="2" t="s">
        <v>54</v>
      </c>
      <c r="P1150" s="2" t="s">
        <v>99</v>
      </c>
      <c r="Q1150" s="2" t="s">
        <v>100</v>
      </c>
      <c r="R1150" s="2">
        <v>10</v>
      </c>
      <c r="S1150" s="2">
        <v>0</v>
      </c>
      <c r="T1150" s="38" t="s">
        <v>2879</v>
      </c>
      <c r="U1150" s="13"/>
    </row>
    <row r="1151" spans="1:21" x14ac:dyDescent="0.3">
      <c r="A1151" s="2" t="s">
        <v>2546</v>
      </c>
      <c r="B1151" s="2" t="s">
        <v>2547</v>
      </c>
      <c r="C1151" s="2">
        <v>50</v>
      </c>
      <c r="D1151" s="2" t="s">
        <v>45</v>
      </c>
      <c r="E1151" s="2">
        <v>164922</v>
      </c>
      <c r="F1151" s="2">
        <v>100000</v>
      </c>
      <c r="G1151" s="2">
        <v>180</v>
      </c>
      <c r="H1151" s="2">
        <v>20.46</v>
      </c>
      <c r="I1151" s="2" t="s">
        <v>31</v>
      </c>
      <c r="J1151" s="2">
        <v>880</v>
      </c>
      <c r="K1151" s="30">
        <v>44338</v>
      </c>
      <c r="L1151" s="30" t="s">
        <v>589</v>
      </c>
      <c r="M1151" s="2" t="s">
        <v>24</v>
      </c>
      <c r="N1151" s="2">
        <v>1790.37</v>
      </c>
      <c r="O1151" s="2" t="s">
        <v>48</v>
      </c>
      <c r="P1151" s="2" t="s">
        <v>199</v>
      </c>
      <c r="Q1151" s="2" t="s">
        <v>42</v>
      </c>
      <c r="R1151" s="2">
        <v>0</v>
      </c>
      <c r="S1151" s="2">
        <v>0</v>
      </c>
      <c r="T1151" s="38" t="s">
        <v>2867</v>
      </c>
      <c r="U1151" s="13"/>
    </row>
    <row r="1152" spans="1:21" x14ac:dyDescent="0.3">
      <c r="A1152" s="2" t="s">
        <v>2549</v>
      </c>
      <c r="B1152" s="2" t="s">
        <v>1664</v>
      </c>
      <c r="C1152" s="2">
        <v>32</v>
      </c>
      <c r="D1152" s="2" t="s">
        <v>21</v>
      </c>
      <c r="E1152" s="2">
        <v>238150</v>
      </c>
      <c r="F1152" s="2">
        <v>200000</v>
      </c>
      <c r="G1152" s="2">
        <v>48</v>
      </c>
      <c r="H1152" s="2">
        <v>14.94</v>
      </c>
      <c r="I1152" s="2" t="s">
        <v>46</v>
      </c>
      <c r="J1152" s="2">
        <v>801</v>
      </c>
      <c r="K1152" s="30">
        <v>44686</v>
      </c>
      <c r="L1152" s="30" t="s">
        <v>2550</v>
      </c>
      <c r="M1152" s="2" t="s">
        <v>33</v>
      </c>
      <c r="N1152" s="2">
        <v>5560.07</v>
      </c>
      <c r="O1152" s="2" t="s">
        <v>48</v>
      </c>
      <c r="P1152" s="2" t="s">
        <v>86</v>
      </c>
      <c r="Q1152" s="2" t="s">
        <v>42</v>
      </c>
      <c r="R1152" s="2">
        <v>0</v>
      </c>
      <c r="S1152" s="2">
        <v>0</v>
      </c>
      <c r="T1152" s="38" t="s">
        <v>2867</v>
      </c>
      <c r="U1152" s="13"/>
    </row>
    <row r="1153" spans="1:21" x14ac:dyDescent="0.3">
      <c r="A1153" s="2" t="s">
        <v>2553</v>
      </c>
      <c r="B1153" s="2" t="s">
        <v>213</v>
      </c>
      <c r="C1153" s="2">
        <v>41</v>
      </c>
      <c r="D1153" s="2" t="s">
        <v>65</v>
      </c>
      <c r="E1153" s="2">
        <v>67335</v>
      </c>
      <c r="F1153" s="2">
        <v>400000</v>
      </c>
      <c r="G1153" s="2">
        <v>120</v>
      </c>
      <c r="H1153" s="2">
        <v>13.13</v>
      </c>
      <c r="I1153" s="2" t="s">
        <v>66</v>
      </c>
      <c r="J1153" s="2">
        <v>684</v>
      </c>
      <c r="K1153" s="30">
        <v>45066</v>
      </c>
      <c r="L1153" s="30" t="s">
        <v>702</v>
      </c>
      <c r="M1153" s="2" t="s">
        <v>24</v>
      </c>
      <c r="N1153" s="2">
        <v>6003.14</v>
      </c>
      <c r="O1153" s="2" t="s">
        <v>48</v>
      </c>
      <c r="P1153" s="2" t="s">
        <v>199</v>
      </c>
      <c r="Q1153" s="2" t="s">
        <v>27</v>
      </c>
      <c r="R1153" s="2">
        <v>2</v>
      </c>
      <c r="S1153" s="2">
        <v>0</v>
      </c>
      <c r="T1153" s="38" t="s">
        <v>2871</v>
      </c>
      <c r="U1153" s="13"/>
    </row>
    <row r="1154" spans="1:21" x14ac:dyDescent="0.3">
      <c r="A1154" s="2" t="s">
        <v>2578</v>
      </c>
      <c r="B1154" s="2" t="s">
        <v>2302</v>
      </c>
      <c r="C1154" s="2">
        <v>45</v>
      </c>
      <c r="D1154" s="2" t="s">
        <v>65</v>
      </c>
      <c r="E1154" s="2">
        <v>79516</v>
      </c>
      <c r="F1154" s="2">
        <v>150000</v>
      </c>
      <c r="G1154" s="2">
        <v>84</v>
      </c>
      <c r="H1154" s="2">
        <v>17.48</v>
      </c>
      <c r="I1154" s="2" t="s">
        <v>38</v>
      </c>
      <c r="J1154" s="2">
        <v>787</v>
      </c>
      <c r="K1154" s="30">
        <v>44875</v>
      </c>
      <c r="L1154" s="30" t="s">
        <v>2579</v>
      </c>
      <c r="M1154" s="2" t="s">
        <v>24</v>
      </c>
      <c r="N1154" s="2">
        <v>3107.12</v>
      </c>
      <c r="O1154" s="2" t="s">
        <v>48</v>
      </c>
      <c r="P1154" s="2" t="s">
        <v>375</v>
      </c>
      <c r="Q1154" s="2" t="s">
        <v>42</v>
      </c>
      <c r="R1154" s="2">
        <v>1</v>
      </c>
      <c r="S1154" s="2">
        <v>0</v>
      </c>
      <c r="T1154" s="38" t="s">
        <v>2867</v>
      </c>
      <c r="U1154" s="13"/>
    </row>
    <row r="1155" spans="1:21" x14ac:dyDescent="0.3">
      <c r="A1155" s="3" t="s">
        <v>2583</v>
      </c>
      <c r="B1155" s="3" t="s">
        <v>638</v>
      </c>
      <c r="C1155" s="3">
        <v>37</v>
      </c>
      <c r="D1155" s="3" t="s">
        <v>30</v>
      </c>
      <c r="E1155" s="3">
        <v>180955</v>
      </c>
      <c r="F1155" s="3">
        <v>50000</v>
      </c>
      <c r="G1155" s="3">
        <v>84</v>
      </c>
      <c r="H1155" s="3">
        <v>12.66</v>
      </c>
      <c r="I1155" s="3" t="s">
        <v>31</v>
      </c>
      <c r="J1155" s="3">
        <v>875</v>
      </c>
      <c r="K1155" s="29">
        <v>44840</v>
      </c>
      <c r="L1155" s="29" t="s">
        <v>2584</v>
      </c>
      <c r="M1155" s="3" t="s">
        <v>33</v>
      </c>
      <c r="N1155" s="3">
        <v>900.38</v>
      </c>
      <c r="O1155" s="3" t="s">
        <v>105</v>
      </c>
      <c r="P1155" s="3" t="s">
        <v>130</v>
      </c>
      <c r="Q1155" s="3" t="s">
        <v>35</v>
      </c>
      <c r="R1155" s="3">
        <v>5</v>
      </c>
      <c r="S1155" s="3">
        <v>0</v>
      </c>
      <c r="T1155" s="38" t="s">
        <v>2867</v>
      </c>
      <c r="U1155" s="13"/>
    </row>
    <row r="1156" spans="1:21" x14ac:dyDescent="0.3">
      <c r="A1156" s="3" t="s">
        <v>2587</v>
      </c>
      <c r="B1156" s="3" t="s">
        <v>1941</v>
      </c>
      <c r="C1156" s="3">
        <v>41</v>
      </c>
      <c r="D1156" s="3" t="s">
        <v>21</v>
      </c>
      <c r="E1156" s="3">
        <v>68540</v>
      </c>
      <c r="F1156" s="3">
        <v>100000</v>
      </c>
      <c r="G1156" s="3">
        <v>60</v>
      </c>
      <c r="H1156" s="3">
        <v>7.87</v>
      </c>
      <c r="I1156" s="3" t="s">
        <v>73</v>
      </c>
      <c r="J1156" s="3">
        <v>380</v>
      </c>
      <c r="K1156" s="29">
        <v>44499</v>
      </c>
      <c r="L1156" s="29" t="s">
        <v>1094</v>
      </c>
      <c r="M1156" s="3" t="s">
        <v>24</v>
      </c>
      <c r="N1156" s="3">
        <v>2021.42</v>
      </c>
      <c r="O1156" s="3" t="s">
        <v>48</v>
      </c>
      <c r="P1156" s="3" t="s">
        <v>80</v>
      </c>
      <c r="Q1156" s="3" t="s">
        <v>35</v>
      </c>
      <c r="R1156" s="3">
        <v>12</v>
      </c>
      <c r="S1156" s="3">
        <v>0</v>
      </c>
      <c r="T1156" s="38" t="s">
        <v>2879</v>
      </c>
      <c r="U1156" s="13"/>
    </row>
    <row r="1157" spans="1:21" x14ac:dyDescent="0.3">
      <c r="A1157" s="2" t="s">
        <v>2588</v>
      </c>
      <c r="B1157" s="2" t="s">
        <v>2589</v>
      </c>
      <c r="C1157" s="2">
        <v>57</v>
      </c>
      <c r="D1157" s="2" t="s">
        <v>30</v>
      </c>
      <c r="E1157" s="2">
        <v>170672</v>
      </c>
      <c r="F1157" s="2">
        <v>400000</v>
      </c>
      <c r="G1157" s="2">
        <v>84</v>
      </c>
      <c r="H1157" s="2">
        <v>9.06</v>
      </c>
      <c r="I1157" s="2" t="s">
        <v>66</v>
      </c>
      <c r="J1157" s="2">
        <v>766</v>
      </c>
      <c r="K1157" s="30">
        <v>45125</v>
      </c>
      <c r="L1157" s="30" t="s">
        <v>2590</v>
      </c>
      <c r="M1157" s="2" t="s">
        <v>24</v>
      </c>
      <c r="N1157" s="2">
        <v>6447.82</v>
      </c>
      <c r="O1157" s="2" t="s">
        <v>48</v>
      </c>
      <c r="P1157" s="2" t="s">
        <v>86</v>
      </c>
      <c r="Q1157" s="2" t="s">
        <v>42</v>
      </c>
      <c r="R1157" s="2">
        <v>2</v>
      </c>
      <c r="S1157" s="2">
        <v>0</v>
      </c>
      <c r="T1157" s="38" t="s">
        <v>2867</v>
      </c>
      <c r="U1157" s="13"/>
    </row>
    <row r="1158" spans="1:21" x14ac:dyDescent="0.3">
      <c r="A1158" s="3" t="s">
        <v>2598</v>
      </c>
      <c r="B1158" s="3" t="s">
        <v>2599</v>
      </c>
      <c r="C1158" s="3">
        <v>37</v>
      </c>
      <c r="D1158" s="3" t="s">
        <v>72</v>
      </c>
      <c r="E1158" s="3">
        <v>184019</v>
      </c>
      <c r="F1158" s="3">
        <v>1000000</v>
      </c>
      <c r="G1158" s="3">
        <v>240</v>
      </c>
      <c r="H1158" s="3">
        <v>7.85</v>
      </c>
      <c r="I1158" s="3" t="s">
        <v>83</v>
      </c>
      <c r="J1158" s="3">
        <v>790</v>
      </c>
      <c r="K1158" s="29">
        <v>44673</v>
      </c>
      <c r="L1158" s="29" t="s">
        <v>340</v>
      </c>
      <c r="M1158" s="3" t="s">
        <v>33</v>
      </c>
      <c r="N1158" s="3">
        <v>8271.2900000000009</v>
      </c>
      <c r="O1158" s="3" t="s">
        <v>25</v>
      </c>
      <c r="P1158" s="3" t="s">
        <v>26</v>
      </c>
      <c r="Q1158" s="3" t="s">
        <v>42</v>
      </c>
      <c r="R1158" s="3">
        <v>0</v>
      </c>
      <c r="S1158" s="3">
        <v>0</v>
      </c>
      <c r="T1158" s="38" t="s">
        <v>2867</v>
      </c>
      <c r="U1158" s="13"/>
    </row>
    <row r="1159" spans="1:21" x14ac:dyDescent="0.3">
      <c r="A1159" s="3" t="s">
        <v>2606</v>
      </c>
      <c r="B1159" s="3" t="s">
        <v>2607</v>
      </c>
      <c r="C1159" s="3">
        <v>29</v>
      </c>
      <c r="D1159" s="3" t="s">
        <v>21</v>
      </c>
      <c r="E1159" s="3">
        <v>133397</v>
      </c>
      <c r="F1159" s="3">
        <v>50000</v>
      </c>
      <c r="G1159" s="3">
        <v>180</v>
      </c>
      <c r="H1159" s="3">
        <v>16.25</v>
      </c>
      <c r="I1159" s="3" t="s">
        <v>73</v>
      </c>
      <c r="J1159" s="3">
        <v>509</v>
      </c>
      <c r="K1159" s="29">
        <v>44415</v>
      </c>
      <c r="L1159" s="29" t="s">
        <v>920</v>
      </c>
      <c r="M1159" s="3" t="s">
        <v>122</v>
      </c>
      <c r="N1159" s="3">
        <v>743.08</v>
      </c>
      <c r="O1159" s="3" t="s">
        <v>105</v>
      </c>
      <c r="P1159" s="3" t="s">
        <v>114</v>
      </c>
      <c r="Q1159" s="3" t="s">
        <v>100</v>
      </c>
      <c r="R1159" s="3">
        <v>0</v>
      </c>
      <c r="S1159" s="3">
        <v>0</v>
      </c>
      <c r="T1159" s="38" t="s">
        <v>2879</v>
      </c>
      <c r="U1159" s="13"/>
    </row>
    <row r="1160" spans="1:21" x14ac:dyDescent="0.3">
      <c r="A1160" s="2" t="s">
        <v>2608</v>
      </c>
      <c r="B1160" s="2" t="s">
        <v>846</v>
      </c>
      <c r="C1160" s="2">
        <v>58</v>
      </c>
      <c r="D1160" s="2" t="s">
        <v>21</v>
      </c>
      <c r="E1160" s="2">
        <v>233347</v>
      </c>
      <c r="F1160" s="2">
        <v>1500000</v>
      </c>
      <c r="G1160" s="2">
        <v>48</v>
      </c>
      <c r="H1160" s="2">
        <v>20.36</v>
      </c>
      <c r="I1160" s="2" t="s">
        <v>66</v>
      </c>
      <c r="J1160" s="2">
        <v>669</v>
      </c>
      <c r="K1160" s="30">
        <v>44667</v>
      </c>
      <c r="L1160" s="30" t="s">
        <v>2609</v>
      </c>
      <c r="M1160" s="2" t="s">
        <v>24</v>
      </c>
      <c r="N1160" s="2">
        <v>45933.75</v>
      </c>
      <c r="O1160" s="2" t="s">
        <v>60</v>
      </c>
      <c r="P1160" s="2" t="s">
        <v>172</v>
      </c>
      <c r="Q1160" s="2" t="s">
        <v>42</v>
      </c>
      <c r="R1160" s="2">
        <v>2</v>
      </c>
      <c r="S1160" s="2">
        <v>0</v>
      </c>
      <c r="T1160" s="38" t="s">
        <v>2871</v>
      </c>
      <c r="U1160" s="13"/>
    </row>
    <row r="1161" spans="1:21" x14ac:dyDescent="0.3">
      <c r="A1161" s="2" t="s">
        <v>2611</v>
      </c>
      <c r="B1161" s="2" t="s">
        <v>2431</v>
      </c>
      <c r="C1161" s="2">
        <v>53</v>
      </c>
      <c r="D1161" s="2" t="s">
        <v>30</v>
      </c>
      <c r="E1161" s="2">
        <v>162018</v>
      </c>
      <c r="F1161" s="2">
        <v>750000</v>
      </c>
      <c r="G1161" s="2">
        <v>60</v>
      </c>
      <c r="H1161" s="2">
        <v>19.03</v>
      </c>
      <c r="I1161" s="2" t="s">
        <v>83</v>
      </c>
      <c r="J1161" s="2">
        <v>379</v>
      </c>
      <c r="K1161" s="30">
        <v>44260</v>
      </c>
      <c r="L1161" s="30" t="s">
        <v>461</v>
      </c>
      <c r="M1161" s="2" t="s">
        <v>24</v>
      </c>
      <c r="N1161" s="2">
        <v>19467.8</v>
      </c>
      <c r="O1161" s="2" t="s">
        <v>54</v>
      </c>
      <c r="P1161" s="2" t="s">
        <v>304</v>
      </c>
      <c r="Q1161" s="2" t="s">
        <v>42</v>
      </c>
      <c r="R1161" s="2">
        <v>0</v>
      </c>
      <c r="S1161" s="2">
        <v>0</v>
      </c>
      <c r="T1161" s="38" t="s">
        <v>2879</v>
      </c>
      <c r="U1161" s="13"/>
    </row>
    <row r="1162" spans="1:21" x14ac:dyDescent="0.3">
      <c r="A1162" s="3" t="s">
        <v>2612</v>
      </c>
      <c r="B1162" s="3" t="s">
        <v>982</v>
      </c>
      <c r="C1162" s="3">
        <v>39</v>
      </c>
      <c r="D1162" s="3" t="s">
        <v>72</v>
      </c>
      <c r="E1162" s="3">
        <v>94546</v>
      </c>
      <c r="F1162" s="3">
        <v>400000</v>
      </c>
      <c r="G1162" s="3">
        <v>120</v>
      </c>
      <c r="H1162" s="3">
        <v>18.07</v>
      </c>
      <c r="I1162" s="3" t="s">
        <v>251</v>
      </c>
      <c r="J1162" s="3">
        <v>399</v>
      </c>
      <c r="K1162" s="29">
        <v>44587</v>
      </c>
      <c r="L1162" s="29" t="s">
        <v>1555</v>
      </c>
      <c r="M1162" s="3" t="s">
        <v>24</v>
      </c>
      <c r="N1162" s="3">
        <v>7225.44</v>
      </c>
      <c r="O1162" s="3" t="s">
        <v>25</v>
      </c>
      <c r="P1162" s="3" t="s">
        <v>151</v>
      </c>
      <c r="Q1162" s="3" t="s">
        <v>35</v>
      </c>
      <c r="R1162" s="3">
        <v>3</v>
      </c>
      <c r="S1162" s="3">
        <v>0</v>
      </c>
      <c r="T1162" s="38" t="s">
        <v>2879</v>
      </c>
      <c r="U1162" s="13"/>
    </row>
    <row r="1163" spans="1:21" x14ac:dyDescent="0.3">
      <c r="A1163" s="3" t="s">
        <v>2627</v>
      </c>
      <c r="B1163" s="3" t="s">
        <v>2628</v>
      </c>
      <c r="C1163" s="3">
        <v>36</v>
      </c>
      <c r="D1163" s="3" t="s">
        <v>45</v>
      </c>
      <c r="E1163" s="3">
        <v>107047</v>
      </c>
      <c r="F1163" s="3">
        <v>1500000</v>
      </c>
      <c r="G1163" s="3">
        <v>120</v>
      </c>
      <c r="H1163" s="3">
        <v>17.47</v>
      </c>
      <c r="I1163" s="3" t="s">
        <v>22</v>
      </c>
      <c r="J1163" s="3">
        <v>531</v>
      </c>
      <c r="K1163" s="29">
        <v>44582</v>
      </c>
      <c r="L1163" s="29" t="s">
        <v>1369</v>
      </c>
      <c r="M1163" s="3" t="s">
        <v>33</v>
      </c>
      <c r="N1163" s="3">
        <v>26518.080000000002</v>
      </c>
      <c r="O1163" s="3" t="s">
        <v>60</v>
      </c>
      <c r="P1163" s="3" t="s">
        <v>192</v>
      </c>
      <c r="Q1163" s="3" t="s">
        <v>27</v>
      </c>
      <c r="R1163" s="3">
        <v>2</v>
      </c>
      <c r="S1163" s="3">
        <v>0</v>
      </c>
      <c r="T1163" s="38" t="s">
        <v>2879</v>
      </c>
      <c r="U1163" s="13"/>
    </row>
    <row r="1164" spans="1:21" x14ac:dyDescent="0.3">
      <c r="A1164" s="2" t="s">
        <v>2642</v>
      </c>
      <c r="B1164" s="2" t="s">
        <v>2643</v>
      </c>
      <c r="C1164" s="2">
        <v>65</v>
      </c>
      <c r="D1164" s="2" t="s">
        <v>45</v>
      </c>
      <c r="E1164" s="2">
        <v>236652</v>
      </c>
      <c r="F1164" s="2">
        <v>400000</v>
      </c>
      <c r="G1164" s="2">
        <v>48</v>
      </c>
      <c r="H1164" s="2">
        <v>17.850000000000001</v>
      </c>
      <c r="I1164" s="2" t="s">
        <v>22</v>
      </c>
      <c r="J1164" s="2">
        <v>403</v>
      </c>
      <c r="K1164" s="30">
        <v>44245</v>
      </c>
      <c r="L1164" s="30" t="s">
        <v>2644</v>
      </c>
      <c r="M1164" s="2" t="s">
        <v>122</v>
      </c>
      <c r="N1164" s="2">
        <v>11718.67</v>
      </c>
      <c r="O1164" s="2" t="s">
        <v>105</v>
      </c>
      <c r="P1164" s="2" t="s">
        <v>159</v>
      </c>
      <c r="Q1164" s="2" t="s">
        <v>35</v>
      </c>
      <c r="R1164" s="2">
        <v>2</v>
      </c>
      <c r="S1164" s="2">
        <v>0</v>
      </c>
      <c r="T1164" s="38" t="s">
        <v>2879</v>
      </c>
      <c r="U1164" s="13"/>
    </row>
    <row r="1165" spans="1:21" x14ac:dyDescent="0.3">
      <c r="A1165" s="3" t="s">
        <v>2645</v>
      </c>
      <c r="B1165" s="3" t="s">
        <v>1491</v>
      </c>
      <c r="C1165" s="3">
        <v>49</v>
      </c>
      <c r="D1165" s="3" t="s">
        <v>72</v>
      </c>
      <c r="E1165" s="3">
        <v>200705</v>
      </c>
      <c r="F1165" s="3">
        <v>500000</v>
      </c>
      <c r="G1165" s="3">
        <v>84</v>
      </c>
      <c r="H1165" s="3">
        <v>16.71</v>
      </c>
      <c r="I1165" s="3" t="s">
        <v>22</v>
      </c>
      <c r="J1165" s="3">
        <v>728</v>
      </c>
      <c r="K1165" s="29">
        <v>45061</v>
      </c>
      <c r="L1165" s="29" t="s">
        <v>2554</v>
      </c>
      <c r="M1165" s="3" t="s">
        <v>24</v>
      </c>
      <c r="N1165" s="3">
        <v>10134.280000000001</v>
      </c>
      <c r="O1165" s="3" t="s">
        <v>60</v>
      </c>
      <c r="P1165" s="3" t="s">
        <v>172</v>
      </c>
      <c r="Q1165" s="3" t="s">
        <v>42</v>
      </c>
      <c r="R1165" s="3">
        <v>1</v>
      </c>
      <c r="S1165" s="3">
        <v>0</v>
      </c>
      <c r="T1165" s="38" t="s">
        <v>2871</v>
      </c>
      <c r="U1165" s="13"/>
    </row>
    <row r="1166" spans="1:21" x14ac:dyDescent="0.3">
      <c r="A1166" s="2" t="s">
        <v>2646</v>
      </c>
      <c r="B1166" s="2" t="s">
        <v>1120</v>
      </c>
      <c r="C1166" s="2">
        <v>38</v>
      </c>
      <c r="D1166" s="2" t="s">
        <v>21</v>
      </c>
      <c r="E1166" s="2">
        <v>139420</v>
      </c>
      <c r="F1166" s="2">
        <v>300000</v>
      </c>
      <c r="G1166" s="2">
        <v>240</v>
      </c>
      <c r="H1166" s="2">
        <v>20.83</v>
      </c>
      <c r="I1166" s="2" t="s">
        <v>251</v>
      </c>
      <c r="J1166" s="2">
        <v>423</v>
      </c>
      <c r="K1166" s="30">
        <v>44579</v>
      </c>
      <c r="L1166" s="30" t="s">
        <v>1555</v>
      </c>
      <c r="M1166" s="2" t="s">
        <v>33</v>
      </c>
      <c r="N1166" s="2">
        <v>5292.6</v>
      </c>
      <c r="O1166" s="2" t="s">
        <v>25</v>
      </c>
      <c r="P1166" s="2" t="s">
        <v>34</v>
      </c>
      <c r="Q1166" s="2" t="s">
        <v>42</v>
      </c>
      <c r="R1166" s="2">
        <v>0</v>
      </c>
      <c r="S1166" s="2">
        <v>0</v>
      </c>
      <c r="T1166" s="38" t="s">
        <v>2879</v>
      </c>
      <c r="U1166" s="13"/>
    </row>
    <row r="1167" spans="1:21" x14ac:dyDescent="0.3">
      <c r="A1167" s="2" t="s">
        <v>2652</v>
      </c>
      <c r="B1167" s="2" t="s">
        <v>1227</v>
      </c>
      <c r="C1167" s="2">
        <v>54</v>
      </c>
      <c r="D1167" s="2" t="s">
        <v>30</v>
      </c>
      <c r="E1167" s="2">
        <v>240754</v>
      </c>
      <c r="F1167" s="2">
        <v>2000000</v>
      </c>
      <c r="G1167" s="2">
        <v>24</v>
      </c>
      <c r="H1167" s="2">
        <v>14.43</v>
      </c>
      <c r="I1167" s="2" t="s">
        <v>22</v>
      </c>
      <c r="J1167" s="2" t="s">
        <v>2882</v>
      </c>
      <c r="K1167" s="30">
        <v>45043</v>
      </c>
      <c r="L1167" s="30" t="s">
        <v>203</v>
      </c>
      <c r="M1167" s="2" t="s">
        <v>24</v>
      </c>
      <c r="N1167" s="2">
        <v>96432.54</v>
      </c>
      <c r="O1167" s="2" t="s">
        <v>105</v>
      </c>
      <c r="P1167" s="2" t="s">
        <v>159</v>
      </c>
      <c r="Q1167" s="2" t="s">
        <v>35</v>
      </c>
      <c r="R1167" s="2">
        <v>10</v>
      </c>
      <c r="S1167" s="2">
        <v>0</v>
      </c>
      <c r="T1167" s="38" t="s">
        <v>2883</v>
      </c>
      <c r="U1167" s="13"/>
    </row>
    <row r="1168" spans="1:21" x14ac:dyDescent="0.3">
      <c r="A1168" s="3" t="s">
        <v>2653</v>
      </c>
      <c r="B1168" s="3" t="s">
        <v>2654</v>
      </c>
      <c r="C1168" s="3">
        <v>36</v>
      </c>
      <c r="D1168" s="3" t="s">
        <v>21</v>
      </c>
      <c r="E1168" s="3">
        <v>121533</v>
      </c>
      <c r="F1168" s="3">
        <v>50000</v>
      </c>
      <c r="G1168" s="3">
        <v>120</v>
      </c>
      <c r="H1168" s="3">
        <v>8.1199999999999992</v>
      </c>
      <c r="I1168" s="3" t="s">
        <v>38</v>
      </c>
      <c r="J1168" s="3">
        <v>704</v>
      </c>
      <c r="K1168" s="29">
        <v>44962</v>
      </c>
      <c r="L1168" s="29" t="s">
        <v>40</v>
      </c>
      <c r="M1168" s="3" t="s">
        <v>24</v>
      </c>
      <c r="N1168" s="3">
        <v>609.80999999999995</v>
      </c>
      <c r="O1168" s="3" t="s">
        <v>25</v>
      </c>
      <c r="P1168" s="3" t="s">
        <v>34</v>
      </c>
      <c r="Q1168" s="3" t="s">
        <v>27</v>
      </c>
      <c r="R1168" s="3">
        <v>2</v>
      </c>
      <c r="S1168" s="3">
        <v>0</v>
      </c>
      <c r="T1168" s="38" t="s">
        <v>2871</v>
      </c>
      <c r="U1168" s="13"/>
    </row>
    <row r="1169" spans="1:21" x14ac:dyDescent="0.3">
      <c r="A1169" s="2" t="s">
        <v>2655</v>
      </c>
      <c r="B1169" s="2" t="s">
        <v>1493</v>
      </c>
      <c r="C1169" s="2">
        <v>30</v>
      </c>
      <c r="D1169" s="2" t="s">
        <v>65</v>
      </c>
      <c r="E1169" s="2">
        <v>176191</v>
      </c>
      <c r="F1169" s="2">
        <v>2000000</v>
      </c>
      <c r="G1169" s="2">
        <v>240</v>
      </c>
      <c r="H1169" s="2">
        <v>20.39</v>
      </c>
      <c r="I1169" s="2" t="s">
        <v>251</v>
      </c>
      <c r="J1169" s="2">
        <v>547</v>
      </c>
      <c r="K1169" s="30">
        <v>44350</v>
      </c>
      <c r="L1169" s="30" t="s">
        <v>2656</v>
      </c>
      <c r="M1169" s="2" t="s">
        <v>33</v>
      </c>
      <c r="N1169" s="2">
        <v>34589.75</v>
      </c>
      <c r="O1169" s="2" t="s">
        <v>54</v>
      </c>
      <c r="P1169" s="2" t="s">
        <v>99</v>
      </c>
      <c r="Q1169" s="2" t="s">
        <v>35</v>
      </c>
      <c r="R1169" s="2">
        <v>4</v>
      </c>
      <c r="S1169" s="2">
        <v>0</v>
      </c>
      <c r="T1169" s="38" t="s">
        <v>2879</v>
      </c>
      <c r="U1169" s="13"/>
    </row>
    <row r="1170" spans="1:21" x14ac:dyDescent="0.3">
      <c r="A1170" s="2" t="s">
        <v>2658</v>
      </c>
      <c r="B1170" s="2" t="s">
        <v>1513</v>
      </c>
      <c r="C1170" s="2">
        <v>41</v>
      </c>
      <c r="D1170" s="2" t="s">
        <v>65</v>
      </c>
      <c r="E1170" s="2">
        <v>149070</v>
      </c>
      <c r="F1170" s="2">
        <v>400000</v>
      </c>
      <c r="G1170" s="2">
        <v>120</v>
      </c>
      <c r="H1170" s="2">
        <v>18.48</v>
      </c>
      <c r="I1170" s="2" t="s">
        <v>251</v>
      </c>
      <c r="J1170" s="2">
        <v>780</v>
      </c>
      <c r="K1170" s="30">
        <v>44898</v>
      </c>
      <c r="L1170" s="30" t="s">
        <v>2659</v>
      </c>
      <c r="M1170" s="2" t="s">
        <v>24</v>
      </c>
      <c r="N1170" s="2">
        <v>7331.47</v>
      </c>
      <c r="O1170" s="2" t="s">
        <v>48</v>
      </c>
      <c r="P1170" s="2" t="s">
        <v>49</v>
      </c>
      <c r="Q1170" s="2" t="s">
        <v>100</v>
      </c>
      <c r="R1170" s="2">
        <v>11</v>
      </c>
      <c r="S1170" s="2">
        <v>0</v>
      </c>
      <c r="T1170" s="38" t="s">
        <v>2867</v>
      </c>
      <c r="U1170" s="13"/>
    </row>
    <row r="1171" spans="1:21" x14ac:dyDescent="0.3">
      <c r="A1171" s="3" t="s">
        <v>2678</v>
      </c>
      <c r="B1171" s="3" t="s">
        <v>2679</v>
      </c>
      <c r="C1171" s="3">
        <v>40</v>
      </c>
      <c r="D1171" s="3" t="s">
        <v>30</v>
      </c>
      <c r="E1171" s="3">
        <v>114468</v>
      </c>
      <c r="F1171" s="3">
        <v>750000</v>
      </c>
      <c r="G1171" s="3">
        <v>180</v>
      </c>
      <c r="H1171" s="3">
        <v>21.43</v>
      </c>
      <c r="I1171" s="3" t="s">
        <v>83</v>
      </c>
      <c r="J1171" s="3">
        <v>366</v>
      </c>
      <c r="K1171" s="29">
        <v>44903</v>
      </c>
      <c r="L1171" s="29" t="s">
        <v>503</v>
      </c>
      <c r="M1171" s="3" t="s">
        <v>24</v>
      </c>
      <c r="N1171" s="3">
        <v>13971.2</v>
      </c>
      <c r="O1171" s="3" t="s">
        <v>60</v>
      </c>
      <c r="P1171" s="3" t="s">
        <v>172</v>
      </c>
      <c r="Q1171" s="3" t="s">
        <v>42</v>
      </c>
      <c r="R1171" s="3">
        <v>1</v>
      </c>
      <c r="S1171" s="3">
        <v>0</v>
      </c>
      <c r="T1171" s="38" t="s">
        <v>2879</v>
      </c>
      <c r="U1171" s="13"/>
    </row>
    <row r="1172" spans="1:21" x14ac:dyDescent="0.3">
      <c r="A1172" s="2" t="s">
        <v>2680</v>
      </c>
      <c r="B1172" s="2" t="s">
        <v>2681</v>
      </c>
      <c r="C1172" s="2">
        <v>53</v>
      </c>
      <c r="D1172" s="2" t="s">
        <v>65</v>
      </c>
      <c r="E1172" s="2">
        <v>204839</v>
      </c>
      <c r="F1172" s="2">
        <v>400000</v>
      </c>
      <c r="G1172" s="2">
        <v>120</v>
      </c>
      <c r="H1172" s="2">
        <v>8.8000000000000007</v>
      </c>
      <c r="I1172" s="2" t="s">
        <v>66</v>
      </c>
      <c r="J1172" s="2">
        <v>656</v>
      </c>
      <c r="K1172" s="30">
        <v>44729</v>
      </c>
      <c r="L1172" s="30" t="s">
        <v>2682</v>
      </c>
      <c r="M1172" s="2" t="s">
        <v>24</v>
      </c>
      <c r="N1172" s="2">
        <v>5023.84</v>
      </c>
      <c r="O1172" s="2" t="s">
        <v>105</v>
      </c>
      <c r="P1172" s="2" t="s">
        <v>130</v>
      </c>
      <c r="Q1172" s="2" t="s">
        <v>27</v>
      </c>
      <c r="R1172" s="2">
        <v>1</v>
      </c>
      <c r="S1172" s="2">
        <v>0</v>
      </c>
      <c r="T1172" s="38" t="s">
        <v>2871</v>
      </c>
      <c r="U1172" s="13"/>
    </row>
    <row r="1173" spans="1:21" x14ac:dyDescent="0.3">
      <c r="A1173" s="2" t="s">
        <v>2690</v>
      </c>
      <c r="B1173" s="2" t="s">
        <v>2691</v>
      </c>
      <c r="C1173" s="2">
        <v>55</v>
      </c>
      <c r="D1173" s="2" t="s">
        <v>65</v>
      </c>
      <c r="E1173" s="2">
        <v>184699</v>
      </c>
      <c r="F1173" s="2">
        <v>500000</v>
      </c>
      <c r="G1173" s="2">
        <v>84</v>
      </c>
      <c r="H1173" s="2">
        <v>18.899999999999999</v>
      </c>
      <c r="I1173" s="2" t="s">
        <v>73</v>
      </c>
      <c r="J1173" s="2">
        <v>557</v>
      </c>
      <c r="K1173" s="30">
        <v>45220</v>
      </c>
      <c r="L1173" s="30" t="s">
        <v>2387</v>
      </c>
      <c r="M1173" s="2" t="s">
        <v>33</v>
      </c>
      <c r="N1173" s="2">
        <v>10774.32</v>
      </c>
      <c r="O1173" s="2" t="s">
        <v>54</v>
      </c>
      <c r="P1173" s="2" t="s">
        <v>164</v>
      </c>
      <c r="Q1173" s="2"/>
      <c r="R1173" s="2">
        <v>2</v>
      </c>
      <c r="S1173" s="2">
        <v>0</v>
      </c>
      <c r="T1173" s="38" t="s">
        <v>2875</v>
      </c>
      <c r="U1173" s="13"/>
    </row>
    <row r="1174" spans="1:21" x14ac:dyDescent="0.3">
      <c r="A1174" s="2" t="s">
        <v>2700</v>
      </c>
      <c r="B1174" s="2" t="s">
        <v>1640</v>
      </c>
      <c r="C1174" s="2">
        <v>23</v>
      </c>
      <c r="D1174" s="2" t="s">
        <v>65</v>
      </c>
      <c r="E1174" s="2">
        <v>120752</v>
      </c>
      <c r="F1174" s="2">
        <v>250000</v>
      </c>
      <c r="G1174" s="2">
        <v>180</v>
      </c>
      <c r="H1174" s="2">
        <v>12.53</v>
      </c>
      <c r="I1174" s="2" t="s">
        <v>38</v>
      </c>
      <c r="J1174" s="2">
        <v>591</v>
      </c>
      <c r="K1174" s="30">
        <v>44449</v>
      </c>
      <c r="L1174" s="30" t="s">
        <v>1228</v>
      </c>
      <c r="M1174" s="2" t="s">
        <v>122</v>
      </c>
      <c r="N1174" s="2">
        <v>3086.19</v>
      </c>
      <c r="O1174" s="2" t="s">
        <v>48</v>
      </c>
      <c r="P1174" s="2" t="s">
        <v>49</v>
      </c>
      <c r="Q1174" s="2" t="s">
        <v>42</v>
      </c>
      <c r="R1174" s="2">
        <v>2</v>
      </c>
      <c r="S1174" s="2">
        <v>0</v>
      </c>
      <c r="T1174" s="38" t="s">
        <v>2875</v>
      </c>
      <c r="U1174" s="13"/>
    </row>
    <row r="1175" spans="1:21" x14ac:dyDescent="0.3">
      <c r="A1175" s="3" t="s">
        <v>2701</v>
      </c>
      <c r="B1175" s="3" t="s">
        <v>391</v>
      </c>
      <c r="C1175" s="3">
        <v>54</v>
      </c>
      <c r="D1175" s="3" t="s">
        <v>72</v>
      </c>
      <c r="E1175" s="3">
        <v>189671</v>
      </c>
      <c r="F1175" s="3">
        <v>2000000</v>
      </c>
      <c r="G1175" s="3">
        <v>240</v>
      </c>
      <c r="H1175" s="3">
        <v>18.07</v>
      </c>
      <c r="I1175" s="3" t="s">
        <v>22</v>
      </c>
      <c r="J1175" s="3">
        <v>457</v>
      </c>
      <c r="K1175" s="29">
        <v>45097</v>
      </c>
      <c r="L1175" s="29" t="s">
        <v>1667</v>
      </c>
      <c r="M1175" s="3" t="s">
        <v>24</v>
      </c>
      <c r="N1175" s="3">
        <v>30974.01</v>
      </c>
      <c r="O1175" s="3" t="s">
        <v>60</v>
      </c>
      <c r="P1175" s="3" t="s">
        <v>61</v>
      </c>
      <c r="Q1175" s="3" t="s">
        <v>42</v>
      </c>
      <c r="R1175" s="3">
        <v>2</v>
      </c>
      <c r="S1175" s="3">
        <v>0</v>
      </c>
      <c r="T1175" s="38" t="s">
        <v>2879</v>
      </c>
      <c r="U1175" s="13"/>
    </row>
    <row r="1176" spans="1:21" x14ac:dyDescent="0.3">
      <c r="A1176" s="3" t="s">
        <v>2717</v>
      </c>
      <c r="B1176" s="3" t="s">
        <v>2718</v>
      </c>
      <c r="C1176" s="3">
        <v>53</v>
      </c>
      <c r="D1176" s="3" t="s">
        <v>45</v>
      </c>
      <c r="E1176" s="3">
        <v>73665</v>
      </c>
      <c r="F1176" s="3">
        <v>1500000</v>
      </c>
      <c r="G1176" s="3">
        <v>60</v>
      </c>
      <c r="H1176" s="3">
        <v>7.96</v>
      </c>
      <c r="I1176" s="3" t="s">
        <v>38</v>
      </c>
      <c r="J1176" s="3">
        <v>466</v>
      </c>
      <c r="K1176" s="29">
        <v>45239</v>
      </c>
      <c r="L1176" s="29" t="s">
        <v>1402</v>
      </c>
      <c r="M1176" s="3" t="s">
        <v>24</v>
      </c>
      <c r="N1176" s="3">
        <v>30385.88</v>
      </c>
      <c r="O1176" s="3" t="s">
        <v>60</v>
      </c>
      <c r="P1176" s="3" t="s">
        <v>2997</v>
      </c>
      <c r="Q1176" s="3" t="s">
        <v>35</v>
      </c>
      <c r="R1176" s="3">
        <v>5</v>
      </c>
      <c r="S1176" s="3">
        <v>0</v>
      </c>
      <c r="T1176" s="38" t="s">
        <v>2879</v>
      </c>
      <c r="U1176" s="13"/>
    </row>
    <row r="1177" spans="1:21" x14ac:dyDescent="0.3">
      <c r="A1177" s="3" t="s">
        <v>2727</v>
      </c>
      <c r="B1177" s="3" t="s">
        <v>2728</v>
      </c>
      <c r="C1177" s="3">
        <v>24</v>
      </c>
      <c r="D1177" s="3" t="s">
        <v>72</v>
      </c>
      <c r="E1177" s="3">
        <v>180553</v>
      </c>
      <c r="F1177" s="3">
        <v>250000</v>
      </c>
      <c r="G1177" s="3">
        <v>84</v>
      </c>
      <c r="H1177" s="3">
        <v>19.100000000000001</v>
      </c>
      <c r="I1177" s="3" t="s">
        <v>38</v>
      </c>
      <c r="J1177" s="3">
        <v>645</v>
      </c>
      <c r="K1177" s="29">
        <v>44610</v>
      </c>
      <c r="L1177" s="29" t="s">
        <v>2729</v>
      </c>
      <c r="M1177" s="3" t="s">
        <v>24</v>
      </c>
      <c r="N1177" s="3">
        <v>5416.87</v>
      </c>
      <c r="O1177" s="3" t="s">
        <v>25</v>
      </c>
      <c r="P1177" s="3" t="s">
        <v>26</v>
      </c>
      <c r="Q1177" s="3" t="s">
        <v>42</v>
      </c>
      <c r="R1177" s="3">
        <v>1</v>
      </c>
      <c r="S1177" s="3">
        <v>0</v>
      </c>
      <c r="T1177" s="38" t="s">
        <v>2875</v>
      </c>
      <c r="U1177" s="13"/>
    </row>
    <row r="1178" spans="1:21" x14ac:dyDescent="0.3">
      <c r="A1178" s="2" t="s">
        <v>2730</v>
      </c>
      <c r="B1178" s="2" t="s">
        <v>836</v>
      </c>
      <c r="C1178" s="2">
        <v>65</v>
      </c>
      <c r="D1178" s="2" t="s">
        <v>45</v>
      </c>
      <c r="E1178" s="2">
        <v>86682</v>
      </c>
      <c r="F1178" s="2">
        <v>500000</v>
      </c>
      <c r="G1178" s="2">
        <v>120</v>
      </c>
      <c r="H1178" s="2">
        <v>20.399999999999999</v>
      </c>
      <c r="I1178" s="2" t="s">
        <v>83</v>
      </c>
      <c r="J1178" s="2">
        <v>745</v>
      </c>
      <c r="K1178" s="30">
        <v>44791</v>
      </c>
      <c r="L1178" s="30" t="s">
        <v>308</v>
      </c>
      <c r="M1178" s="2" t="s">
        <v>33</v>
      </c>
      <c r="N1178" s="2">
        <v>9795.76</v>
      </c>
      <c r="O1178" s="2" t="s">
        <v>25</v>
      </c>
      <c r="P1178" s="2" t="s">
        <v>2998</v>
      </c>
      <c r="Q1178" s="2" t="s">
        <v>42</v>
      </c>
      <c r="R1178" s="2">
        <v>2</v>
      </c>
      <c r="S1178" s="2">
        <v>0</v>
      </c>
      <c r="T1178" s="38" t="s">
        <v>2871</v>
      </c>
      <c r="U1178" s="13"/>
    </row>
    <row r="1179" spans="1:21" x14ac:dyDescent="0.3">
      <c r="A1179" s="2" t="s">
        <v>2733</v>
      </c>
      <c r="B1179" s="2" t="s">
        <v>2734</v>
      </c>
      <c r="C1179" s="2">
        <v>63</v>
      </c>
      <c r="D1179" s="2" t="s">
        <v>72</v>
      </c>
      <c r="E1179" s="2">
        <v>229102</v>
      </c>
      <c r="F1179" s="2">
        <v>150000</v>
      </c>
      <c r="G1179" s="2">
        <v>60</v>
      </c>
      <c r="H1179" s="2">
        <v>13.22</v>
      </c>
      <c r="I1179" s="2" t="s">
        <v>46</v>
      </c>
      <c r="J1179" s="2">
        <v>843</v>
      </c>
      <c r="K1179" s="30">
        <v>45117</v>
      </c>
      <c r="L1179" s="30" t="s">
        <v>513</v>
      </c>
      <c r="M1179" s="2" t="s">
        <v>33</v>
      </c>
      <c r="N1179" s="2">
        <v>3429.88</v>
      </c>
      <c r="O1179" s="2" t="s">
        <v>105</v>
      </c>
      <c r="P1179" s="2" t="s">
        <v>114</v>
      </c>
      <c r="Q1179" s="2" t="s">
        <v>35</v>
      </c>
      <c r="R1179" s="2">
        <v>3</v>
      </c>
      <c r="S1179" s="2">
        <v>0</v>
      </c>
      <c r="T1179" s="38" t="s">
        <v>2867</v>
      </c>
      <c r="U1179" s="13"/>
    </row>
    <row r="1180" spans="1:21" x14ac:dyDescent="0.3">
      <c r="A1180" s="3" t="s">
        <v>2739</v>
      </c>
      <c r="B1180" s="3" t="s">
        <v>2950</v>
      </c>
      <c r="C1180" s="3">
        <v>29</v>
      </c>
      <c r="D1180" s="3" t="s">
        <v>65</v>
      </c>
      <c r="E1180" s="3">
        <v>103481</v>
      </c>
      <c r="F1180" s="3">
        <v>75000</v>
      </c>
      <c r="G1180" s="3">
        <v>240</v>
      </c>
      <c r="H1180" s="3">
        <v>18.61</v>
      </c>
      <c r="I1180" s="3" t="s">
        <v>31</v>
      </c>
      <c r="J1180" s="3">
        <v>823</v>
      </c>
      <c r="K1180" s="29">
        <v>44766</v>
      </c>
      <c r="L1180" s="29" t="s">
        <v>1392</v>
      </c>
      <c r="M1180" s="3" t="s">
        <v>33</v>
      </c>
      <c r="N1180" s="3">
        <v>1192.81</v>
      </c>
      <c r="O1180" s="3" t="s">
        <v>25</v>
      </c>
      <c r="P1180" s="3" t="s">
        <v>2998</v>
      </c>
      <c r="Q1180" s="3" t="s">
        <v>35</v>
      </c>
      <c r="R1180" s="3">
        <v>10</v>
      </c>
      <c r="S1180" s="3">
        <v>0</v>
      </c>
      <c r="T1180" s="38" t="s">
        <v>2867</v>
      </c>
      <c r="U1180" s="13"/>
    </row>
    <row r="1181" spans="1:21" x14ac:dyDescent="0.3">
      <c r="A1181" s="2" t="s">
        <v>2747</v>
      </c>
      <c r="B1181" s="2" t="s">
        <v>1427</v>
      </c>
      <c r="C1181" s="2">
        <v>59</v>
      </c>
      <c r="D1181" s="2" t="s">
        <v>30</v>
      </c>
      <c r="E1181" s="2">
        <v>139106</v>
      </c>
      <c r="F1181" s="2">
        <v>400000</v>
      </c>
      <c r="G1181" s="2">
        <v>240</v>
      </c>
      <c r="H1181" s="2">
        <v>21.94</v>
      </c>
      <c r="I1181" s="2" t="s">
        <v>38</v>
      </c>
      <c r="J1181" s="2">
        <v>422</v>
      </c>
      <c r="K1181" s="30">
        <v>44846</v>
      </c>
      <c r="L1181" s="30" t="s">
        <v>178</v>
      </c>
      <c r="M1181" s="2" t="s">
        <v>24</v>
      </c>
      <c r="N1181" s="2">
        <v>7409.12</v>
      </c>
      <c r="O1181" s="2" t="s">
        <v>54</v>
      </c>
      <c r="P1181" s="2" t="s">
        <v>304</v>
      </c>
      <c r="Q1181" s="2" t="s">
        <v>35</v>
      </c>
      <c r="R1181" s="2">
        <v>12</v>
      </c>
      <c r="S1181" s="2">
        <v>0</v>
      </c>
      <c r="T1181" s="38" t="s">
        <v>2879</v>
      </c>
      <c r="U1181" s="13"/>
    </row>
    <row r="1182" spans="1:21" x14ac:dyDescent="0.3">
      <c r="A1182" s="2" t="s">
        <v>2753</v>
      </c>
      <c r="B1182" s="2" t="s">
        <v>2754</v>
      </c>
      <c r="C1182" s="2">
        <v>57</v>
      </c>
      <c r="D1182" s="2" t="s">
        <v>45</v>
      </c>
      <c r="E1182" s="2">
        <v>240247</v>
      </c>
      <c r="F1182" s="2">
        <v>75000</v>
      </c>
      <c r="G1182" s="2">
        <v>240</v>
      </c>
      <c r="H1182" s="2">
        <v>21.06</v>
      </c>
      <c r="I1182" s="2" t="s">
        <v>66</v>
      </c>
      <c r="J1182" s="2">
        <v>865</v>
      </c>
      <c r="K1182" s="30">
        <v>44280</v>
      </c>
      <c r="L1182" s="30" t="s">
        <v>1279</v>
      </c>
      <c r="M1182" s="2" t="s">
        <v>24</v>
      </c>
      <c r="N1182" s="2">
        <v>1336.79</v>
      </c>
      <c r="O1182" s="2" t="s">
        <v>48</v>
      </c>
      <c r="P1182" s="2" t="s">
        <v>49</v>
      </c>
      <c r="Q1182" s="2" t="s">
        <v>35</v>
      </c>
      <c r="R1182" s="2">
        <v>6</v>
      </c>
      <c r="S1182" s="2">
        <v>0</v>
      </c>
      <c r="T1182" s="38" t="s">
        <v>2867</v>
      </c>
      <c r="U1182" s="13"/>
    </row>
    <row r="1183" spans="1:21" x14ac:dyDescent="0.3">
      <c r="A1183" s="3" t="s">
        <v>2763</v>
      </c>
      <c r="B1183" s="3" t="s">
        <v>64</v>
      </c>
      <c r="C1183" s="3">
        <v>22</v>
      </c>
      <c r="D1183" s="3" t="s">
        <v>72</v>
      </c>
      <c r="E1183" s="3">
        <v>121311</v>
      </c>
      <c r="F1183" s="3">
        <v>750000</v>
      </c>
      <c r="G1183" s="3">
        <v>48</v>
      </c>
      <c r="H1183" s="3">
        <v>18.329999999999998</v>
      </c>
      <c r="I1183" s="3" t="s">
        <v>251</v>
      </c>
      <c r="J1183" s="3">
        <v>890</v>
      </c>
      <c r="K1183" s="29">
        <v>44706</v>
      </c>
      <c r="L1183" s="29" t="s">
        <v>433</v>
      </c>
      <c r="M1183" s="3" t="s">
        <v>24</v>
      </c>
      <c r="N1183" s="3">
        <v>22160.79</v>
      </c>
      <c r="O1183" s="3" t="s">
        <v>105</v>
      </c>
      <c r="P1183" s="3" t="s">
        <v>2999</v>
      </c>
      <c r="Q1183" s="3" t="s">
        <v>42</v>
      </c>
      <c r="R1183" s="3">
        <v>0</v>
      </c>
      <c r="S1183" s="3">
        <v>0</v>
      </c>
      <c r="T1183" s="38" t="s">
        <v>2867</v>
      </c>
      <c r="U1183" s="13"/>
    </row>
    <row r="1184" spans="1:21" x14ac:dyDescent="0.3">
      <c r="A1184" s="3" t="s">
        <v>2766</v>
      </c>
      <c r="B1184" s="3" t="s">
        <v>2767</v>
      </c>
      <c r="C1184" s="3">
        <v>48</v>
      </c>
      <c r="D1184" s="3" t="s">
        <v>72</v>
      </c>
      <c r="E1184" s="3">
        <v>104484</v>
      </c>
      <c r="F1184" s="3">
        <v>150000</v>
      </c>
      <c r="G1184" s="3">
        <v>180</v>
      </c>
      <c r="H1184" s="3">
        <v>9.59</v>
      </c>
      <c r="I1184" s="3" t="s">
        <v>22</v>
      </c>
      <c r="J1184" s="3">
        <v>677</v>
      </c>
      <c r="K1184" s="29">
        <v>45259</v>
      </c>
      <c r="L1184" s="29" t="s">
        <v>84</v>
      </c>
      <c r="M1184" s="3" t="s">
        <v>122</v>
      </c>
      <c r="N1184" s="3">
        <v>1574.49</v>
      </c>
      <c r="O1184" s="3" t="s">
        <v>48</v>
      </c>
      <c r="P1184" s="3" t="s">
        <v>80</v>
      </c>
      <c r="Q1184" s="3" t="s">
        <v>42</v>
      </c>
      <c r="R1184" s="3">
        <v>1</v>
      </c>
      <c r="S1184" s="3">
        <v>0</v>
      </c>
      <c r="T1184" s="38" t="s">
        <v>2871</v>
      </c>
      <c r="U1184" s="13"/>
    </row>
    <row r="1185" spans="1:21" x14ac:dyDescent="0.3">
      <c r="A1185" s="3" t="s">
        <v>2774</v>
      </c>
      <c r="B1185" s="3" t="s">
        <v>2775</v>
      </c>
      <c r="C1185" s="3">
        <v>39</v>
      </c>
      <c r="D1185" s="3" t="s">
        <v>30</v>
      </c>
      <c r="E1185" s="3">
        <v>140920</v>
      </c>
      <c r="F1185" s="3">
        <v>150000</v>
      </c>
      <c r="G1185" s="3">
        <v>180</v>
      </c>
      <c r="H1185" s="3">
        <v>20.62</v>
      </c>
      <c r="I1185" s="3" t="s">
        <v>46</v>
      </c>
      <c r="J1185" s="3">
        <v>540</v>
      </c>
      <c r="K1185" s="29">
        <v>45240</v>
      </c>
      <c r="L1185" s="29" t="s">
        <v>1121</v>
      </c>
      <c r="M1185" s="3" t="s">
        <v>24</v>
      </c>
      <c r="N1185" s="3">
        <v>2703.41</v>
      </c>
      <c r="O1185" s="3" t="s">
        <v>60</v>
      </c>
      <c r="P1185" s="3" t="s">
        <v>2997</v>
      </c>
      <c r="Q1185" s="3" t="s">
        <v>42</v>
      </c>
      <c r="R1185" s="3">
        <v>0</v>
      </c>
      <c r="S1185" s="3">
        <v>0</v>
      </c>
      <c r="T1185" s="38" t="s">
        <v>2879</v>
      </c>
      <c r="U1185" s="13"/>
    </row>
    <row r="1186" spans="1:21" x14ac:dyDescent="0.3">
      <c r="A1186" s="3" t="s">
        <v>2778</v>
      </c>
      <c r="B1186" s="3" t="s">
        <v>1090</v>
      </c>
      <c r="C1186" s="3">
        <v>64</v>
      </c>
      <c r="D1186" s="3" t="s">
        <v>45</v>
      </c>
      <c r="E1186" s="3">
        <v>239355</v>
      </c>
      <c r="F1186" s="3">
        <v>750000</v>
      </c>
      <c r="G1186" s="3">
        <v>240</v>
      </c>
      <c r="H1186" s="3">
        <v>20.87</v>
      </c>
      <c r="I1186" s="3" t="s">
        <v>31</v>
      </c>
      <c r="J1186" s="3">
        <v>841</v>
      </c>
      <c r="K1186" s="29">
        <v>45056</v>
      </c>
      <c r="L1186" s="29" t="s">
        <v>600</v>
      </c>
      <c r="M1186" s="3" t="s">
        <v>24</v>
      </c>
      <c r="N1186" s="3">
        <v>13255.21</v>
      </c>
      <c r="O1186" s="3" t="s">
        <v>25</v>
      </c>
      <c r="P1186" s="3" t="s">
        <v>34</v>
      </c>
      <c r="Q1186" s="3" t="s">
        <v>42</v>
      </c>
      <c r="R1186" s="3">
        <v>0</v>
      </c>
      <c r="S1186" s="3">
        <v>0</v>
      </c>
      <c r="T1186" s="38" t="s">
        <v>2867</v>
      </c>
      <c r="U1186" s="13"/>
    </row>
    <row r="1187" spans="1:21" x14ac:dyDescent="0.3">
      <c r="A1187" s="3" t="s">
        <v>2780</v>
      </c>
      <c r="B1187" s="3" t="s">
        <v>2781</v>
      </c>
      <c r="C1187" s="3">
        <v>28</v>
      </c>
      <c r="D1187" s="3" t="s">
        <v>65</v>
      </c>
      <c r="E1187" s="3">
        <v>138693</v>
      </c>
      <c r="F1187" s="3">
        <v>750000</v>
      </c>
      <c r="G1187" s="3">
        <v>48</v>
      </c>
      <c r="H1187" s="3">
        <v>20.41</v>
      </c>
      <c r="I1187" s="3" t="s">
        <v>38</v>
      </c>
      <c r="J1187" s="3">
        <v>346</v>
      </c>
      <c r="K1187" s="29">
        <v>44690</v>
      </c>
      <c r="L1187" s="29" t="s">
        <v>341</v>
      </c>
      <c r="M1187" s="3" t="s">
        <v>24</v>
      </c>
      <c r="N1187" s="3">
        <v>22986.93</v>
      </c>
      <c r="O1187" s="3" t="s">
        <v>48</v>
      </c>
      <c r="P1187" s="3" t="s">
        <v>199</v>
      </c>
      <c r="Q1187" s="3" t="s">
        <v>42</v>
      </c>
      <c r="R1187" s="3">
        <v>1</v>
      </c>
      <c r="S1187" s="3">
        <v>0</v>
      </c>
      <c r="T1187" s="38" t="s">
        <v>2879</v>
      </c>
      <c r="U1187" s="13"/>
    </row>
    <row r="1188" spans="1:21" x14ac:dyDescent="0.3">
      <c r="A1188" s="2" t="s">
        <v>2796</v>
      </c>
      <c r="B1188" s="2" t="s">
        <v>915</v>
      </c>
      <c r="C1188" s="2">
        <v>50</v>
      </c>
      <c r="D1188" s="2" t="s">
        <v>30</v>
      </c>
      <c r="E1188" s="2">
        <v>232258</v>
      </c>
      <c r="F1188" s="2">
        <v>750000</v>
      </c>
      <c r="G1188" s="2">
        <v>240</v>
      </c>
      <c r="H1188" s="2">
        <v>17.079999999999998</v>
      </c>
      <c r="I1188" s="2" t="s">
        <v>83</v>
      </c>
      <c r="J1188" s="2">
        <v>759</v>
      </c>
      <c r="K1188" s="30">
        <v>45108</v>
      </c>
      <c r="L1188" s="30" t="s">
        <v>949</v>
      </c>
      <c r="M1188" s="2" t="s">
        <v>33</v>
      </c>
      <c r="N1188" s="2">
        <v>11046.65</v>
      </c>
      <c r="O1188" s="2" t="s">
        <v>60</v>
      </c>
      <c r="P1188" s="2" t="s">
        <v>192</v>
      </c>
      <c r="Q1188" s="2" t="s">
        <v>35</v>
      </c>
      <c r="R1188" s="2">
        <v>9</v>
      </c>
      <c r="S1188" s="2">
        <v>0</v>
      </c>
      <c r="T1188" s="38" t="s">
        <v>2867</v>
      </c>
      <c r="U1188" s="13"/>
    </row>
    <row r="1189" spans="1:21" x14ac:dyDescent="0.3">
      <c r="A1189" s="2" t="s">
        <v>2799</v>
      </c>
      <c r="B1189" s="2" t="s">
        <v>1205</v>
      </c>
      <c r="C1189" s="2">
        <v>25</v>
      </c>
      <c r="D1189" s="2" t="s">
        <v>30</v>
      </c>
      <c r="E1189" s="2">
        <v>208201</v>
      </c>
      <c r="F1189" s="2">
        <v>1500000</v>
      </c>
      <c r="G1189" s="2">
        <v>240</v>
      </c>
      <c r="H1189" s="2">
        <v>21.27</v>
      </c>
      <c r="I1189" s="2" t="s">
        <v>22</v>
      </c>
      <c r="J1189" s="2">
        <v>873</v>
      </c>
      <c r="K1189" s="30">
        <v>44473</v>
      </c>
      <c r="L1189" s="30" t="s">
        <v>320</v>
      </c>
      <c r="M1189" s="2" t="s">
        <v>33</v>
      </c>
      <c r="N1189" s="2">
        <v>26985.45</v>
      </c>
      <c r="O1189" s="2" t="s">
        <v>60</v>
      </c>
      <c r="P1189" s="2" t="s">
        <v>2997</v>
      </c>
      <c r="Q1189" s="2" t="s">
        <v>27</v>
      </c>
      <c r="R1189" s="2">
        <v>2</v>
      </c>
      <c r="S1189" s="2">
        <v>0</v>
      </c>
      <c r="T1189" s="38" t="s">
        <v>2867</v>
      </c>
      <c r="U1189" s="13"/>
    </row>
    <row r="1190" spans="1:21" x14ac:dyDescent="0.3">
      <c r="A1190" s="2" t="s">
        <v>2808</v>
      </c>
      <c r="B1190" s="2" t="s">
        <v>793</v>
      </c>
      <c r="C1190" s="2">
        <v>32</v>
      </c>
      <c r="D1190" s="2" t="s">
        <v>72</v>
      </c>
      <c r="E1190" s="2">
        <v>158071</v>
      </c>
      <c r="F1190" s="2">
        <v>100000</v>
      </c>
      <c r="G1190" s="2">
        <v>240</v>
      </c>
      <c r="H1190" s="2">
        <v>14.41</v>
      </c>
      <c r="I1190" s="2" t="s">
        <v>31</v>
      </c>
      <c r="J1190" s="2">
        <v>834</v>
      </c>
      <c r="K1190" s="30">
        <v>44788</v>
      </c>
      <c r="L1190" s="30" t="s">
        <v>2012</v>
      </c>
      <c r="M1190" s="2" t="s">
        <v>24</v>
      </c>
      <c r="N1190" s="2">
        <v>1273.4100000000001</v>
      </c>
      <c r="O1190" s="2" t="s">
        <v>25</v>
      </c>
      <c r="P1190" s="2" t="s">
        <v>34</v>
      </c>
      <c r="Q1190" s="2" t="s">
        <v>42</v>
      </c>
      <c r="R1190" s="2">
        <v>0</v>
      </c>
      <c r="S1190" s="2">
        <v>0</v>
      </c>
      <c r="T1190" s="38" t="s">
        <v>2867</v>
      </c>
      <c r="U1190" s="13"/>
    </row>
    <row r="1191" spans="1:21" x14ac:dyDescent="0.3">
      <c r="A1191" s="3" t="s">
        <v>2809</v>
      </c>
      <c r="B1191" s="3" t="s">
        <v>2810</v>
      </c>
      <c r="C1191" s="3">
        <v>42</v>
      </c>
      <c r="D1191" s="3" t="s">
        <v>65</v>
      </c>
      <c r="E1191" s="3">
        <v>137912</v>
      </c>
      <c r="F1191" s="3">
        <v>50000</v>
      </c>
      <c r="G1191" s="3">
        <v>240</v>
      </c>
      <c r="H1191" s="3">
        <v>13.8</v>
      </c>
      <c r="I1191" s="3" t="s">
        <v>46</v>
      </c>
      <c r="J1191" s="3">
        <v>345</v>
      </c>
      <c r="K1191" s="29">
        <v>44732</v>
      </c>
      <c r="L1191" s="29" t="s">
        <v>763</v>
      </c>
      <c r="M1191" s="3" t="s">
        <v>24</v>
      </c>
      <c r="N1191" s="3">
        <v>614.51</v>
      </c>
      <c r="O1191" s="3" t="s">
        <v>54</v>
      </c>
      <c r="P1191" s="3" t="s">
        <v>304</v>
      </c>
      <c r="Q1191" s="3" t="s">
        <v>42</v>
      </c>
      <c r="R1191" s="3">
        <v>0</v>
      </c>
      <c r="S1191" s="3">
        <v>0</v>
      </c>
      <c r="T1191" s="38" t="s">
        <v>2879</v>
      </c>
      <c r="U1191" s="13"/>
    </row>
    <row r="1192" spans="1:21" x14ac:dyDescent="0.3">
      <c r="A1192" s="2" t="s">
        <v>2820</v>
      </c>
      <c r="B1192" s="2" t="s">
        <v>2638</v>
      </c>
      <c r="C1192" s="2">
        <v>51</v>
      </c>
      <c r="D1192" s="2" t="s">
        <v>72</v>
      </c>
      <c r="E1192" s="2">
        <v>230492</v>
      </c>
      <c r="F1192" s="2">
        <v>300000</v>
      </c>
      <c r="G1192" s="2">
        <v>60</v>
      </c>
      <c r="H1192" s="2">
        <v>21.21</v>
      </c>
      <c r="I1192" s="2" t="s">
        <v>73</v>
      </c>
      <c r="J1192" s="2">
        <v>460</v>
      </c>
      <c r="K1192" s="30">
        <v>44283</v>
      </c>
      <c r="L1192" s="30" t="s">
        <v>739</v>
      </c>
      <c r="M1192" s="2" t="s">
        <v>24</v>
      </c>
      <c r="N1192" s="2">
        <v>8151.49</v>
      </c>
      <c r="O1192" s="2" t="s">
        <v>48</v>
      </c>
      <c r="P1192" s="2" t="s">
        <v>199</v>
      </c>
      <c r="Q1192" s="2" t="s">
        <v>27</v>
      </c>
      <c r="R1192" s="2">
        <v>1</v>
      </c>
      <c r="S1192" s="2">
        <v>0</v>
      </c>
      <c r="T1192" s="38" t="s">
        <v>2879</v>
      </c>
      <c r="U1192" s="13"/>
    </row>
    <row r="1193" spans="1:21" x14ac:dyDescent="0.3">
      <c r="A1193" s="2" t="s">
        <v>2823</v>
      </c>
      <c r="B1193" s="2" t="s">
        <v>2824</v>
      </c>
      <c r="C1193" s="2">
        <v>36</v>
      </c>
      <c r="D1193" s="2" t="s">
        <v>72</v>
      </c>
      <c r="E1193" s="2">
        <v>111566</v>
      </c>
      <c r="F1193" s="2">
        <v>150000</v>
      </c>
      <c r="G1193" s="2">
        <v>240</v>
      </c>
      <c r="H1193" s="2">
        <v>17.61</v>
      </c>
      <c r="I1193" s="2" t="s">
        <v>251</v>
      </c>
      <c r="J1193" s="2">
        <v>582</v>
      </c>
      <c r="K1193" s="30">
        <v>44323</v>
      </c>
      <c r="L1193" s="30" t="s">
        <v>121</v>
      </c>
      <c r="M1193" s="2" t="s">
        <v>33</v>
      </c>
      <c r="N1193" s="2">
        <v>2270.0500000000002</v>
      </c>
      <c r="O1193" s="2" t="s">
        <v>48</v>
      </c>
      <c r="P1193" s="2" t="s">
        <v>86</v>
      </c>
      <c r="Q1193" s="2" t="s">
        <v>42</v>
      </c>
      <c r="R1193" s="2">
        <v>1</v>
      </c>
      <c r="S1193" s="2">
        <v>0</v>
      </c>
      <c r="T1193" s="38" t="s">
        <v>2875</v>
      </c>
      <c r="U1193" s="13"/>
    </row>
    <row r="1194" spans="1:21" x14ac:dyDescent="0.3">
      <c r="A1194" s="3" t="s">
        <v>2825</v>
      </c>
      <c r="B1194" s="3" t="s">
        <v>2826</v>
      </c>
      <c r="C1194" s="3">
        <v>24</v>
      </c>
      <c r="D1194" s="3" t="s">
        <v>21</v>
      </c>
      <c r="E1194" s="3">
        <v>195047</v>
      </c>
      <c r="F1194" s="3">
        <v>1000000</v>
      </c>
      <c r="G1194" s="3">
        <v>12</v>
      </c>
      <c r="H1194" s="3">
        <v>21.9</v>
      </c>
      <c r="I1194" s="3" t="s">
        <v>66</v>
      </c>
      <c r="J1194" s="3">
        <v>544</v>
      </c>
      <c r="K1194" s="29">
        <v>44924</v>
      </c>
      <c r="L1194" s="29" t="s">
        <v>2827</v>
      </c>
      <c r="M1194" s="3" t="s">
        <v>24</v>
      </c>
      <c r="N1194" s="3">
        <v>93546.26</v>
      </c>
      <c r="O1194" s="3" t="s">
        <v>105</v>
      </c>
      <c r="P1194" s="3" t="s">
        <v>159</v>
      </c>
      <c r="Q1194" s="3" t="s">
        <v>42</v>
      </c>
      <c r="R1194" s="3">
        <v>0</v>
      </c>
      <c r="S1194" s="3">
        <v>0</v>
      </c>
      <c r="T1194" s="38" t="s">
        <v>2879</v>
      </c>
      <c r="U1194" s="13"/>
    </row>
    <row r="1195" spans="1:21" x14ac:dyDescent="0.3">
      <c r="A1195" s="3" t="s">
        <v>2830</v>
      </c>
      <c r="B1195" s="3" t="s">
        <v>2831</v>
      </c>
      <c r="C1195" s="3">
        <v>56</v>
      </c>
      <c r="D1195" s="3" t="s">
        <v>72</v>
      </c>
      <c r="E1195" s="3">
        <v>173978</v>
      </c>
      <c r="F1195" s="3">
        <v>150000</v>
      </c>
      <c r="G1195" s="3">
        <v>48</v>
      </c>
      <c r="H1195" s="3">
        <v>16.100000000000001</v>
      </c>
      <c r="I1195" s="3" t="s">
        <v>83</v>
      </c>
      <c r="J1195" s="3">
        <v>804</v>
      </c>
      <c r="K1195" s="29">
        <v>44858</v>
      </c>
      <c r="L1195" s="29" t="s">
        <v>1464</v>
      </c>
      <c r="M1195" s="3" t="s">
        <v>24</v>
      </c>
      <c r="N1195" s="3">
        <v>4258.7299999999996</v>
      </c>
      <c r="O1195" s="3" t="s">
        <v>105</v>
      </c>
      <c r="P1195" s="3" t="s">
        <v>159</v>
      </c>
      <c r="Q1195" s="3" t="s">
        <v>42</v>
      </c>
      <c r="R1195" s="3">
        <v>1</v>
      </c>
      <c r="S1195" s="3">
        <v>0</v>
      </c>
      <c r="T1195" s="38" t="s">
        <v>2867</v>
      </c>
      <c r="U1195" s="13"/>
    </row>
    <row r="1196" spans="1:21" x14ac:dyDescent="0.3">
      <c r="A1196" s="2" t="s">
        <v>2832</v>
      </c>
      <c r="B1196" s="2" t="s">
        <v>2833</v>
      </c>
      <c r="C1196" s="2">
        <v>24</v>
      </c>
      <c r="D1196" s="2" t="s">
        <v>72</v>
      </c>
      <c r="E1196" s="2">
        <v>36984</v>
      </c>
      <c r="F1196" s="2">
        <v>2000000</v>
      </c>
      <c r="G1196" s="2">
        <v>240</v>
      </c>
      <c r="H1196" s="2">
        <v>14.7</v>
      </c>
      <c r="I1196" s="2" t="s">
        <v>38</v>
      </c>
      <c r="J1196" s="2">
        <v>698</v>
      </c>
      <c r="K1196" s="30">
        <v>45030</v>
      </c>
      <c r="L1196" s="30" t="s">
        <v>202</v>
      </c>
      <c r="M1196" s="2" t="s">
        <v>24</v>
      </c>
      <c r="N1196" s="2">
        <v>25893.55</v>
      </c>
      <c r="O1196" s="2" t="s">
        <v>25</v>
      </c>
      <c r="P1196" s="2" t="s">
        <v>2998</v>
      </c>
      <c r="Q1196" s="2" t="s">
        <v>42</v>
      </c>
      <c r="R1196" s="2">
        <v>2</v>
      </c>
      <c r="S1196" s="2">
        <v>0</v>
      </c>
      <c r="T1196" s="38" t="s">
        <v>2871</v>
      </c>
      <c r="U1196" s="13"/>
    </row>
    <row r="1197" spans="1:21" x14ac:dyDescent="0.3">
      <c r="A1197" s="2" t="s">
        <v>2835</v>
      </c>
      <c r="B1197" s="2" t="s">
        <v>2836</v>
      </c>
      <c r="C1197" s="2">
        <v>43</v>
      </c>
      <c r="D1197" s="2" t="s">
        <v>65</v>
      </c>
      <c r="E1197" s="2">
        <v>181942</v>
      </c>
      <c r="F1197" s="2">
        <v>1500000</v>
      </c>
      <c r="G1197" s="2">
        <v>180</v>
      </c>
      <c r="H1197" s="2">
        <v>11.33</v>
      </c>
      <c r="I1197" s="2" t="s">
        <v>66</v>
      </c>
      <c r="J1197" s="2">
        <v>422</v>
      </c>
      <c r="K1197" s="30">
        <v>44634</v>
      </c>
      <c r="L1197" s="30" t="s">
        <v>606</v>
      </c>
      <c r="M1197" s="2" t="s">
        <v>24</v>
      </c>
      <c r="N1197" s="2">
        <v>17361.07</v>
      </c>
      <c r="O1197" s="2" t="s">
        <v>60</v>
      </c>
      <c r="P1197" s="2" t="s">
        <v>172</v>
      </c>
      <c r="Q1197" s="2" t="s">
        <v>35</v>
      </c>
      <c r="R1197" s="2">
        <v>9</v>
      </c>
      <c r="S1197" s="2">
        <v>0</v>
      </c>
      <c r="T1197" s="38" t="s">
        <v>2879</v>
      </c>
      <c r="U1197" s="13"/>
    </row>
    <row r="1198" spans="1:21" x14ac:dyDescent="0.3">
      <c r="A1198" s="3" t="s">
        <v>2848</v>
      </c>
      <c r="B1198" s="3" t="s">
        <v>2052</v>
      </c>
      <c r="C1198" s="3">
        <v>62</v>
      </c>
      <c r="D1198" s="3" t="s">
        <v>65</v>
      </c>
      <c r="E1198" s="3">
        <v>126273</v>
      </c>
      <c r="F1198" s="3">
        <v>2000000</v>
      </c>
      <c r="G1198" s="3">
        <v>240</v>
      </c>
      <c r="H1198" s="3">
        <v>16.84</v>
      </c>
      <c r="I1198" s="3" t="s">
        <v>251</v>
      </c>
      <c r="J1198" s="3">
        <v>515</v>
      </c>
      <c r="K1198" s="29">
        <v>44279</v>
      </c>
      <c r="L1198" s="29" t="s">
        <v>1998</v>
      </c>
      <c r="M1198" s="3" t="s">
        <v>33</v>
      </c>
      <c r="N1198" s="3">
        <v>29092.91</v>
      </c>
      <c r="O1198" s="3" t="s">
        <v>54</v>
      </c>
      <c r="P1198" s="3" t="s">
        <v>183</v>
      </c>
      <c r="Q1198" s="3" t="s">
        <v>42</v>
      </c>
      <c r="R1198" s="3">
        <v>1</v>
      </c>
      <c r="S1198" s="3">
        <v>0</v>
      </c>
      <c r="T1198" s="38" t="s">
        <v>2879</v>
      </c>
      <c r="U1198" s="13"/>
    </row>
    <row r="1199" spans="1:21" x14ac:dyDescent="0.3">
      <c r="A1199" s="2" t="s">
        <v>2849</v>
      </c>
      <c r="B1199" s="2" t="s">
        <v>1547</v>
      </c>
      <c r="C1199" s="2">
        <v>57</v>
      </c>
      <c r="D1199" s="2" t="s">
        <v>72</v>
      </c>
      <c r="E1199" s="2">
        <v>223092</v>
      </c>
      <c r="F1199" s="2">
        <v>500000</v>
      </c>
      <c r="G1199" s="2">
        <v>180</v>
      </c>
      <c r="H1199" s="2">
        <v>18.809999999999999</v>
      </c>
      <c r="I1199" s="2" t="s">
        <v>38</v>
      </c>
      <c r="J1199" s="2" t="s">
        <v>2882</v>
      </c>
      <c r="K1199" s="30">
        <v>45279</v>
      </c>
      <c r="L1199" s="30" t="s">
        <v>85</v>
      </c>
      <c r="M1199" s="2" t="s">
        <v>24</v>
      </c>
      <c r="N1199" s="2">
        <v>8345.17</v>
      </c>
      <c r="O1199" s="2" t="s">
        <v>105</v>
      </c>
      <c r="P1199" s="2" t="s">
        <v>118</v>
      </c>
      <c r="Q1199" s="2" t="s">
        <v>35</v>
      </c>
      <c r="R1199" s="2">
        <v>10</v>
      </c>
      <c r="S1199" s="2">
        <v>0</v>
      </c>
      <c r="T1199" s="38" t="s">
        <v>2883</v>
      </c>
      <c r="U1199" s="13"/>
    </row>
    <row r="1200" spans="1:21" x14ac:dyDescent="0.3">
      <c r="A1200" s="2" t="s">
        <v>2853</v>
      </c>
      <c r="B1200" s="2" t="s">
        <v>2854</v>
      </c>
      <c r="C1200" s="2">
        <v>40</v>
      </c>
      <c r="D1200" s="2" t="s">
        <v>72</v>
      </c>
      <c r="E1200" s="2">
        <v>217453</v>
      </c>
      <c r="F1200" s="2">
        <v>500000</v>
      </c>
      <c r="G1200" s="2">
        <v>60</v>
      </c>
      <c r="H1200" s="2">
        <v>15.76</v>
      </c>
      <c r="I1200" s="2" t="s">
        <v>83</v>
      </c>
      <c r="J1200" s="2">
        <v>479</v>
      </c>
      <c r="K1200" s="30">
        <v>44653</v>
      </c>
      <c r="L1200" s="30" t="s">
        <v>273</v>
      </c>
      <c r="M1200" s="2" t="s">
        <v>24</v>
      </c>
      <c r="N1200" s="2">
        <v>12095.36</v>
      </c>
      <c r="O1200" s="2" t="s">
        <v>105</v>
      </c>
      <c r="P1200" s="2" t="s">
        <v>114</v>
      </c>
      <c r="Q1200" s="2" t="s">
        <v>42</v>
      </c>
      <c r="R1200" s="2">
        <v>0</v>
      </c>
      <c r="S1200" s="2">
        <v>0</v>
      </c>
      <c r="T1200" s="38" t="s">
        <v>2879</v>
      </c>
      <c r="U1200" s="13"/>
    </row>
    <row r="1201" spans="1:21" x14ac:dyDescent="0.3">
      <c r="A1201" s="3" t="s">
        <v>2855</v>
      </c>
      <c r="B1201" s="3" t="s">
        <v>2856</v>
      </c>
      <c r="C1201" s="3">
        <v>47</v>
      </c>
      <c r="D1201" s="3" t="s">
        <v>45</v>
      </c>
      <c r="E1201" s="3">
        <v>161760</v>
      </c>
      <c r="F1201" s="3">
        <v>50000</v>
      </c>
      <c r="G1201" s="3">
        <v>120</v>
      </c>
      <c r="H1201" s="3">
        <v>16.52</v>
      </c>
      <c r="I1201" s="3" t="s">
        <v>46</v>
      </c>
      <c r="J1201" s="3">
        <v>871</v>
      </c>
      <c r="K1201" s="29">
        <v>44438</v>
      </c>
      <c r="L1201" s="29" t="s">
        <v>296</v>
      </c>
      <c r="M1201" s="3" t="s">
        <v>33</v>
      </c>
      <c r="N1201" s="3">
        <v>853.84</v>
      </c>
      <c r="O1201" s="3" t="s">
        <v>60</v>
      </c>
      <c r="P1201" s="3" t="s">
        <v>192</v>
      </c>
      <c r="Q1201" s="3" t="s">
        <v>42</v>
      </c>
      <c r="R1201" s="3">
        <v>1</v>
      </c>
      <c r="S1201" s="3">
        <v>0</v>
      </c>
      <c r="T1201" s="38" t="s">
        <v>2867</v>
      </c>
      <c r="U1201" s="13"/>
    </row>
  </sheetData>
  <conditionalFormatting sqref="R1:R1048576">
    <cfRule type="dataBar" priority="3">
      <dataBar>
        <cfvo type="min"/>
        <cfvo type="max"/>
        <color rgb="FF63C384"/>
      </dataBar>
      <extLst>
        <ext xmlns:x14="http://schemas.microsoft.com/office/spreadsheetml/2009/9/main" uri="{B025F937-C7B1-47D3-B67F-A62EFF666E3E}">
          <x14:id>{77FC881C-BC36-462C-A005-51A58A0CAF3D}</x14:id>
        </ext>
      </extLst>
    </cfRule>
  </conditionalFormatting>
  <conditionalFormatting sqref="BD10">
    <cfRule type="dataBar" priority="2">
      <dataBar>
        <cfvo type="min"/>
        <cfvo type="max"/>
        <color rgb="FF63C384"/>
      </dataBar>
      <extLst>
        <ext xmlns:x14="http://schemas.microsoft.com/office/spreadsheetml/2009/9/main" uri="{B025F937-C7B1-47D3-B67F-A62EFF666E3E}">
          <x14:id>{2C4712CE-0E11-41AA-B548-2D410B5E1913}</x14:id>
        </ext>
      </extLst>
    </cfRule>
  </conditionalFormatting>
  <conditionalFormatting sqref="BX10">
    <cfRule type="dataBar" priority="1">
      <dataBar>
        <cfvo type="min"/>
        <cfvo type="max"/>
        <color rgb="FF63C384"/>
      </dataBar>
      <extLst>
        <ext xmlns:x14="http://schemas.microsoft.com/office/spreadsheetml/2009/9/main" uri="{B025F937-C7B1-47D3-B67F-A62EFF666E3E}">
          <x14:id>{0319CB68-8C4D-42C8-8F48-916FCC0C660E}</x14:id>
        </ext>
      </extLst>
    </cfRule>
  </conditionalFormatting>
  <pageMargins left="0.75" right="0.75" top="1" bottom="1" header="0.5" footer="0.5"/>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7FC881C-BC36-462C-A005-51A58A0CAF3D}">
            <x14:dataBar minLength="0" maxLength="100" gradient="0">
              <x14:cfvo type="autoMin"/>
              <x14:cfvo type="autoMax"/>
              <x14:negativeFillColor rgb="FFFF0000"/>
              <x14:axisColor rgb="FF000000"/>
            </x14:dataBar>
          </x14:cfRule>
          <xm:sqref>R1:R1048576</xm:sqref>
        </x14:conditionalFormatting>
        <x14:conditionalFormatting xmlns:xm="http://schemas.microsoft.com/office/excel/2006/main">
          <x14:cfRule type="dataBar" id="{2C4712CE-0E11-41AA-B548-2D410B5E1913}">
            <x14:dataBar minLength="0" maxLength="100" gradient="0">
              <x14:cfvo type="autoMin"/>
              <x14:cfvo type="autoMax"/>
              <x14:negativeFillColor rgb="FFFF0000"/>
              <x14:axisColor rgb="FF000000"/>
            </x14:dataBar>
          </x14:cfRule>
          <xm:sqref>BD10</xm:sqref>
        </x14:conditionalFormatting>
        <x14:conditionalFormatting xmlns:xm="http://schemas.microsoft.com/office/excel/2006/main">
          <x14:cfRule type="dataBar" id="{0319CB68-8C4D-42C8-8F48-916FCC0C660E}">
            <x14:dataBar minLength="0" maxLength="100" gradient="0">
              <x14:cfvo type="autoMin"/>
              <x14:cfvo type="autoMax"/>
              <x14:negativeFillColor rgb="FFFF0000"/>
              <x14:axisColor rgb="FF000000"/>
            </x14:dataBar>
          </x14:cfRule>
          <xm:sqref>BX10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workbookViewId="0">
      <selection activeCell="H10" sqref="H10"/>
    </sheetView>
  </sheetViews>
  <sheetFormatPr defaultRowHeight="14.4" x14ac:dyDescent="0.3"/>
  <cols>
    <col min="1" max="1" width="22" customWidth="1"/>
    <col min="2" max="2" width="18" customWidth="1"/>
    <col min="3" max="3" width="12" customWidth="1"/>
    <col min="4" max="4" width="22" customWidth="1"/>
  </cols>
  <sheetData>
    <row r="1" spans="1:4" ht="15.6" x14ac:dyDescent="0.3">
      <c r="A1" s="43" t="s">
        <v>2861</v>
      </c>
      <c r="B1" s="44"/>
      <c r="C1" s="44"/>
      <c r="D1" s="45"/>
    </row>
    <row r="2" spans="1:4" x14ac:dyDescent="0.3">
      <c r="A2" s="4" t="s">
        <v>2862</v>
      </c>
      <c r="B2" s="4" t="s">
        <v>2863</v>
      </c>
      <c r="C2" s="4" t="s">
        <v>2864</v>
      </c>
      <c r="D2" s="4" t="s">
        <v>2865</v>
      </c>
    </row>
    <row r="3" spans="1:4" x14ac:dyDescent="0.3">
      <c r="A3" s="5" t="s">
        <v>2866</v>
      </c>
      <c r="B3" s="5" t="s">
        <v>2867</v>
      </c>
      <c r="C3" s="5" t="s">
        <v>2868</v>
      </c>
      <c r="D3" s="5" t="s">
        <v>2869</v>
      </c>
    </row>
    <row r="4" spans="1:4" x14ac:dyDescent="0.3">
      <c r="A4" s="6" t="s">
        <v>2870</v>
      </c>
      <c r="B4" s="6" t="s">
        <v>2871</v>
      </c>
      <c r="C4" s="6" t="s">
        <v>2872</v>
      </c>
      <c r="D4" s="6" t="s">
        <v>2873</v>
      </c>
    </row>
    <row r="5" spans="1:4" x14ac:dyDescent="0.3">
      <c r="A5" s="5" t="s">
        <v>2874</v>
      </c>
      <c r="B5" s="5" t="s">
        <v>2875</v>
      </c>
      <c r="C5" s="5" t="s">
        <v>2876</v>
      </c>
      <c r="D5" s="5" t="s">
        <v>2877</v>
      </c>
    </row>
    <row r="6" spans="1:4" x14ac:dyDescent="0.3">
      <c r="A6" s="6" t="s">
        <v>2878</v>
      </c>
      <c r="B6" s="6" t="s">
        <v>2879</v>
      </c>
      <c r="C6" s="6" t="s">
        <v>2880</v>
      </c>
      <c r="D6" s="6" t="s">
        <v>2881</v>
      </c>
    </row>
    <row r="7" spans="1:4" x14ac:dyDescent="0.3">
      <c r="A7" s="5" t="s">
        <v>2882</v>
      </c>
      <c r="B7" s="5" t="s">
        <v>2883</v>
      </c>
      <c r="C7" s="5" t="s">
        <v>2884</v>
      </c>
      <c r="D7" s="5" t="s">
        <v>2885</v>
      </c>
    </row>
    <row r="10" spans="1:4" ht="15.6" x14ac:dyDescent="0.3">
      <c r="A10" s="46" t="s">
        <v>2886</v>
      </c>
      <c r="B10" s="44"/>
      <c r="C10" s="44"/>
      <c r="D10" s="45"/>
    </row>
    <row r="11" spans="1:4" x14ac:dyDescent="0.3">
      <c r="A11" s="7" t="s">
        <v>2887</v>
      </c>
      <c r="B11" s="7" t="s">
        <v>2888</v>
      </c>
      <c r="C11" s="7" t="s">
        <v>14</v>
      </c>
      <c r="D11" s="7" t="s">
        <v>2889</v>
      </c>
    </row>
    <row r="12" spans="1:4" x14ac:dyDescent="0.3">
      <c r="A12" s="8" t="s">
        <v>26</v>
      </c>
      <c r="B12" s="8" t="s">
        <v>2890</v>
      </c>
      <c r="C12" s="8" t="s">
        <v>25</v>
      </c>
      <c r="D12" s="8" t="s">
        <v>2891</v>
      </c>
    </row>
    <row r="13" spans="1:4" x14ac:dyDescent="0.3">
      <c r="A13" s="5" t="s">
        <v>34</v>
      </c>
      <c r="B13" s="5" t="s">
        <v>2892</v>
      </c>
      <c r="C13" s="5" t="s">
        <v>25</v>
      </c>
      <c r="D13" s="5" t="s">
        <v>2893</v>
      </c>
    </row>
    <row r="14" spans="1:4" x14ac:dyDescent="0.3">
      <c r="A14" s="8" t="s">
        <v>151</v>
      </c>
      <c r="B14" s="8" t="s">
        <v>2894</v>
      </c>
      <c r="C14" s="8" t="s">
        <v>25</v>
      </c>
      <c r="D14" s="8" t="s">
        <v>2895</v>
      </c>
    </row>
    <row r="15" spans="1:4" x14ac:dyDescent="0.3">
      <c r="A15" s="5" t="s">
        <v>41</v>
      </c>
      <c r="B15" s="5" t="s">
        <v>2896</v>
      </c>
      <c r="C15" s="5" t="s">
        <v>25</v>
      </c>
      <c r="D15" s="5" t="s">
        <v>2897</v>
      </c>
    </row>
    <row r="16" spans="1:4" x14ac:dyDescent="0.3">
      <c r="A16" s="8" t="s">
        <v>123</v>
      </c>
      <c r="B16" s="8" t="s">
        <v>2898</v>
      </c>
      <c r="C16" s="8" t="s">
        <v>25</v>
      </c>
      <c r="D16" s="8" t="s">
        <v>2899</v>
      </c>
    </row>
    <row r="17" spans="1:4" x14ac:dyDescent="0.3">
      <c r="A17" s="5" t="s">
        <v>114</v>
      </c>
      <c r="B17" s="5" t="s">
        <v>2900</v>
      </c>
      <c r="C17" s="5" t="s">
        <v>105</v>
      </c>
      <c r="D17" s="5" t="s">
        <v>2901</v>
      </c>
    </row>
    <row r="18" spans="1:4" x14ac:dyDescent="0.3">
      <c r="A18" s="8" t="s">
        <v>159</v>
      </c>
      <c r="B18" s="8" t="s">
        <v>2902</v>
      </c>
      <c r="C18" s="8" t="s">
        <v>105</v>
      </c>
      <c r="D18" s="8" t="s">
        <v>515</v>
      </c>
    </row>
    <row r="19" spans="1:4" x14ac:dyDescent="0.3">
      <c r="A19" s="5" t="s">
        <v>130</v>
      </c>
      <c r="B19" s="5" t="s">
        <v>2898</v>
      </c>
      <c r="C19" s="5" t="s">
        <v>105</v>
      </c>
      <c r="D19" s="5" t="s">
        <v>2903</v>
      </c>
    </row>
    <row r="20" spans="1:4" x14ac:dyDescent="0.3">
      <c r="A20" s="8" t="s">
        <v>118</v>
      </c>
      <c r="B20" s="8" t="s">
        <v>2904</v>
      </c>
      <c r="C20" s="8" t="s">
        <v>105</v>
      </c>
      <c r="D20" s="8" t="s">
        <v>1074</v>
      </c>
    </row>
    <row r="21" spans="1:4" x14ac:dyDescent="0.3">
      <c r="A21" s="5" t="s">
        <v>106</v>
      </c>
      <c r="B21" s="5" t="s">
        <v>2905</v>
      </c>
      <c r="C21" s="5" t="s">
        <v>105</v>
      </c>
      <c r="D21" s="5" t="s">
        <v>2906</v>
      </c>
    </row>
    <row r="22" spans="1:4" x14ac:dyDescent="0.3">
      <c r="A22" s="8" t="s">
        <v>49</v>
      </c>
      <c r="B22" s="8" t="s">
        <v>2907</v>
      </c>
      <c r="C22" s="8" t="s">
        <v>48</v>
      </c>
      <c r="D22" s="8" t="s">
        <v>2908</v>
      </c>
    </row>
    <row r="23" spans="1:4" x14ac:dyDescent="0.3">
      <c r="A23" s="5" t="s">
        <v>86</v>
      </c>
      <c r="B23" s="5" t="s">
        <v>2909</v>
      </c>
      <c r="C23" s="5" t="s">
        <v>48</v>
      </c>
      <c r="D23" s="5" t="s">
        <v>2910</v>
      </c>
    </row>
    <row r="24" spans="1:4" x14ac:dyDescent="0.3">
      <c r="A24" s="8" t="s">
        <v>199</v>
      </c>
      <c r="B24" s="8" t="s">
        <v>2911</v>
      </c>
      <c r="C24" s="8" t="s">
        <v>48</v>
      </c>
      <c r="D24" s="8" t="s">
        <v>2912</v>
      </c>
    </row>
    <row r="25" spans="1:4" x14ac:dyDescent="0.3">
      <c r="A25" s="5" t="s">
        <v>80</v>
      </c>
      <c r="B25" s="5" t="s">
        <v>2913</v>
      </c>
      <c r="C25" s="5" t="s">
        <v>48</v>
      </c>
      <c r="D25" s="5" t="s">
        <v>634</v>
      </c>
    </row>
    <row r="26" spans="1:4" x14ac:dyDescent="0.3">
      <c r="A26" s="8" t="s">
        <v>375</v>
      </c>
      <c r="B26" s="8" t="s">
        <v>2914</v>
      </c>
      <c r="C26" s="8" t="s">
        <v>48</v>
      </c>
      <c r="D26" s="8" t="s">
        <v>2915</v>
      </c>
    </row>
    <row r="27" spans="1:4" x14ac:dyDescent="0.3">
      <c r="A27" s="5" t="s">
        <v>172</v>
      </c>
      <c r="B27" s="5" t="s">
        <v>2916</v>
      </c>
      <c r="C27" s="5" t="s">
        <v>60</v>
      </c>
      <c r="D27" s="5" t="s">
        <v>2917</v>
      </c>
    </row>
    <row r="28" spans="1:4" x14ac:dyDescent="0.3">
      <c r="A28" s="8" t="s">
        <v>192</v>
      </c>
      <c r="B28" s="8" t="s">
        <v>2918</v>
      </c>
      <c r="C28" s="8" t="s">
        <v>60</v>
      </c>
      <c r="D28" s="8" t="s">
        <v>2919</v>
      </c>
    </row>
    <row r="29" spans="1:4" x14ac:dyDescent="0.3">
      <c r="A29" s="5" t="s">
        <v>61</v>
      </c>
      <c r="B29" s="5" t="s">
        <v>2920</v>
      </c>
      <c r="C29" s="5" t="s">
        <v>60</v>
      </c>
      <c r="D29" s="5" t="s">
        <v>2921</v>
      </c>
    </row>
    <row r="30" spans="1:4" x14ac:dyDescent="0.3">
      <c r="A30" s="8" t="s">
        <v>76</v>
      </c>
      <c r="B30" s="8" t="s">
        <v>2922</v>
      </c>
      <c r="C30" s="8" t="s">
        <v>60</v>
      </c>
      <c r="D30" s="8" t="s">
        <v>2923</v>
      </c>
    </row>
    <row r="31" spans="1:4" x14ac:dyDescent="0.3">
      <c r="A31" s="5" t="s">
        <v>69</v>
      </c>
      <c r="B31" s="5" t="s">
        <v>2924</v>
      </c>
      <c r="C31" s="5" t="s">
        <v>60</v>
      </c>
      <c r="D31" s="5" t="s">
        <v>2925</v>
      </c>
    </row>
    <row r="32" spans="1:4" x14ac:dyDescent="0.3">
      <c r="A32" s="8" t="s">
        <v>304</v>
      </c>
      <c r="B32" s="8" t="s">
        <v>2926</v>
      </c>
      <c r="C32" s="8" t="s">
        <v>54</v>
      </c>
      <c r="D32" s="8" t="s">
        <v>1090</v>
      </c>
    </row>
    <row r="33" spans="1:4" x14ac:dyDescent="0.3">
      <c r="A33" s="5" t="s">
        <v>55</v>
      </c>
      <c r="B33" s="5" t="s">
        <v>2927</v>
      </c>
      <c r="C33" s="5" t="s">
        <v>54</v>
      </c>
      <c r="D33" s="5" t="s">
        <v>2928</v>
      </c>
    </row>
    <row r="34" spans="1:4" x14ac:dyDescent="0.3">
      <c r="A34" s="8" t="s">
        <v>183</v>
      </c>
      <c r="B34" s="8" t="s">
        <v>2929</v>
      </c>
      <c r="C34" s="8" t="s">
        <v>54</v>
      </c>
      <c r="D34" s="8" t="s">
        <v>2789</v>
      </c>
    </row>
    <row r="35" spans="1:4" x14ac:dyDescent="0.3">
      <c r="A35" s="5" t="s">
        <v>164</v>
      </c>
      <c r="B35" s="5" t="s">
        <v>2930</v>
      </c>
      <c r="C35" s="5" t="s">
        <v>54</v>
      </c>
      <c r="D35" s="5" t="s">
        <v>2931</v>
      </c>
    </row>
    <row r="36" spans="1:4" x14ac:dyDescent="0.3">
      <c r="A36" s="8" t="s">
        <v>99</v>
      </c>
      <c r="B36" s="8" t="s">
        <v>2932</v>
      </c>
      <c r="C36" s="8" t="s">
        <v>54</v>
      </c>
      <c r="D36" s="8" t="s">
        <v>2933</v>
      </c>
    </row>
  </sheetData>
  <mergeCells count="2">
    <mergeCell ref="A1:D1"/>
    <mergeCell ref="A10:D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01"/>
  <sheetViews>
    <sheetView workbookViewId="0">
      <selection activeCell="J2" sqref="J2"/>
    </sheetView>
  </sheetViews>
  <sheetFormatPr defaultRowHeight="14.4" x14ac:dyDescent="0.3"/>
  <cols>
    <col min="1" max="1" width="60" customWidth="1"/>
    <col min="2" max="2" width="17.6640625" customWidth="1"/>
    <col min="3" max="3" width="19.6640625" customWidth="1"/>
    <col min="4" max="4" width="14.5546875" customWidth="1"/>
    <col min="5" max="5" width="13.5546875" customWidth="1"/>
    <col min="6" max="6" width="10.44140625" customWidth="1"/>
    <col min="7" max="7" width="12.33203125" bestFit="1" customWidth="1"/>
    <col min="8" max="8" width="14.21875" customWidth="1"/>
    <col min="9" max="9" width="11" customWidth="1"/>
    <col min="10" max="10" width="16.77734375" customWidth="1"/>
  </cols>
  <sheetData>
    <row r="1" spans="1:12" ht="18" x14ac:dyDescent="0.35">
      <c r="A1" s="9" t="s">
        <v>2934</v>
      </c>
      <c r="B1" s="25" t="s">
        <v>2953</v>
      </c>
      <c r="C1" s="25" t="s">
        <v>2954</v>
      </c>
      <c r="D1" s="25" t="s">
        <v>2955</v>
      </c>
      <c r="E1" s="25" t="s">
        <v>2958</v>
      </c>
      <c r="F1" s="32" t="s">
        <v>2956</v>
      </c>
      <c r="G1" s="25" t="s">
        <v>2959</v>
      </c>
      <c r="H1" s="25" t="s">
        <v>2863</v>
      </c>
      <c r="I1" s="25" t="s">
        <v>2864</v>
      </c>
      <c r="J1" s="26" t="s">
        <v>2957</v>
      </c>
    </row>
    <row r="2" spans="1:12" ht="15.6" x14ac:dyDescent="0.3">
      <c r="B2" s="15">
        <f>DATEDIF(Loan_Data!K:K,Loan_Data!L:L,"D")</f>
        <v>5</v>
      </c>
      <c r="C2" s="15">
        <f ca="1">DATEDIF(LoanData[[#This Row],[Approval_Date]],TODAY(),"M")</f>
        <v>45</v>
      </c>
      <c r="D2" s="31">
        <f>EDATE(LoanData[[#This Row],[Approval_Date]],LoanData[[#This Row],[Loan_Term_Months]])</f>
        <v>46325</v>
      </c>
      <c r="E2" t="str">
        <f t="shared" ref="E2:E65" ca="1" si="0">IF(D2&lt;TODAY(),"YES","NO")</f>
        <v>NO</v>
      </c>
      <c r="F2" s="33">
        <f>IFERROR(LoanData[[#This Row],[EMI]]/LoanData[[#This Row],[Monthly_Income]]*100," ")</f>
        <v>400.24560509554135</v>
      </c>
      <c r="G2" t="str" cm="1">
        <f t="array" ref="G2">_xlfn.IFS(F2&gt;40, "High DTI Risk",F2&gt;=25, "Moderate DTI",F2&lt;25, "Low DTI")</f>
        <v>High DTI Risk</v>
      </c>
      <c r="H2" t="str" cm="1">
        <f t="array" ref="H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 t="str">
        <f>_xlfn.XLOOKUP(H2,Reference_Tables!$B$2:$B$7,Reference_Tables!$C$2:$C$7,,0,1)</f>
        <v>VHR</v>
      </c>
      <c r="J2" t="str">
        <f>INDEX(Reference_Tables!$D$11:$D$36,MATCH(LoanData[[#This Row],[Branch]],Reference_Tables!$A$11:$A$36,0))</f>
        <v>Meena Iyer</v>
      </c>
      <c r="L2" s="35"/>
    </row>
    <row r="3" spans="1:12" ht="15.6" x14ac:dyDescent="0.3">
      <c r="A3" s="10" t="s">
        <v>2935</v>
      </c>
      <c r="B3" s="15">
        <f>DATEDIF(Loan_Data!K:K,Loan_Data!L:L,"D")</f>
        <v>18</v>
      </c>
      <c r="C3" s="15">
        <f ca="1">DATEDIF(LoanData[[#This Row],[Approval_Date]],TODAY(),"M")</f>
        <v>58</v>
      </c>
      <c r="D3" s="31">
        <f>EDATE(LoanData[[#This Row],[Approval_Date]],LoanData[[#This Row],[Loan_Term_Months]])</f>
        <v>44850</v>
      </c>
      <c r="E3" t="str">
        <f t="shared" ca="1" si="0"/>
        <v>YES</v>
      </c>
      <c r="F3" s="33">
        <f>IFERROR(LoanData[[#This Row],[EMI]]/LoanData[[#This Row],[Monthly_Income]]*100," ")</f>
        <v>103.71806049568903</v>
      </c>
      <c r="G3" t="str" cm="1">
        <f t="array" ref="G3">_xlfn.IFS(F3&gt;40, "High DTI Risk",F3&gt;=25, "Moderate DTI",F3&lt;25, "Low DTI")</f>
        <v>High DTI Risk</v>
      </c>
      <c r="H3" t="str" cm="1">
        <f t="array" ref="H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 t="str">
        <f>_xlfn.XLOOKUP(H3,Reference_Tables!$B$2:$B$7,Reference_Tables!$C$2:$C$7,,0,1)</f>
        <v>LR</v>
      </c>
      <c r="J3" t="str">
        <f>INDEX(Reference_Tables!$D$11:$D$36,MATCH(LoanData[[#This Row],[Branch]],Reference_Tables!$A$11:$A$36,0))</f>
        <v>Ravi Verma</v>
      </c>
      <c r="L3" s="35"/>
    </row>
    <row r="4" spans="1:12" ht="15.6" x14ac:dyDescent="0.3">
      <c r="B4" s="15">
        <f>DATEDIF(Loan_Data!K:K,Loan_Data!L:L,"D")</f>
        <v>30</v>
      </c>
      <c r="C4" s="15">
        <f ca="1">DATEDIF(LoanData[[#This Row],[Approval_Date]],TODAY(),"M")</f>
        <v>63</v>
      </c>
      <c r="D4" s="31">
        <f>EDATE(LoanData[[#This Row],[Approval_Date]],LoanData[[#This Row],[Loan_Term_Months]])</f>
        <v>46143</v>
      </c>
      <c r="E4" t="str">
        <f t="shared" ca="1" si="0"/>
        <v>YES</v>
      </c>
      <c r="F4" s="33">
        <f>IFERROR(LoanData[[#This Row],[EMI]]/LoanData[[#This Row],[Monthly_Income]]*100," ")</f>
        <v>59.306930257132798</v>
      </c>
      <c r="G4" t="str" cm="1">
        <f t="array" ref="G4">_xlfn.IFS(F4&gt;40, "High DTI Risk",F4&gt;=25, "Moderate DTI",F4&lt;25, "Low DTI")</f>
        <v>High DTI Risk</v>
      </c>
      <c r="H4" t="str" cm="1">
        <f t="array" ref="H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 t="str">
        <f>_xlfn.XLOOKUP(H4,Reference_Tables!$B$2:$B$7,Reference_Tables!$C$2:$C$7,,0,1)</f>
        <v>VHR</v>
      </c>
      <c r="J4" t="str">
        <f>INDEX(Reference_Tables!$D$11:$D$36,MATCH(LoanData[[#This Row],[Branch]],Reference_Tables!$A$11:$A$36,0))</f>
        <v>Lakshmi Reddy</v>
      </c>
      <c r="L4" s="35"/>
    </row>
    <row r="5" spans="1:12" ht="15.6" x14ac:dyDescent="0.3">
      <c r="B5" s="15">
        <f>DATEDIF(Loan_Data!K:K,Loan_Data!L:L,"D")</f>
        <v>25</v>
      </c>
      <c r="C5" s="15">
        <f ca="1">DATEDIF(LoanData[[#This Row],[Approval_Date]],TODAY(),"M")</f>
        <v>32</v>
      </c>
      <c r="D5" s="31">
        <f>EDATE(LoanData[[#This Row],[Approval_Date]],LoanData[[#This Row],[Loan_Term_Months]])</f>
        <v>48926</v>
      </c>
      <c r="E5" t="str">
        <f t="shared" ca="1" si="0"/>
        <v>NO</v>
      </c>
      <c r="F5" s="33">
        <f>IFERROR(LoanData[[#This Row],[EMI]]/LoanData[[#This Row],[Monthly_Income]]*100," ")</f>
        <v>27.00613054087027</v>
      </c>
      <c r="G5" t="str" cm="1">
        <f t="array" ref="G5">_xlfn.IFS(F5&gt;40, "High DTI Risk",F5&gt;=25, "Moderate DTI",F5&lt;25, "Low DTI")</f>
        <v>Moderate DTI</v>
      </c>
      <c r="H5" t="str" cm="1">
        <f t="array" ref="H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 t="str">
        <f>_xlfn.XLOOKUP(H5,Reference_Tables!$B$2:$B$7,Reference_Tables!$C$2:$C$7,,0,1)</f>
        <v>LR</v>
      </c>
      <c r="J5" t="str">
        <f>INDEX(Reference_Tables!$D$11:$D$36,MATCH(LoanData[[#This Row],[Branch]],Reference_Tables!$A$11:$A$36,0))</f>
        <v>Suman Tiwari</v>
      </c>
      <c r="L5" s="35"/>
    </row>
    <row r="6" spans="1:12" ht="15.6" x14ac:dyDescent="0.3">
      <c r="B6" s="15">
        <f>DATEDIF(Loan_Data!K:K,Loan_Data!L:L,"D")</f>
        <v>8</v>
      </c>
      <c r="C6" s="15">
        <f ca="1">DATEDIF(LoanData[[#This Row],[Approval_Date]],TODAY(),"M")</f>
        <v>35</v>
      </c>
      <c r="D6" s="31">
        <f>EDATE(LoanData[[#This Row],[Approval_Date]],LoanData[[#This Row],[Loan_Term_Months]])</f>
        <v>47002</v>
      </c>
      <c r="E6" t="str">
        <f t="shared" ca="1" si="0"/>
        <v>NO</v>
      </c>
      <c r="F6" s="33">
        <f>IFERROR(LoanData[[#This Row],[EMI]]/LoanData[[#This Row],[Monthly_Income]]*100," ")</f>
        <v>53.810250829870952</v>
      </c>
      <c r="G6" t="str" cm="1">
        <f t="array" ref="G6">_xlfn.IFS(F6&gt;40, "High DTI Risk",F6&gt;=25, "Moderate DTI",F6&lt;25, "Low DTI")</f>
        <v>High DTI Risk</v>
      </c>
      <c r="H6" t="str" cm="1">
        <f t="array" ref="H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 t="str">
        <f>_xlfn.XLOOKUP(H6,Reference_Tables!$B$2:$B$7,Reference_Tables!$C$2:$C$7,,0,1)</f>
        <v>MR</v>
      </c>
      <c r="J6" t="str">
        <f>INDEX(Reference_Tables!$D$11:$D$36,MATCH(LoanData[[#This Row],[Branch]],Reference_Tables!$A$11:$A$36,0))</f>
        <v>Hetal Patel</v>
      </c>
      <c r="L6" s="35"/>
    </row>
    <row r="7" spans="1:12" ht="15.6" x14ac:dyDescent="0.3">
      <c r="B7" s="15">
        <f>DATEDIF(Loan_Data!K:K,Loan_Data!L:L,"D")</f>
        <v>26</v>
      </c>
      <c r="C7" s="15">
        <f ca="1">DATEDIF(LoanData[[#This Row],[Approval_Date]],TODAY(),"M")</f>
        <v>48</v>
      </c>
      <c r="D7" s="31">
        <f>EDATE(LoanData[[#This Row],[Approval_Date]],LoanData[[#This Row],[Loan_Term_Months]])</f>
        <v>45862</v>
      </c>
      <c r="E7" t="str">
        <f t="shared" ca="1" si="0"/>
        <v>YES</v>
      </c>
      <c r="F7" s="33">
        <f>IFERROR(LoanData[[#This Row],[EMI]]/LoanData[[#This Row],[Monthly_Income]]*100," ")</f>
        <v>54.676318411157887</v>
      </c>
      <c r="G7" t="str" cm="1">
        <f t="array" ref="G7">_xlfn.IFS(F7&gt;40, "High DTI Risk",F7&gt;=25, "Moderate DTI",F7&lt;25, "Low DTI")</f>
        <v>High DTI Risk</v>
      </c>
      <c r="H7" t="str" cm="1">
        <f t="array" ref="H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 t="str">
        <f>_xlfn.XLOOKUP(H7,Reference_Tables!$B$2:$B$7,Reference_Tables!$C$2:$C$7,,0,1)</f>
        <v>VHR</v>
      </c>
      <c r="J7" t="str">
        <f>INDEX(Reference_Tables!$D$11:$D$36,MATCH(LoanData[[#This Row],[Branch]],Reference_Tables!$A$11:$A$36,0))</f>
        <v>Ananya Sharma</v>
      </c>
      <c r="L7" s="35"/>
    </row>
    <row r="8" spans="1:12" ht="15.6" x14ac:dyDescent="0.3">
      <c r="B8" s="15">
        <f>DATEDIF(Loan_Data!K:K,Loan_Data!L:L,"D")</f>
        <v>21</v>
      </c>
      <c r="C8" s="15">
        <f ca="1">DATEDIF(LoanData[[#This Row],[Approval_Date]],TODAY(),"M")</f>
        <v>32</v>
      </c>
      <c r="D8" s="31">
        <f>EDATE(LoanData[[#This Row],[Approval_Date]],LoanData[[#This Row],[Loan_Term_Months]])</f>
        <v>45615</v>
      </c>
      <c r="E8" t="str">
        <f t="shared" ca="1" si="0"/>
        <v>YES</v>
      </c>
      <c r="F8" s="33">
        <f>IFERROR(LoanData[[#This Row],[EMI]]/LoanData[[#This Row],[Monthly_Income]]*100," ")</f>
        <v>99.388359155606338</v>
      </c>
      <c r="G8" t="str" cm="1">
        <f t="array" ref="G8">_xlfn.IFS(F8&gt;40, "High DTI Risk",F8&gt;=25, "Moderate DTI",F8&lt;25, "Low DTI")</f>
        <v>High DTI Risk</v>
      </c>
      <c r="H8" t="str" cm="1">
        <f t="array" ref="H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 t="str">
        <f>_xlfn.XLOOKUP(H8,Reference_Tables!$B$2:$B$7,Reference_Tables!$C$2:$C$7,,0,1)</f>
        <v>VHR</v>
      </c>
      <c r="J8" t="str">
        <f>INDEX(Reference_Tables!$D$11:$D$36,MATCH(LoanData[[#This Row],[Branch]],Reference_Tables!$A$11:$A$36,0))</f>
        <v>Sachin Deshpande</v>
      </c>
      <c r="L8" s="35"/>
    </row>
    <row r="9" spans="1:12" x14ac:dyDescent="0.3">
      <c r="B9" s="15">
        <f>DATEDIF(Loan_Data!K:K,Loan_Data!L:L,"D")</f>
        <v>11</v>
      </c>
      <c r="C9" s="15">
        <f ca="1">DATEDIF(LoanData[[#This Row],[Approval_Date]],TODAY(),"M")</f>
        <v>51</v>
      </c>
      <c r="D9" s="31">
        <f>EDATE(LoanData[[#This Row],[Approval_Date]],LoanData[[#This Row],[Loan_Term_Months]])</f>
        <v>45794</v>
      </c>
      <c r="E9" t="str">
        <f t="shared" ca="1" si="0"/>
        <v>YES</v>
      </c>
      <c r="F9" s="33">
        <f>IFERROR(LoanData[[#This Row],[EMI]]/LoanData[[#This Row],[Monthly_Income]]*100," ")</f>
        <v>76.483315490968735</v>
      </c>
      <c r="G9" t="str" cm="1">
        <f t="array" ref="G9">_xlfn.IFS(F9&gt;40, "High DTI Risk",F9&gt;=25, "Moderate DTI",F9&lt;25, "Low DTI")</f>
        <v>High DTI Risk</v>
      </c>
      <c r="H9" t="str" cm="1">
        <f t="array" ref="H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 t="str">
        <f>_xlfn.XLOOKUP(H9,Reference_Tables!$B$2:$B$7,Reference_Tables!$C$2:$C$7,,0,1)</f>
        <v>HR</v>
      </c>
      <c r="J9" t="str">
        <f>INDEX(Reference_Tables!$D$11:$D$36,MATCH(LoanData[[#This Row],[Branch]],Reference_Tables!$A$11:$A$36,0))</f>
        <v>Deepak Nair</v>
      </c>
    </row>
    <row r="10" spans="1:12" x14ac:dyDescent="0.3">
      <c r="B10" s="15">
        <f>DATEDIF(Loan_Data!K:K,Loan_Data!L:L,"D")</f>
        <v>7</v>
      </c>
      <c r="C10" s="15">
        <f ca="1">DATEDIF(LoanData[[#This Row],[Approval_Date]],TODAY(),"M")</f>
        <v>35</v>
      </c>
      <c r="D10" s="31">
        <f>EDATE(LoanData[[#This Row],[Approval_Date]],LoanData[[#This Row],[Loan_Term_Months]])</f>
        <v>47007</v>
      </c>
      <c r="E10" t="str">
        <f t="shared" ca="1" si="0"/>
        <v>NO</v>
      </c>
      <c r="F10" s="33">
        <f>IFERROR(LoanData[[#This Row],[EMI]]/LoanData[[#This Row],[Monthly_Income]]*100," ")</f>
        <v>223.78085699913112</v>
      </c>
      <c r="G10" t="str" cm="1">
        <f t="array" ref="G10">_xlfn.IFS(F10&gt;40, "High DTI Risk",F10&gt;=25, "Moderate DTI",F10&lt;25, "Low DTI")</f>
        <v>High DTI Risk</v>
      </c>
      <c r="H10" t="str" cm="1">
        <f t="array" ref="H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 t="str">
        <f>_xlfn.XLOOKUP(H10,Reference_Tables!$B$2:$B$7,Reference_Tables!$C$2:$C$7,,0,1)</f>
        <v>VHR</v>
      </c>
      <c r="J10" t="str">
        <f>INDEX(Reference_Tables!$D$11:$D$36,MATCH(LoanData[[#This Row],[Branch]],Reference_Tables!$A$11:$A$36,0))</f>
        <v>Santhosh Rao</v>
      </c>
    </row>
    <row r="11" spans="1:12" x14ac:dyDescent="0.3">
      <c r="B11" s="15">
        <f>DATEDIF(Loan_Data!K:K,Loan_Data!L:L,"D")</f>
        <v>8</v>
      </c>
      <c r="C11" s="15">
        <f ca="1">DATEDIF(LoanData[[#This Row],[Approval_Date]],TODAY(),"M")</f>
        <v>33</v>
      </c>
      <c r="D11" s="31">
        <f>EDATE(LoanData[[#This Row],[Approval_Date]],LoanData[[#This Row],[Loan_Term_Months]])</f>
        <v>48873</v>
      </c>
      <c r="E11" t="str">
        <f t="shared" ca="1" si="0"/>
        <v>NO</v>
      </c>
      <c r="F11" s="33">
        <f>IFERROR(LoanData[[#This Row],[EMI]]/LoanData[[#This Row],[Monthly_Income]]*100," ")</f>
        <v>14.528234627813747</v>
      </c>
      <c r="G11" t="str" cm="1">
        <f t="array" ref="G11">_xlfn.IFS(F11&gt;40, "High DTI Risk",F11&gt;=25, "Moderate DTI",F11&lt;25, "Low DTI")</f>
        <v>Low DTI</v>
      </c>
      <c r="H11" t="str" cm="1">
        <f t="array" ref="H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 t="str">
        <f>_xlfn.XLOOKUP(H11,Reference_Tables!$B$2:$B$7,Reference_Tables!$C$2:$C$7,,0,1)</f>
        <v>MR</v>
      </c>
      <c r="J11" t="str">
        <f>INDEX(Reference_Tables!$D$11:$D$36,MATCH(LoanData[[#This Row],[Branch]],Reference_Tables!$A$11:$A$36,0))</f>
        <v>Puja Chatterjee</v>
      </c>
    </row>
    <row r="12" spans="1:12" ht="15.6" x14ac:dyDescent="0.3">
      <c r="B12" s="15">
        <f>DATEDIF(Loan_Data!K:K,Loan_Data!L:L,"D")</f>
        <v>16</v>
      </c>
      <c r="C12" s="15">
        <f ca="1">DATEDIF(LoanData[[#This Row],[Approval_Date]],TODAY(),"M")</f>
        <v>47</v>
      </c>
      <c r="D12" s="31">
        <f>EDATE(LoanData[[#This Row],[Approval_Date]],LoanData[[#This Row],[Loan_Term_Months]])</f>
        <v>45890</v>
      </c>
      <c r="E12" t="str">
        <f t="shared" ca="1" si="0"/>
        <v>YES</v>
      </c>
      <c r="F12" s="33">
        <f>IFERROR(LoanData[[#This Row],[EMI]]/LoanData[[#This Row],[Monthly_Income]]*100," ")</f>
        <v>54.950633802816895</v>
      </c>
      <c r="G12" t="str" cm="1">
        <f t="array" ref="G12">_xlfn.IFS(F12&gt;40, "High DTI Risk",F12&gt;=25, "Moderate DTI",F12&lt;25, "Low DTI")</f>
        <v>High DTI Risk</v>
      </c>
      <c r="H12" t="str" cm="1">
        <f t="array" ref="H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2" t="str">
        <f>_xlfn.XLOOKUP(H12,Reference_Tables!$B$2:$B$7,Reference_Tables!$C$2:$C$7,,0,1)</f>
        <v>VHR</v>
      </c>
      <c r="J12" t="str">
        <f>INDEX(Reference_Tables!$D$11:$D$36,MATCH(LoanData[[#This Row],[Branch]],Reference_Tables!$A$11:$A$36,0))</f>
        <v>Ananya Sharma</v>
      </c>
      <c r="L12" s="35"/>
    </row>
    <row r="13" spans="1:12" ht="15.6" x14ac:dyDescent="0.3">
      <c r="B13" s="15">
        <f>DATEDIF(Loan_Data!K:K,Loan_Data!L:L,"D")</f>
        <v>29</v>
      </c>
      <c r="C13" s="15">
        <f ca="1">DATEDIF(LoanData[[#This Row],[Approval_Date]],TODAY(),"M")</f>
        <v>37</v>
      </c>
      <c r="D13" s="31">
        <f>EDATE(LoanData[[#This Row],[Approval_Date]],LoanData[[#This Row],[Loan_Term_Months]])</f>
        <v>50591</v>
      </c>
      <c r="E13" t="str">
        <f t="shared" ca="1" si="0"/>
        <v>NO</v>
      </c>
      <c r="F13" s="33">
        <f>IFERROR(LoanData[[#This Row],[EMI]]/LoanData[[#This Row],[Monthly_Income]]*100," ")</f>
        <v>56.679013128686492</v>
      </c>
      <c r="G13" t="str" cm="1">
        <f t="array" ref="G13">_xlfn.IFS(F13&gt;40, "High DTI Risk",F13&gt;=25, "Moderate DTI",F13&lt;25, "Low DTI")</f>
        <v>High DTI Risk</v>
      </c>
      <c r="H13" t="str" cm="1">
        <f t="array" ref="H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3" t="str">
        <f>_xlfn.XLOOKUP(H13,Reference_Tables!$B$2:$B$7,Reference_Tables!$C$2:$C$7,,0,1)</f>
        <v>LR</v>
      </c>
      <c r="J13" t="str">
        <f>INDEX(Reference_Tables!$D$11:$D$36,MATCH(LoanData[[#This Row],[Branch]],Reference_Tables!$A$11:$A$36,0))</f>
        <v>Deepak Nair</v>
      </c>
      <c r="L13" s="35"/>
    </row>
    <row r="14" spans="1:12" ht="15.6" x14ac:dyDescent="0.3">
      <c r="B14" s="15">
        <f>DATEDIF(Loan_Data!K:K,Loan_Data!L:L,"D")</f>
        <v>8</v>
      </c>
      <c r="C14" s="15">
        <f ca="1">DATEDIF(LoanData[[#This Row],[Approval_Date]],TODAY(),"M")</f>
        <v>42</v>
      </c>
      <c r="D14" s="31">
        <f>EDATE(LoanData[[#This Row],[Approval_Date]],LoanData[[#This Row],[Loan_Term_Months]])</f>
        <v>45338</v>
      </c>
      <c r="E14" t="str">
        <f t="shared" ca="1" si="0"/>
        <v>YES</v>
      </c>
      <c r="F14" s="33">
        <f>IFERROR(LoanData[[#This Row],[EMI]]/LoanData[[#This Row],[Monthly_Income]]*100," ")</f>
        <v>517.13714235767145</v>
      </c>
      <c r="G14" t="str" cm="1">
        <f t="array" ref="G14">_xlfn.IFS(F14&gt;40, "High DTI Risk",F14&gt;=25, "Moderate DTI",F14&lt;25, "Low DTI")</f>
        <v>High DTI Risk</v>
      </c>
      <c r="H14" t="str" cm="1">
        <f t="array" ref="H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4" t="str">
        <f>_xlfn.XLOOKUP(H14,Reference_Tables!$B$2:$B$7,Reference_Tables!$C$2:$C$7,,0,1)</f>
        <v>HR</v>
      </c>
      <c r="J14" t="str">
        <f>INDEX(Reference_Tables!$D$11:$D$36,MATCH(LoanData[[#This Row],[Branch]],Reference_Tables!$A$11:$A$36,0))</f>
        <v>Ananya Sharma</v>
      </c>
      <c r="L14" s="35"/>
    </row>
    <row r="15" spans="1:12" ht="15.6" x14ac:dyDescent="0.3">
      <c r="B15" s="15">
        <f>DATEDIF(Loan_Data!K:K,Loan_Data!L:L,"D")</f>
        <v>3</v>
      </c>
      <c r="C15" s="15">
        <f ca="1">DATEDIF(LoanData[[#This Row],[Approval_Date]],TODAY(),"M")</f>
        <v>53</v>
      </c>
      <c r="D15" s="31">
        <f>EDATE(LoanData[[#This Row],[Approval_Date]],LoanData[[#This Row],[Loan_Term_Months]])</f>
        <v>44980</v>
      </c>
      <c r="E15" t="str">
        <f t="shared" ca="1" si="0"/>
        <v>YES</v>
      </c>
      <c r="F15" s="33">
        <f>IFERROR(LoanData[[#This Row],[EMI]]/LoanData[[#This Row],[Monthly_Income]]*100," ")</f>
        <v>289.52178128231645</v>
      </c>
      <c r="G15" t="str" cm="1">
        <f t="array" ref="G15">_xlfn.IFS(F15&gt;40, "High DTI Risk",F15&gt;=25, "Moderate DTI",F15&lt;25, "Low DTI")</f>
        <v>High DTI Risk</v>
      </c>
      <c r="H15" t="str" cm="1">
        <f t="array" ref="H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5" t="str">
        <f>_xlfn.XLOOKUP(H15,Reference_Tables!$B$2:$B$7,Reference_Tables!$C$2:$C$7,,0,1)</f>
        <v>LR</v>
      </c>
      <c r="J15" t="str">
        <f>INDEX(Reference_Tables!$D$11:$D$36,MATCH(LoanData[[#This Row],[Branch]],Reference_Tables!$A$11:$A$36,0))</f>
        <v>Puja Chatterjee</v>
      </c>
      <c r="L15" s="35"/>
    </row>
    <row r="16" spans="1:12" ht="15.6" x14ac:dyDescent="0.3">
      <c r="B16" s="15">
        <f>DATEDIF(Loan_Data!K:K,Loan_Data!L:L,"D")</f>
        <v>17</v>
      </c>
      <c r="C16" s="15">
        <f ca="1">DATEDIF(LoanData[[#This Row],[Approval_Date]],TODAY(),"M")</f>
        <v>62</v>
      </c>
      <c r="D16" s="31">
        <f>EDATE(LoanData[[#This Row],[Approval_Date]],LoanData[[#This Row],[Loan_Term_Months]])</f>
        <v>44705</v>
      </c>
      <c r="E16" t="str">
        <f t="shared" ca="1" si="0"/>
        <v>YES</v>
      </c>
      <c r="F16" s="33">
        <f>IFERROR(LoanData[[#This Row],[EMI]]/LoanData[[#This Row],[Monthly_Income]]*100," ")</f>
        <v>112.02860707379452</v>
      </c>
      <c r="G16" t="str" cm="1">
        <f t="array" ref="G16">_xlfn.IFS(F16&gt;40, "High DTI Risk",F16&gt;=25, "Moderate DTI",F16&lt;25, "Low DTI")</f>
        <v>High DTI Risk</v>
      </c>
      <c r="H16" t="str" cm="1">
        <f t="array" ref="H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6" t="str">
        <f>_xlfn.XLOOKUP(H16,Reference_Tables!$B$2:$B$7,Reference_Tables!$C$2:$C$7,,0,1)</f>
        <v>HR</v>
      </c>
      <c r="J16" t="str">
        <f>INDEX(Reference_Tables!$D$11:$D$36,MATCH(LoanData[[#This Row],[Branch]],Reference_Tables!$A$11:$A$36,0))</f>
        <v>Priya Yadav</v>
      </c>
      <c r="L16" s="35"/>
    </row>
    <row r="17" spans="2:12" ht="15.6" x14ac:dyDescent="0.3">
      <c r="B17" s="15">
        <f>DATEDIF(Loan_Data!K:K,Loan_Data!L:L,"D")</f>
        <v>15</v>
      </c>
      <c r="C17" s="15">
        <f ca="1">DATEDIF(LoanData[[#This Row],[Approval_Date]],TODAY(),"M")</f>
        <v>44</v>
      </c>
      <c r="D17" s="31">
        <f>EDATE(LoanData[[#This Row],[Approval_Date]],LoanData[[#This Row],[Loan_Term_Months]])</f>
        <v>45276</v>
      </c>
      <c r="E17" t="str">
        <f t="shared" ca="1" si="0"/>
        <v>YES</v>
      </c>
      <c r="F17" s="33">
        <f>IFERROR(LoanData[[#This Row],[EMI]]/LoanData[[#This Row],[Monthly_Income]]*100," ")</f>
        <v>208.43300999782409</v>
      </c>
      <c r="G17" t="str" cm="1">
        <f t="array" ref="G17">_xlfn.IFS(F17&gt;40, "High DTI Risk",F17&gt;=25, "Moderate DTI",F17&lt;25, "Low DTI")</f>
        <v>High DTI Risk</v>
      </c>
      <c r="H17" t="str" cm="1">
        <f t="array" ref="H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7" t="str">
        <f>_xlfn.XLOOKUP(H17,Reference_Tables!$B$2:$B$7,Reference_Tables!$C$2:$C$7,,0,1)</f>
        <v>VHR</v>
      </c>
      <c r="J17" t="str">
        <f>INDEX(Reference_Tables!$D$11:$D$36,MATCH(LoanData[[#This Row],[Branch]],Reference_Tables!$A$11:$A$36,0))</f>
        <v>Anil Mishra</v>
      </c>
      <c r="L17" s="35"/>
    </row>
    <row r="18" spans="2:12" ht="15.6" x14ac:dyDescent="0.3">
      <c r="B18" s="15">
        <f>DATEDIF(Loan_Data!K:K,Loan_Data!L:L,"D")</f>
        <v>21</v>
      </c>
      <c r="C18" s="15">
        <f ca="1">DATEDIF(LoanData[[#This Row],[Approval_Date]],TODAY(),"M")</f>
        <v>39</v>
      </c>
      <c r="D18" s="31">
        <f>EDATE(LoanData[[#This Row],[Approval_Date]],LoanData[[#This Row],[Loan_Term_Months]])</f>
        <v>46140</v>
      </c>
      <c r="E18" t="str">
        <f t="shared" ca="1" si="0"/>
        <v>YES</v>
      </c>
      <c r="F18" s="33" t="str">
        <f>IFERROR(LoanData[[#This Row],[EMI]]/LoanData[[#This Row],[Monthly_Income]]*100," ")</f>
        <v xml:space="preserve"> </v>
      </c>
      <c r="G18" t="str" cm="1">
        <f t="array" ref="G18">_xlfn.IFS(F18&gt;40, "High DTI Risk",F18&gt;=25, "Moderate DTI",F18&lt;25, "Low DTI")</f>
        <v>High DTI Risk</v>
      </c>
      <c r="H18" t="str" cm="1">
        <f t="array" ref="H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8" t="str">
        <f>_xlfn.XLOOKUP(H18,Reference_Tables!$B$2:$B$7,Reference_Tables!$C$2:$C$7,,0,1)</f>
        <v>LR</v>
      </c>
      <c r="J18" t="str">
        <f>INDEX(Reference_Tables!$D$11:$D$36,MATCH(LoanData[[#This Row],[Branch]],Reference_Tables!$A$11:$A$36,0))</f>
        <v>Priyanka Gupta</v>
      </c>
      <c r="L18" s="35"/>
    </row>
    <row r="19" spans="2:12" ht="15.6" x14ac:dyDescent="0.3">
      <c r="B19" s="15">
        <f>DATEDIF(Loan_Data!K:K,Loan_Data!L:L,"D")</f>
        <v>23</v>
      </c>
      <c r="C19" s="15">
        <f ca="1">DATEDIF(LoanData[[#This Row],[Approval_Date]],TODAY(),"M")</f>
        <v>48</v>
      </c>
      <c r="D19" s="31">
        <f>EDATE(LoanData[[#This Row],[Approval_Date]],LoanData[[#This Row],[Loan_Term_Months]])</f>
        <v>50246</v>
      </c>
      <c r="E19" t="str">
        <f t="shared" ca="1" si="0"/>
        <v>NO</v>
      </c>
      <c r="F19" s="33">
        <f>IFERROR(LoanData[[#This Row],[EMI]]/LoanData[[#This Row],[Monthly_Income]]*100," ")</f>
        <v>24.212700439903504</v>
      </c>
      <c r="G19" t="str" cm="1">
        <f t="array" ref="G19">_xlfn.IFS(F19&gt;40, "High DTI Risk",F19&gt;=25, "Moderate DTI",F19&lt;25, "Low DTI")</f>
        <v>Low DTI</v>
      </c>
      <c r="H19" t="str" cm="1">
        <f t="array" ref="H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9" t="str">
        <f>_xlfn.XLOOKUP(H19,Reference_Tables!$B$2:$B$7,Reference_Tables!$C$2:$C$7,,0,1)</f>
        <v>HR</v>
      </c>
      <c r="J19" t="str">
        <f>INDEX(Reference_Tables!$D$11:$D$36,MATCH(LoanData[[#This Row],[Branch]],Reference_Tables!$A$11:$A$36,0))</f>
        <v>Kavita Joshi</v>
      </c>
      <c r="L19" s="35"/>
    </row>
    <row r="20" spans="2:12" ht="15.6" x14ac:dyDescent="0.3">
      <c r="B20" s="15">
        <f>DATEDIF(Loan_Data!K:K,Loan_Data!L:L,"D")</f>
        <v>8</v>
      </c>
      <c r="C20" s="15">
        <f ca="1">DATEDIF(LoanData[[#This Row],[Approval_Date]],TODAY(),"M")</f>
        <v>47</v>
      </c>
      <c r="D20" s="31">
        <f>EDATE(LoanData[[#This Row],[Approval_Date]],LoanData[[#This Row],[Loan_Term_Months]])</f>
        <v>46636</v>
      </c>
      <c r="E20" t="str">
        <f t="shared" ca="1" si="0"/>
        <v>NO</v>
      </c>
      <c r="F20" s="33">
        <f>IFERROR(LoanData[[#This Row],[EMI]]/LoanData[[#This Row],[Monthly_Income]]*100," ")</f>
        <v>91.687785137534121</v>
      </c>
      <c r="G20" t="str" cm="1">
        <f t="array" ref="G20">_xlfn.IFS(F20&gt;40, "High DTI Risk",F20&gt;=25, "Moderate DTI",F20&lt;25, "Low DTI")</f>
        <v>High DTI Risk</v>
      </c>
      <c r="H20" t="str" cm="1">
        <f t="array" ref="H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0" t="str">
        <f>_xlfn.XLOOKUP(H20,Reference_Tables!$B$2:$B$7,Reference_Tables!$C$2:$C$7,,0,1)</f>
        <v>LR</v>
      </c>
      <c r="J20" t="str">
        <f>INDEX(Reference_Tables!$D$11:$D$36,MATCH(LoanData[[#This Row],[Branch]],Reference_Tables!$A$11:$A$36,0))</f>
        <v>Rahul Kapoor</v>
      </c>
      <c r="L20" s="35"/>
    </row>
    <row r="21" spans="2:12" ht="15.6" x14ac:dyDescent="0.3">
      <c r="B21" s="15">
        <f>DATEDIF(Loan_Data!K:K,Loan_Data!L:L,"D")</f>
        <v>10</v>
      </c>
      <c r="C21" s="15">
        <f ca="1">DATEDIF(LoanData[[#This Row],[Approval_Date]],TODAY(),"M")</f>
        <v>62</v>
      </c>
      <c r="D21" s="31">
        <f>EDATE(LoanData[[#This Row],[Approval_Date]],LoanData[[#This Row],[Loan_Term_Months]])</f>
        <v>48009</v>
      </c>
      <c r="E21" t="str">
        <f t="shared" ca="1" si="0"/>
        <v>NO</v>
      </c>
      <c r="F21" s="33">
        <f>IFERROR(LoanData[[#This Row],[EMI]]/LoanData[[#This Row],[Monthly_Income]]*100," ")</f>
        <v>51.997165819000656</v>
      </c>
      <c r="G21" t="str" cm="1">
        <f t="array" ref="G21">_xlfn.IFS(F21&gt;40, "High DTI Risk",F21&gt;=25, "Moderate DTI",F21&lt;25, "Low DTI")</f>
        <v>High DTI Risk</v>
      </c>
      <c r="H21" t="str" cm="1">
        <f t="array" ref="H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1" t="str">
        <f>_xlfn.XLOOKUP(H21,Reference_Tables!$B$2:$B$7,Reference_Tables!$C$2:$C$7,,0,1)</f>
        <v>VHR</v>
      </c>
      <c r="J21" t="str">
        <f>INDEX(Reference_Tables!$D$11:$D$36,MATCH(LoanData[[#This Row],[Branch]],Reference_Tables!$A$11:$A$36,0))</f>
        <v>Sandeep Saxena</v>
      </c>
      <c r="L21" s="35"/>
    </row>
    <row r="22" spans="2:12" ht="15.6" x14ac:dyDescent="0.3">
      <c r="B22" s="15">
        <f>DATEDIF(Loan_Data!K:K,Loan_Data!L:L,"D")</f>
        <v>28</v>
      </c>
      <c r="C22" s="15">
        <f ca="1">DATEDIF(LoanData[[#This Row],[Approval_Date]],TODAY(),"M")</f>
        <v>34</v>
      </c>
      <c r="D22" s="31">
        <f>EDATE(LoanData[[#This Row],[Approval_Date]],LoanData[[#This Row],[Loan_Term_Months]])</f>
        <v>45575</v>
      </c>
      <c r="E22" t="str">
        <f t="shared" ca="1" si="0"/>
        <v>YES</v>
      </c>
      <c r="F22" s="33">
        <f>IFERROR(LoanData[[#This Row],[EMI]]/LoanData[[#This Row],[Monthly_Income]]*100," ")</f>
        <v>72.402201492537316</v>
      </c>
      <c r="G22" t="str" cm="1">
        <f t="array" ref="G22">_xlfn.IFS(F22&gt;40, "High DTI Risk",F22&gt;=25, "Moderate DTI",F22&lt;25, "Low DTI")</f>
        <v>High DTI Risk</v>
      </c>
      <c r="H22" t="str" cm="1">
        <f t="array" ref="H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2" t="str">
        <f>_xlfn.XLOOKUP(H22,Reference_Tables!$B$2:$B$7,Reference_Tables!$C$2:$C$7,,0,1)</f>
        <v>LR</v>
      </c>
      <c r="J22" t="str">
        <f>INDEX(Reference_Tables!$D$11:$D$36,MATCH(LoanData[[#This Row],[Branch]],Reference_Tables!$A$11:$A$36,0))</f>
        <v>Ananya Sharma</v>
      </c>
      <c r="L22" s="35"/>
    </row>
    <row r="23" spans="2:12" ht="15.6" x14ac:dyDescent="0.3">
      <c r="B23" s="15">
        <f>DATEDIF(Loan_Data!K:K,Loan_Data!L:L,"D")</f>
        <v>9</v>
      </c>
      <c r="C23" s="15">
        <f ca="1">DATEDIF(LoanData[[#This Row],[Approval_Date]],TODAY(),"M")</f>
        <v>46</v>
      </c>
      <c r="D23" s="31">
        <f>EDATE(LoanData[[#This Row],[Approval_Date]],LoanData[[#This Row],[Loan_Term_Months]])</f>
        <v>45215</v>
      </c>
      <c r="E23" t="str">
        <f t="shared" ca="1" si="0"/>
        <v>YES</v>
      </c>
      <c r="F23" s="33">
        <f>IFERROR(LoanData[[#This Row],[EMI]]/LoanData[[#This Row],[Monthly_Income]]*100," ")</f>
        <v>74.845067557258389</v>
      </c>
      <c r="G23" t="str" cm="1">
        <f t="array" ref="G23">_xlfn.IFS(F23&gt;40, "High DTI Risk",F23&gt;=25, "Moderate DTI",F23&lt;25, "Low DTI")</f>
        <v>High DTI Risk</v>
      </c>
      <c r="H23" t="str" cm="1">
        <f t="array" ref="H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3" t="str">
        <f>_xlfn.XLOOKUP(H23,Reference_Tables!$B$2:$B$7,Reference_Tables!$C$2:$C$7,,0,1)</f>
        <v>HR</v>
      </c>
      <c r="J23" t="str">
        <f>INDEX(Reference_Tables!$D$11:$D$36,MATCH(LoanData[[#This Row],[Branch]],Reference_Tables!$A$11:$A$36,0))</f>
        <v>Sachin Deshpande</v>
      </c>
      <c r="L23" s="35"/>
    </row>
    <row r="24" spans="2:12" ht="15.6" x14ac:dyDescent="0.3">
      <c r="B24" s="15">
        <f>DATEDIF(Loan_Data!K:K,Loan_Data!L:L,"D")</f>
        <v>13</v>
      </c>
      <c r="C24" s="15">
        <f ca="1">DATEDIF(LoanData[[#This Row],[Approval_Date]],TODAY(),"M")</f>
        <v>56</v>
      </c>
      <c r="D24" s="31">
        <f>EDATE(LoanData[[#This Row],[Approval_Date]],LoanData[[#This Row],[Loan_Term_Months]])</f>
        <v>45994</v>
      </c>
      <c r="E24" t="str">
        <f t="shared" ca="1" si="0"/>
        <v>YES</v>
      </c>
      <c r="F24" s="33">
        <f>IFERROR(LoanData[[#This Row],[EMI]]/LoanData[[#This Row],[Monthly_Income]]*100," ")</f>
        <v>31.325490559337993</v>
      </c>
      <c r="G24" t="str" cm="1">
        <f t="array" ref="G24">_xlfn.IFS(F24&gt;40, "High DTI Risk",F24&gt;=25, "Moderate DTI",F24&lt;25, "Low DTI")</f>
        <v>Moderate DTI</v>
      </c>
      <c r="H24" t="str" cm="1">
        <f t="array" ref="H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4" t="str">
        <f>_xlfn.XLOOKUP(H24,Reference_Tables!$B$2:$B$7,Reference_Tables!$C$2:$C$7,,0,1)</f>
        <v>LR</v>
      </c>
      <c r="J24" t="str">
        <f>INDEX(Reference_Tables!$D$11:$D$36,MATCH(LoanData[[#This Row],[Branch]],Reference_Tables!$A$11:$A$36,0))</f>
        <v>Lakshmi Reddy</v>
      </c>
      <c r="L24" s="35"/>
    </row>
    <row r="25" spans="2:12" ht="15.6" x14ac:dyDescent="0.3">
      <c r="B25" s="15">
        <f>DATEDIF(Loan_Data!K:K,Loan_Data!L:L,"D")</f>
        <v>22</v>
      </c>
      <c r="C25" s="15">
        <f ca="1">DATEDIF(LoanData[[#This Row],[Approval_Date]],TODAY(),"M")</f>
        <v>39</v>
      </c>
      <c r="D25" s="31">
        <f>EDATE(LoanData[[#This Row],[Approval_Date]],LoanData[[#This Row],[Loan_Term_Months]])</f>
        <v>45772</v>
      </c>
      <c r="E25" t="str">
        <f t="shared" ca="1" si="0"/>
        <v>YES</v>
      </c>
      <c r="F25" s="33">
        <f>IFERROR(LoanData[[#This Row],[EMI]]/LoanData[[#This Row],[Monthly_Income]]*100," ")</f>
        <v>72.23261774454636</v>
      </c>
      <c r="G25" t="str" cm="1">
        <f t="array" ref="G25">_xlfn.IFS(F25&gt;40, "High DTI Risk",F25&gt;=25, "Moderate DTI",F25&lt;25, "Low DTI")</f>
        <v>High DTI Risk</v>
      </c>
      <c r="H25" t="str" cm="1">
        <f t="array" ref="H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5" t="str">
        <f>_xlfn.XLOOKUP(H25,Reference_Tables!$B$2:$B$7,Reference_Tables!$C$2:$C$7,,0,1)</f>
        <v>VHR</v>
      </c>
      <c r="J25" t="str">
        <f>INDEX(Reference_Tables!$D$11:$D$36,MATCH(LoanData[[#This Row],[Branch]],Reference_Tables!$A$11:$A$36,0))</f>
        <v>Ravi Verma</v>
      </c>
      <c r="L25" s="35"/>
    </row>
    <row r="26" spans="2:12" ht="15.6" x14ac:dyDescent="0.3">
      <c r="B26" s="15">
        <f>DATEDIF(Loan_Data!K:K,Loan_Data!L:L,"D")</f>
        <v>22</v>
      </c>
      <c r="C26" s="15">
        <f ca="1">DATEDIF(LoanData[[#This Row],[Approval_Date]],TODAY(),"M")</f>
        <v>30</v>
      </c>
      <c r="D26" s="31">
        <f>EDATE(LoanData[[#This Row],[Approval_Date]],LoanData[[#This Row],[Loan_Term_Months]])</f>
        <v>46041</v>
      </c>
      <c r="E26" t="str">
        <f t="shared" ca="1" si="0"/>
        <v>YES</v>
      </c>
      <c r="F26" s="33">
        <f>IFERROR(LoanData[[#This Row],[EMI]]/LoanData[[#This Row],[Monthly_Income]]*100," ")</f>
        <v>141.44313951335897</v>
      </c>
      <c r="G26" t="str" cm="1">
        <f t="array" ref="G26">_xlfn.IFS(F26&gt;40, "High DTI Risk",F26&gt;=25, "Moderate DTI",F26&lt;25, "Low DTI")</f>
        <v>High DTI Risk</v>
      </c>
      <c r="H26" t="str" cm="1">
        <f t="array" ref="H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6" t="str">
        <f>_xlfn.XLOOKUP(H26,Reference_Tables!$B$2:$B$7,Reference_Tables!$C$2:$C$7,,0,1)</f>
        <v>LR</v>
      </c>
      <c r="J26" t="str">
        <f>INDEX(Reference_Tables!$D$11:$D$36,MATCH(LoanData[[#This Row],[Branch]],Reference_Tables!$A$11:$A$36,0))</f>
        <v>Puja Chatterjee</v>
      </c>
      <c r="L26" s="35"/>
    </row>
    <row r="27" spans="2:12" ht="15.6" x14ac:dyDescent="0.3">
      <c r="B27" s="15">
        <f>DATEDIF(Loan_Data!K:K,Loan_Data!L:L,"D")</f>
        <v>14</v>
      </c>
      <c r="C27" s="15">
        <f ca="1">DATEDIF(LoanData[[#This Row],[Approval_Date]],TODAY(),"M")</f>
        <v>40</v>
      </c>
      <c r="D27" s="31">
        <f>EDATE(LoanData[[#This Row],[Approval_Date]],LoanData[[#This Row],[Loan_Term_Months]])</f>
        <v>48682</v>
      </c>
      <c r="E27" t="str">
        <f t="shared" ca="1" si="0"/>
        <v>NO</v>
      </c>
      <c r="F27" s="33">
        <f>IFERROR(LoanData[[#This Row],[EMI]]/LoanData[[#This Row],[Monthly_Income]]*100," ")</f>
        <v>14.657656231258247</v>
      </c>
      <c r="G27" t="str" cm="1">
        <f t="array" ref="G27">_xlfn.IFS(F27&gt;40, "High DTI Risk",F27&gt;=25, "Moderate DTI",F27&lt;25, "Low DTI")</f>
        <v>Low DTI</v>
      </c>
      <c r="H27" t="str" cm="1">
        <f t="array" ref="H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7" t="str">
        <f>_xlfn.XLOOKUP(H27,Reference_Tables!$B$2:$B$7,Reference_Tables!$C$2:$C$7,,0,1)</f>
        <v>VHR</v>
      </c>
      <c r="J27" t="str">
        <f>INDEX(Reference_Tables!$D$11:$D$36,MATCH(LoanData[[#This Row],[Branch]],Reference_Tables!$A$11:$A$36,0))</f>
        <v>Amit Kumar</v>
      </c>
      <c r="L27" s="35"/>
    </row>
    <row r="28" spans="2:12" ht="15.6" x14ac:dyDescent="0.3">
      <c r="B28" s="15">
        <f>DATEDIF(Loan_Data!K:K,Loan_Data!L:L,"D")</f>
        <v>22</v>
      </c>
      <c r="C28" s="15">
        <f ca="1">DATEDIF(LoanData[[#This Row],[Approval_Date]],TODAY(),"M")</f>
        <v>30</v>
      </c>
      <c r="D28" s="31">
        <f>EDATE(LoanData[[#This Row],[Approval_Date]],LoanData[[#This Row],[Loan_Term_Months]])</f>
        <v>46407</v>
      </c>
      <c r="E28" t="str">
        <f t="shared" ca="1" si="0"/>
        <v>NO</v>
      </c>
      <c r="F28" s="33">
        <f>IFERROR(LoanData[[#This Row],[EMI]]/LoanData[[#This Row],[Monthly_Income]]*100," ")</f>
        <v>19.493642588237183</v>
      </c>
      <c r="G28" t="str" cm="1">
        <f t="array" ref="G28">_xlfn.IFS(F28&gt;40, "High DTI Risk",F28&gt;=25, "Moderate DTI",F28&lt;25, "Low DTI")</f>
        <v>Low DTI</v>
      </c>
      <c r="H28" t="str" cm="1">
        <f t="array" ref="H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8" t="str">
        <f>_xlfn.XLOOKUP(H28,Reference_Tables!$B$2:$B$7,Reference_Tables!$C$2:$C$7,,0,1)</f>
        <v>VHR</v>
      </c>
      <c r="J28" t="str">
        <f>INDEX(Reference_Tables!$D$11:$D$36,MATCH(LoanData[[#This Row],[Branch]],Reference_Tables!$A$11:$A$36,0))</f>
        <v>Puja Chatterjee</v>
      </c>
      <c r="L28" s="35"/>
    </row>
    <row r="29" spans="2:12" ht="15.6" x14ac:dyDescent="0.3">
      <c r="B29" s="15">
        <f>DATEDIF(Loan_Data!K:K,Loan_Data!L:L,"D")</f>
        <v>17</v>
      </c>
      <c r="C29" s="15">
        <f ca="1">DATEDIF(LoanData[[#This Row],[Approval_Date]],TODAY(),"M")</f>
        <v>47</v>
      </c>
      <c r="D29" s="31">
        <f>EDATE(LoanData[[#This Row],[Approval_Date]],LoanData[[#This Row],[Loan_Term_Months]])</f>
        <v>45526</v>
      </c>
      <c r="E29" t="str">
        <f t="shared" ca="1" si="0"/>
        <v>YES</v>
      </c>
      <c r="F29" s="33">
        <f>IFERROR(LoanData[[#This Row],[EMI]]/LoanData[[#This Row],[Monthly_Income]]*100," ")</f>
        <v>59.976279552107535</v>
      </c>
      <c r="G29" t="str" cm="1">
        <f t="array" ref="G29">_xlfn.IFS(F29&gt;40, "High DTI Risk",F29&gt;=25, "Moderate DTI",F29&lt;25, "Low DTI")</f>
        <v>High DTI Risk</v>
      </c>
      <c r="H29" t="str" cm="1">
        <f t="array" ref="H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9" t="str">
        <f>_xlfn.XLOOKUP(H29,Reference_Tables!$B$2:$B$7,Reference_Tables!$C$2:$C$7,,0,1)</f>
        <v>VHR</v>
      </c>
      <c r="J29" t="str">
        <f>INDEX(Reference_Tables!$D$11:$D$36,MATCH(LoanData[[#This Row],[Branch]],Reference_Tables!$A$11:$A$36,0))</f>
        <v>Sachin Deshpande</v>
      </c>
      <c r="L29" s="35"/>
    </row>
    <row r="30" spans="2:12" ht="15.6" x14ac:dyDescent="0.3">
      <c r="B30" s="15">
        <f>DATEDIF(Loan_Data!K:K,Loan_Data!L:L,"D")</f>
        <v>30</v>
      </c>
      <c r="C30" s="15">
        <f ca="1">DATEDIF(LoanData[[#This Row],[Approval_Date]],TODAY(),"M")</f>
        <v>60</v>
      </c>
      <c r="D30" s="31">
        <f>EDATE(LoanData[[#This Row],[Approval_Date]],LoanData[[#This Row],[Loan_Term_Months]])</f>
        <v>45135</v>
      </c>
      <c r="E30" t="str">
        <f t="shared" ca="1" si="0"/>
        <v>YES</v>
      </c>
      <c r="F30" s="33">
        <f>IFERROR(LoanData[[#This Row],[EMI]]/LoanData[[#This Row],[Monthly_Income]]*100," ")</f>
        <v>41.190848564372402</v>
      </c>
      <c r="G30" t="str" cm="1">
        <f t="array" ref="G30">_xlfn.IFS(F30&gt;40, "High DTI Risk",F30&gt;=25, "Moderate DTI",F30&lt;25, "Low DTI")</f>
        <v>High DTI Risk</v>
      </c>
      <c r="H30" t="str" cm="1">
        <f t="array" ref="H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0" t="str">
        <f>_xlfn.XLOOKUP(H30,Reference_Tables!$B$2:$B$7,Reference_Tables!$C$2:$C$7,,0,1)</f>
        <v>MR</v>
      </c>
      <c r="J30" t="str">
        <f>INDEX(Reference_Tables!$D$11:$D$36,MATCH(LoanData[[#This Row],[Branch]],Reference_Tables!$A$11:$A$36,0))</f>
        <v>Vikram Malhotra</v>
      </c>
      <c r="L30" s="35"/>
    </row>
    <row r="31" spans="2:12" ht="15.6" x14ac:dyDescent="0.3">
      <c r="B31" s="15">
        <f>DATEDIF(Loan_Data!K:K,Loan_Data!L:L,"D")</f>
        <v>12</v>
      </c>
      <c r="C31" s="15">
        <f ca="1">DATEDIF(LoanData[[#This Row],[Approval_Date]],TODAY(),"M")</f>
        <v>31</v>
      </c>
      <c r="D31" s="31">
        <f>EDATE(LoanData[[#This Row],[Approval_Date]],LoanData[[#This Row],[Loan_Term_Months]])</f>
        <v>47837</v>
      </c>
      <c r="E31" t="str">
        <f t="shared" ca="1" si="0"/>
        <v>NO</v>
      </c>
      <c r="F31" s="33">
        <f>IFERROR(LoanData[[#This Row],[EMI]]/LoanData[[#This Row],[Monthly_Income]]*100," ")</f>
        <v>21.378637333610524</v>
      </c>
      <c r="G31" t="str" cm="1">
        <f t="array" ref="G31">_xlfn.IFS(F31&gt;40, "High DTI Risk",F31&gt;=25, "Moderate DTI",F31&lt;25, "Low DTI")</f>
        <v>Low DTI</v>
      </c>
      <c r="H31" t="str" cm="1">
        <f t="array" ref="H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1" t="str">
        <f>_xlfn.XLOOKUP(H31,Reference_Tables!$B$2:$B$7,Reference_Tables!$C$2:$C$7,,0,1)</f>
        <v>LR</v>
      </c>
      <c r="J31" t="str">
        <f>INDEX(Reference_Tables!$D$11:$D$36,MATCH(LoanData[[#This Row],[Branch]],Reference_Tables!$A$11:$A$36,0))</f>
        <v>Lakshmi Reddy</v>
      </c>
      <c r="L31" s="35"/>
    </row>
    <row r="32" spans="2:12" ht="15.6" x14ac:dyDescent="0.3">
      <c r="B32" s="15">
        <f>DATEDIF(Loan_Data!K:K,Loan_Data!L:L,"D")</f>
        <v>27</v>
      </c>
      <c r="C32" s="15">
        <f ca="1">DATEDIF(LoanData[[#This Row],[Approval_Date]],TODAY(),"M")</f>
        <v>62</v>
      </c>
      <c r="D32" s="31">
        <f>EDATE(LoanData[[#This Row],[Approval_Date]],LoanData[[#This Row],[Loan_Term_Months]])</f>
        <v>46185</v>
      </c>
      <c r="E32" t="str">
        <f t="shared" ca="1" si="0"/>
        <v>YES</v>
      </c>
      <c r="F32" s="33">
        <f>IFERROR(LoanData[[#This Row],[EMI]]/LoanData[[#This Row],[Monthly_Income]]*100," ")</f>
        <v>109.59146010939733</v>
      </c>
      <c r="G32" t="str" cm="1">
        <f t="array" ref="G32">_xlfn.IFS(F32&gt;40, "High DTI Risk",F32&gt;=25, "Moderate DTI",F32&lt;25, "Low DTI")</f>
        <v>High DTI Risk</v>
      </c>
      <c r="H32" t="str" cm="1">
        <f t="array" ref="H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2" t="str">
        <f>_xlfn.XLOOKUP(H32,Reference_Tables!$B$2:$B$7,Reference_Tables!$C$2:$C$7,,0,1)</f>
        <v>VHR</v>
      </c>
      <c r="J32" t="str">
        <f>INDEX(Reference_Tables!$D$11:$D$36,MATCH(LoanData[[#This Row],[Branch]],Reference_Tables!$A$11:$A$36,0))</f>
        <v>Santhosh Rao</v>
      </c>
      <c r="L32" s="35"/>
    </row>
    <row r="33" spans="2:12" ht="15.6" x14ac:dyDescent="0.3">
      <c r="B33" s="15">
        <f>DATEDIF(Loan_Data!K:K,Loan_Data!L:L,"D")</f>
        <v>23</v>
      </c>
      <c r="C33" s="15">
        <f ca="1">DATEDIF(LoanData[[#This Row],[Approval_Date]],TODAY(),"M")</f>
        <v>42</v>
      </c>
      <c r="D33" s="31">
        <f>EDATE(LoanData[[#This Row],[Approval_Date]],LoanData[[#This Row],[Loan_Term_Months]])</f>
        <v>47517</v>
      </c>
      <c r="E33" t="str">
        <f t="shared" ca="1" si="0"/>
        <v>NO</v>
      </c>
      <c r="F33" s="33">
        <f>IFERROR(LoanData[[#This Row],[EMI]]/LoanData[[#This Row],[Monthly_Income]]*100," ")</f>
        <v>17.181057666872409</v>
      </c>
      <c r="G33" t="str" cm="1">
        <f t="array" ref="G33">_xlfn.IFS(F33&gt;40, "High DTI Risk",F33&gt;=25, "Moderate DTI",F33&lt;25, "Low DTI")</f>
        <v>Low DTI</v>
      </c>
      <c r="H33" t="str" cm="1">
        <f t="array" ref="H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3" t="str">
        <f>_xlfn.XLOOKUP(H33,Reference_Tables!$B$2:$B$7,Reference_Tables!$C$2:$C$7,,0,1)</f>
        <v>MR</v>
      </c>
      <c r="J33" t="str">
        <f>INDEX(Reference_Tables!$D$11:$D$36,MATCH(LoanData[[#This Row],[Branch]],Reference_Tables!$A$11:$A$36,0))</f>
        <v>Meena Iyer</v>
      </c>
      <c r="L33" s="35"/>
    </row>
    <row r="34" spans="2:12" ht="15.6" x14ac:dyDescent="0.3">
      <c r="B34" s="15">
        <f>DATEDIF(Loan_Data!K:K,Loan_Data!L:L,"D")</f>
        <v>19</v>
      </c>
      <c r="C34" s="15">
        <f ca="1">DATEDIF(LoanData[[#This Row],[Approval_Date]],TODAY(),"M")</f>
        <v>46</v>
      </c>
      <c r="D34" s="31">
        <f>EDATE(LoanData[[#This Row],[Approval_Date]],LoanData[[#This Row],[Loan_Term_Months]])</f>
        <v>45204</v>
      </c>
      <c r="E34" t="str">
        <f t="shared" ca="1" si="0"/>
        <v>YES</v>
      </c>
      <c r="F34" s="33">
        <f>IFERROR(LoanData[[#This Row],[EMI]]/LoanData[[#This Row],[Monthly_Income]]*100," ")</f>
        <v>90.223932646870679</v>
      </c>
      <c r="G34" t="str" cm="1">
        <f t="array" ref="G34">_xlfn.IFS(F34&gt;40, "High DTI Risk",F34&gt;=25, "Moderate DTI",F34&lt;25, "Low DTI")</f>
        <v>High DTI Risk</v>
      </c>
      <c r="H34" t="str" cm="1">
        <f t="array" ref="H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4" t="str">
        <f>_xlfn.XLOOKUP(H34,Reference_Tables!$B$2:$B$7,Reference_Tables!$C$2:$C$7,,0,1)</f>
        <v>VHR</v>
      </c>
      <c r="J34" t="str">
        <f>INDEX(Reference_Tables!$D$11:$D$36,MATCH(LoanData[[#This Row],[Branch]],Reference_Tables!$A$11:$A$36,0))</f>
        <v>Sandeep Saxena</v>
      </c>
      <c r="L34" s="35"/>
    </row>
    <row r="35" spans="2:12" ht="15.6" x14ac:dyDescent="0.3">
      <c r="B35" s="15">
        <f>DATEDIF(Loan_Data!K:K,Loan_Data!L:L,"D")</f>
        <v>28</v>
      </c>
      <c r="C35" s="15">
        <f ca="1">DATEDIF(LoanData[[#This Row],[Approval_Date]],TODAY(),"M")</f>
        <v>58</v>
      </c>
      <c r="D35" s="31">
        <f>EDATE(LoanData[[#This Row],[Approval_Date]],LoanData[[#This Row],[Loan_Term_Months]])</f>
        <v>44850</v>
      </c>
      <c r="E35" t="str">
        <f t="shared" ca="1" si="0"/>
        <v>YES</v>
      </c>
      <c r="F35" s="33">
        <f>IFERROR(LoanData[[#This Row],[EMI]]/LoanData[[#This Row],[Monthly_Income]]*100," ")</f>
        <v>158.64724164016005</v>
      </c>
      <c r="G35" t="str" cm="1">
        <f t="array" ref="G35">_xlfn.IFS(F35&gt;40, "High DTI Risk",F35&gt;=25, "Moderate DTI",F35&lt;25, "Low DTI")</f>
        <v>High DTI Risk</v>
      </c>
      <c r="H35" t="str" cm="1">
        <f t="array" ref="H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5" t="str">
        <f>_xlfn.XLOOKUP(H35,Reference_Tables!$B$2:$B$7,Reference_Tables!$C$2:$C$7,,0,1)</f>
        <v>HR</v>
      </c>
      <c r="J35" t="str">
        <f>INDEX(Reference_Tables!$D$11:$D$36,MATCH(LoanData[[#This Row],[Branch]],Reference_Tables!$A$11:$A$36,0))</f>
        <v>Deepak Nair</v>
      </c>
      <c r="L35" s="35"/>
    </row>
    <row r="36" spans="2:12" ht="15.6" x14ac:dyDescent="0.3">
      <c r="B36" s="15">
        <f>DATEDIF(Loan_Data!K:K,Loan_Data!L:L,"D")</f>
        <v>19</v>
      </c>
      <c r="C36" s="15">
        <f ca="1">DATEDIF(LoanData[[#This Row],[Approval_Date]],TODAY(),"M")</f>
        <v>57</v>
      </c>
      <c r="D36" s="31">
        <f>EDATE(LoanData[[#This Row],[Approval_Date]],LoanData[[#This Row],[Loan_Term_Months]])</f>
        <v>46323</v>
      </c>
      <c r="E36" t="str">
        <f t="shared" ca="1" si="0"/>
        <v>NO</v>
      </c>
      <c r="F36" s="33">
        <f>IFERROR(LoanData[[#This Row],[EMI]]/LoanData[[#This Row],[Monthly_Income]]*100," ")</f>
        <v>35.93194979184274</v>
      </c>
      <c r="G36" t="str" cm="1">
        <f t="array" ref="G36">_xlfn.IFS(F36&gt;40, "High DTI Risk",F36&gt;=25, "Moderate DTI",F36&lt;25, "Low DTI")</f>
        <v>Moderate DTI</v>
      </c>
      <c r="H36" t="str" cm="1">
        <f t="array" ref="H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6" t="str">
        <f>_xlfn.XLOOKUP(H36,Reference_Tables!$B$2:$B$7,Reference_Tables!$C$2:$C$7,,0,1)</f>
        <v>HR</v>
      </c>
      <c r="J36" t="str">
        <f>INDEX(Reference_Tables!$D$11:$D$36,MATCH(LoanData[[#This Row],[Branch]],Reference_Tables!$A$11:$A$36,0))</f>
        <v>Puja Chatterjee</v>
      </c>
      <c r="L36" s="35"/>
    </row>
    <row r="37" spans="2:12" ht="15.6" x14ac:dyDescent="0.3">
      <c r="B37" s="15">
        <f>DATEDIF(Loan_Data!K:K,Loan_Data!L:L,"D")</f>
        <v>9</v>
      </c>
      <c r="C37" s="15">
        <f ca="1">DATEDIF(LoanData[[#This Row],[Approval_Date]],TODAY(),"M")</f>
        <v>58</v>
      </c>
      <c r="D37" s="31">
        <f>EDATE(LoanData[[#This Row],[Approval_Date]],LoanData[[#This Row],[Loan_Term_Months]])</f>
        <v>48133</v>
      </c>
      <c r="E37" t="str">
        <f t="shared" ca="1" si="0"/>
        <v>NO</v>
      </c>
      <c r="F37" s="33">
        <f>IFERROR(LoanData[[#This Row],[EMI]]/LoanData[[#This Row],[Monthly_Income]]*100," ")</f>
        <v>97.279482406629043</v>
      </c>
      <c r="G37" t="str" cm="1">
        <f t="array" ref="G37">_xlfn.IFS(F37&gt;40, "High DTI Risk",F37&gt;=25, "Moderate DTI",F37&lt;25, "Low DTI")</f>
        <v>High DTI Risk</v>
      </c>
      <c r="H37" t="str" cm="1">
        <f t="array" ref="H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7" t="str">
        <f>_xlfn.XLOOKUP(H37,Reference_Tables!$B$2:$B$7,Reference_Tables!$C$2:$C$7,,0,1)</f>
        <v>MR</v>
      </c>
      <c r="J37" t="str">
        <f>INDEX(Reference_Tables!$D$11:$D$36,MATCH(LoanData[[#This Row],[Branch]],Reference_Tables!$A$11:$A$36,0))</f>
        <v>Meena Iyer</v>
      </c>
      <c r="L37" s="35"/>
    </row>
    <row r="38" spans="2:12" ht="15.6" x14ac:dyDescent="0.3">
      <c r="B38" s="15">
        <f>DATEDIF(Loan_Data!K:K,Loan_Data!L:L,"D")</f>
        <v>3</v>
      </c>
      <c r="C38" s="15">
        <f ca="1">DATEDIF(LoanData[[#This Row],[Approval_Date]],TODAY(),"M")</f>
        <v>54</v>
      </c>
      <c r="D38" s="31">
        <f>EDATE(LoanData[[#This Row],[Approval_Date]],LoanData[[#This Row],[Loan_Term_Months]])</f>
        <v>46417</v>
      </c>
      <c r="E38" t="str">
        <f t="shared" ca="1" si="0"/>
        <v>NO</v>
      </c>
      <c r="F38" s="33">
        <f>IFERROR(LoanData[[#This Row],[EMI]]/LoanData[[#This Row],[Monthly_Income]]*100," ")</f>
        <v>96.148078283423715</v>
      </c>
      <c r="G38" t="str" cm="1">
        <f t="array" ref="G38">_xlfn.IFS(F38&gt;40, "High DTI Risk",F38&gt;=25, "Moderate DTI",F38&lt;25, "Low DTI")</f>
        <v>High DTI Risk</v>
      </c>
      <c r="H38" t="str" cm="1">
        <f t="array" ref="H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8" t="str">
        <f>_xlfn.XLOOKUP(H38,Reference_Tables!$B$2:$B$7,Reference_Tables!$C$2:$C$7,,0,1)</f>
        <v>HR</v>
      </c>
      <c r="J38" t="str">
        <f>INDEX(Reference_Tables!$D$11:$D$36,MATCH(LoanData[[#This Row],[Branch]],Reference_Tables!$A$11:$A$36,0))</f>
        <v>Suresh Menon</v>
      </c>
      <c r="L38" s="35"/>
    </row>
    <row r="39" spans="2:12" ht="15.6" x14ac:dyDescent="0.3">
      <c r="B39" s="15">
        <f>DATEDIF(Loan_Data!K:K,Loan_Data!L:L,"D")</f>
        <v>15</v>
      </c>
      <c r="C39" s="15">
        <f ca="1">DATEDIF(LoanData[[#This Row],[Approval_Date]],TODAY(),"M")</f>
        <v>31</v>
      </c>
      <c r="D39" s="31">
        <f>EDATE(LoanData[[#This Row],[Approval_Date]],LoanData[[#This Row],[Loan_Term_Months]])</f>
        <v>47107</v>
      </c>
      <c r="E39" t="str">
        <f t="shared" ca="1" si="0"/>
        <v>NO</v>
      </c>
      <c r="F39" s="33">
        <f>IFERROR(LoanData[[#This Row],[EMI]]/LoanData[[#This Row],[Monthly_Income]]*100," ")</f>
        <v>25.230694836149453</v>
      </c>
      <c r="G39" t="str" cm="1">
        <f t="array" ref="G39">_xlfn.IFS(F39&gt;40, "High DTI Risk",F39&gt;=25, "Moderate DTI",F39&lt;25, "Low DTI")</f>
        <v>Moderate DTI</v>
      </c>
      <c r="H39" t="str" cm="1">
        <f t="array" ref="H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9" t="str">
        <f>_xlfn.XLOOKUP(H39,Reference_Tables!$B$2:$B$7,Reference_Tables!$C$2:$C$7,,0,1)</f>
        <v>VHR</v>
      </c>
      <c r="J39" t="str">
        <f>INDEX(Reference_Tables!$D$11:$D$36,MATCH(LoanData[[#This Row],[Branch]],Reference_Tables!$A$11:$A$36,0))</f>
        <v>Kavita Joshi</v>
      </c>
      <c r="L39" s="35"/>
    </row>
    <row r="40" spans="2:12" ht="15.6" x14ac:dyDescent="0.3">
      <c r="B40" s="15">
        <f>DATEDIF(Loan_Data!K:K,Loan_Data!L:L,"D")</f>
        <v>27</v>
      </c>
      <c r="C40" s="15">
        <f ca="1">DATEDIF(LoanData[[#This Row],[Approval_Date]],TODAY(),"M")</f>
        <v>48</v>
      </c>
      <c r="D40" s="31">
        <f>EDATE(LoanData[[#This Row],[Approval_Date]],LoanData[[#This Row],[Loan_Term_Months]])</f>
        <v>46250</v>
      </c>
      <c r="E40" t="str">
        <f t="shared" ca="1" si="0"/>
        <v>YES</v>
      </c>
      <c r="F40" s="33">
        <f>IFERROR(LoanData[[#This Row],[EMI]]/LoanData[[#This Row],[Monthly_Income]]*100," ")</f>
        <v>28.514595551768441</v>
      </c>
      <c r="G40" t="str" cm="1">
        <f t="array" ref="G40">_xlfn.IFS(F40&gt;40, "High DTI Risk",F40&gt;=25, "Moderate DTI",F40&lt;25, "Low DTI")</f>
        <v>Moderate DTI</v>
      </c>
      <c r="H40" t="str" cm="1">
        <f t="array" ref="H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0" t="str">
        <f>_xlfn.XLOOKUP(H40,Reference_Tables!$B$2:$B$7,Reference_Tables!$C$2:$C$7,,0,1)</f>
        <v>MR</v>
      </c>
      <c r="J40" t="str">
        <f>INDEX(Reference_Tables!$D$11:$D$36,MATCH(LoanData[[#This Row],[Branch]],Reference_Tables!$A$11:$A$36,0))</f>
        <v>Santhosh Rao</v>
      </c>
      <c r="L40" s="35"/>
    </row>
    <row r="41" spans="2:12" ht="15.6" x14ac:dyDescent="0.3">
      <c r="B41" s="15">
        <f>DATEDIF(Loan_Data!K:K,Loan_Data!L:L,"D")</f>
        <v>21</v>
      </c>
      <c r="C41" s="15">
        <f ca="1">DATEDIF(LoanData[[#This Row],[Approval_Date]],TODAY(),"M")</f>
        <v>60</v>
      </c>
      <c r="D41" s="31">
        <f>EDATE(LoanData[[#This Row],[Approval_Date]],LoanData[[#This Row],[Loan_Term_Months]])</f>
        <v>49898</v>
      </c>
      <c r="E41" t="str">
        <f t="shared" ca="1" si="0"/>
        <v>NO</v>
      </c>
      <c r="F41" s="33">
        <f>IFERROR(LoanData[[#This Row],[EMI]]/LoanData[[#This Row],[Monthly_Income]]*100," ")</f>
        <v>68.30217972688331</v>
      </c>
      <c r="G41" t="str" cm="1">
        <f t="array" ref="G41">_xlfn.IFS(F41&gt;40, "High DTI Risk",F41&gt;=25, "Moderate DTI",F41&lt;25, "Low DTI")</f>
        <v>High DTI Risk</v>
      </c>
      <c r="H41" t="str" cm="1">
        <f t="array" ref="H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1" t="str">
        <f>_xlfn.XLOOKUP(H41,Reference_Tables!$B$2:$B$7,Reference_Tables!$C$2:$C$7,,0,1)</f>
        <v>LR</v>
      </c>
      <c r="J41" t="str">
        <f>INDEX(Reference_Tables!$D$11:$D$36,MATCH(LoanData[[#This Row],[Branch]],Reference_Tables!$A$11:$A$36,0))</f>
        <v>Nilesh Shah</v>
      </c>
      <c r="L41" s="35"/>
    </row>
    <row r="42" spans="2:12" ht="15.6" x14ac:dyDescent="0.3">
      <c r="B42" s="15">
        <f>DATEDIF(Loan_Data!K:K,Loan_Data!L:L,"D")</f>
        <v>7</v>
      </c>
      <c r="C42" s="15">
        <f ca="1">DATEDIF(LoanData[[#This Row],[Approval_Date]],TODAY(),"M")</f>
        <v>52</v>
      </c>
      <c r="D42" s="31">
        <f>EDATE(LoanData[[#This Row],[Approval_Date]],LoanData[[#This Row],[Loan_Term_Months]])</f>
        <v>51964</v>
      </c>
      <c r="E42" t="str">
        <f t="shared" ca="1" si="0"/>
        <v>NO</v>
      </c>
      <c r="F42" s="33">
        <f>IFERROR(LoanData[[#This Row],[EMI]]/LoanData[[#This Row],[Monthly_Income]]*100," ")</f>
        <v>9.7086021438481023</v>
      </c>
      <c r="G42" t="str" cm="1">
        <f t="array" ref="G42">_xlfn.IFS(F42&gt;40, "High DTI Risk",F42&gt;=25, "Moderate DTI",F42&lt;25, "Low DTI")</f>
        <v>Low DTI</v>
      </c>
      <c r="H42" t="str" cm="1">
        <f t="array" ref="H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2" t="str">
        <f>_xlfn.XLOOKUP(H42,Reference_Tables!$B$2:$B$7,Reference_Tables!$C$2:$C$7,,0,1)</f>
        <v>VHR</v>
      </c>
      <c r="J42" t="str">
        <f>INDEX(Reference_Tables!$D$11:$D$36,MATCH(LoanData[[#This Row],[Branch]],Reference_Tables!$A$11:$A$36,0))</f>
        <v>Santhosh Rao</v>
      </c>
      <c r="L42" s="35"/>
    </row>
    <row r="43" spans="2:12" ht="15.6" x14ac:dyDescent="0.3">
      <c r="B43" s="15">
        <f>DATEDIF(Loan_Data!K:K,Loan_Data!L:L,"D")</f>
        <v>18</v>
      </c>
      <c r="C43" s="15">
        <f ca="1">DATEDIF(LoanData[[#This Row],[Approval_Date]],TODAY(),"M")</f>
        <v>62</v>
      </c>
      <c r="D43" s="31">
        <f>EDATE(LoanData[[#This Row],[Approval_Date]],LoanData[[#This Row],[Loan_Term_Months]])</f>
        <v>45806</v>
      </c>
      <c r="E43" t="str">
        <f t="shared" ca="1" si="0"/>
        <v>YES</v>
      </c>
      <c r="F43" s="33">
        <f>IFERROR(LoanData[[#This Row],[EMI]]/LoanData[[#This Row],[Monthly_Income]]*100," ")</f>
        <v>90.753505797647449</v>
      </c>
      <c r="G43" t="str" cm="1">
        <f t="array" ref="G43">_xlfn.IFS(F43&gt;40, "High DTI Risk",F43&gt;=25, "Moderate DTI",F43&lt;25, "Low DTI")</f>
        <v>High DTI Risk</v>
      </c>
      <c r="H43" t="str" cm="1">
        <f t="array" ref="H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3" t="str">
        <f>_xlfn.XLOOKUP(H43,Reference_Tables!$B$2:$B$7,Reference_Tables!$C$2:$C$7,,0,1)</f>
        <v>VHR</v>
      </c>
      <c r="J43" t="str">
        <f>INDEX(Reference_Tables!$D$11:$D$36,MATCH(LoanData[[#This Row],[Branch]],Reference_Tables!$A$11:$A$36,0))</f>
        <v>Lakshmi Reddy</v>
      </c>
      <c r="L43" s="35"/>
    </row>
    <row r="44" spans="2:12" ht="15.6" x14ac:dyDescent="0.3">
      <c r="B44" s="15">
        <f>DATEDIF(Loan_Data!K:K,Loan_Data!L:L,"D")</f>
        <v>23</v>
      </c>
      <c r="C44" s="15">
        <f ca="1">DATEDIF(LoanData[[#This Row],[Approval_Date]],TODAY(),"M")</f>
        <v>40</v>
      </c>
      <c r="D44" s="31">
        <f>EDATE(LoanData[[#This Row],[Approval_Date]],LoanData[[#This Row],[Loan_Term_Months]])</f>
        <v>45735</v>
      </c>
      <c r="E44" t="str">
        <f t="shared" ca="1" si="0"/>
        <v>YES</v>
      </c>
      <c r="F44" s="33">
        <f>IFERROR(LoanData[[#This Row],[EMI]]/LoanData[[#This Row],[Monthly_Income]]*100," ")</f>
        <v>61.213693403678207</v>
      </c>
      <c r="G44" t="str" cm="1">
        <f t="array" ref="G44">_xlfn.IFS(F44&gt;40, "High DTI Risk",F44&gt;=25, "Moderate DTI",F44&lt;25, "Low DTI")</f>
        <v>High DTI Risk</v>
      </c>
      <c r="H44" t="str" cm="1">
        <f t="array" ref="H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4" t="str">
        <f>_xlfn.XLOOKUP(H44,Reference_Tables!$B$2:$B$7,Reference_Tables!$C$2:$C$7,,0,1)</f>
        <v>HR</v>
      </c>
      <c r="J44" t="str">
        <f>INDEX(Reference_Tables!$D$11:$D$36,MATCH(LoanData[[#This Row],[Branch]],Reference_Tables!$A$11:$A$36,0))</f>
        <v>Anil Mishra</v>
      </c>
      <c r="L44" s="35"/>
    </row>
    <row r="45" spans="2:12" ht="15.6" x14ac:dyDescent="0.3">
      <c r="B45" s="15">
        <f>DATEDIF(Loan_Data!K:K,Loan_Data!L:L,"D")</f>
        <v>29</v>
      </c>
      <c r="C45" s="15">
        <f ca="1">DATEDIF(LoanData[[#This Row],[Approval_Date]],TODAY(),"M")</f>
        <v>48</v>
      </c>
      <c r="D45" s="31">
        <f>EDATE(LoanData[[#This Row],[Approval_Date]],LoanData[[#This Row],[Loan_Term_Months]])</f>
        <v>52095</v>
      </c>
      <c r="E45" t="str">
        <f t="shared" ca="1" si="0"/>
        <v>NO</v>
      </c>
      <c r="F45" s="33">
        <f>IFERROR(LoanData[[#This Row],[EMI]]/LoanData[[#This Row],[Monthly_Income]]*100," ")</f>
        <v>7.8262303984793977</v>
      </c>
      <c r="G45" t="str" cm="1">
        <f t="array" ref="G45">_xlfn.IFS(F45&gt;40, "High DTI Risk",F45&gt;=25, "Moderate DTI",F45&lt;25, "Low DTI")</f>
        <v>Low DTI</v>
      </c>
      <c r="H45" t="str" cm="1">
        <f t="array" ref="H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5" t="str">
        <f>_xlfn.XLOOKUP(H45,Reference_Tables!$B$2:$B$7,Reference_Tables!$C$2:$C$7,,0,1)</f>
        <v>MR</v>
      </c>
      <c r="J45" t="str">
        <f>INDEX(Reference_Tables!$D$11:$D$36,MATCH(LoanData[[#This Row],[Branch]],Reference_Tables!$A$11:$A$36,0))</f>
        <v>Puja Chatterjee</v>
      </c>
      <c r="L45" s="35"/>
    </row>
    <row r="46" spans="2:12" ht="15.6" x14ac:dyDescent="0.3">
      <c r="B46" s="15">
        <f>DATEDIF(Loan_Data!K:K,Loan_Data!L:L,"D")</f>
        <v>12</v>
      </c>
      <c r="C46" s="15">
        <f ca="1">DATEDIF(LoanData[[#This Row],[Approval_Date]],TODAY(),"M")</f>
        <v>44</v>
      </c>
      <c r="D46" s="31">
        <f>EDATE(LoanData[[#This Row],[Approval_Date]],LoanData[[#This Row],[Loan_Term_Months]])</f>
        <v>45994</v>
      </c>
      <c r="E46" t="str">
        <f t="shared" ca="1" si="0"/>
        <v>YES</v>
      </c>
      <c r="F46" s="33">
        <f>IFERROR(LoanData[[#This Row],[EMI]]/LoanData[[#This Row],[Monthly_Income]]*100," ")</f>
        <v>32.45691330520927</v>
      </c>
      <c r="G46" t="str" cm="1">
        <f t="array" ref="G46">_xlfn.IFS(F46&gt;40, "High DTI Risk",F46&gt;=25, "Moderate DTI",F46&lt;25, "Low DTI")</f>
        <v>Moderate DTI</v>
      </c>
      <c r="H46" t="str" cm="1">
        <f t="array" ref="H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6" t="str">
        <f>_xlfn.XLOOKUP(H46,Reference_Tables!$B$2:$B$7,Reference_Tables!$C$2:$C$7,,0,1)</f>
        <v>VHR</v>
      </c>
      <c r="J46" t="str">
        <f>INDEX(Reference_Tables!$D$11:$D$36,MATCH(LoanData[[#This Row],[Branch]],Reference_Tables!$A$11:$A$36,0))</f>
        <v>Amit Kumar</v>
      </c>
      <c r="L46" s="35"/>
    </row>
    <row r="47" spans="2:12" ht="15.6" x14ac:dyDescent="0.3">
      <c r="B47" s="15">
        <f>DATEDIF(Loan_Data!K:K,Loan_Data!L:L,"D")</f>
        <v>22</v>
      </c>
      <c r="C47" s="15">
        <f ca="1">DATEDIF(LoanData[[#This Row],[Approval_Date]],TODAY(),"M")</f>
        <v>55</v>
      </c>
      <c r="D47" s="31">
        <f>EDATE(LoanData[[#This Row],[Approval_Date]],LoanData[[#This Row],[Loan_Term_Months]])</f>
        <v>47131</v>
      </c>
      <c r="E47" t="str">
        <f t="shared" ca="1" si="0"/>
        <v>NO</v>
      </c>
      <c r="F47" s="33" t="str">
        <f>IFERROR(LoanData[[#This Row],[EMI]]/LoanData[[#This Row],[Monthly_Income]]*100," ")</f>
        <v xml:space="preserve"> </v>
      </c>
      <c r="G47" t="str" cm="1">
        <f t="array" ref="G47">_xlfn.IFS(F47&gt;40, "High DTI Risk",F47&gt;=25, "Moderate DTI",F47&lt;25, "Low DTI")</f>
        <v>High DTI Risk</v>
      </c>
      <c r="H47" t="str" cm="1">
        <f t="array" ref="H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7" t="str">
        <f>_xlfn.XLOOKUP(H47,Reference_Tables!$B$2:$B$7,Reference_Tables!$C$2:$C$7,,0,1)</f>
        <v>VHR</v>
      </c>
      <c r="J47" t="str">
        <f>INDEX(Reference_Tables!$D$11:$D$36,MATCH(LoanData[[#This Row],[Branch]],Reference_Tables!$A$11:$A$36,0))</f>
        <v>Vikram Malhotra</v>
      </c>
      <c r="L47" s="35"/>
    </row>
    <row r="48" spans="2:12" ht="15.6" x14ac:dyDescent="0.3">
      <c r="B48" s="15">
        <f>DATEDIF(Loan_Data!K:K,Loan_Data!L:L,"D")</f>
        <v>10</v>
      </c>
      <c r="C48" s="15">
        <f ca="1">DATEDIF(LoanData[[#This Row],[Approval_Date]],TODAY(),"M")</f>
        <v>64</v>
      </c>
      <c r="D48" s="31">
        <f>EDATE(LoanData[[#This Row],[Approval_Date]],LoanData[[#This Row],[Loan_Term_Months]])</f>
        <v>46855</v>
      </c>
      <c r="E48" t="str">
        <f t="shared" ca="1" si="0"/>
        <v>NO</v>
      </c>
      <c r="F48" s="33">
        <f>IFERROR(LoanData[[#This Row],[EMI]]/LoanData[[#This Row],[Monthly_Income]]*100," ")</f>
        <v>20.208475544348943</v>
      </c>
      <c r="G48" t="str" cm="1">
        <f t="array" ref="G48">_xlfn.IFS(F48&gt;40, "High DTI Risk",F48&gt;=25, "Moderate DTI",F48&lt;25, "Low DTI")</f>
        <v>Low DTI</v>
      </c>
      <c r="H48" t="str" cm="1">
        <f t="array" ref="H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8" t="str">
        <f>_xlfn.XLOOKUP(H48,Reference_Tables!$B$2:$B$7,Reference_Tables!$C$2:$C$7,,0,1)</f>
        <v>LR</v>
      </c>
      <c r="J48" t="str">
        <f>INDEX(Reference_Tables!$D$11:$D$36,MATCH(LoanData[[#This Row],[Branch]],Reference_Tables!$A$11:$A$36,0))</f>
        <v>Suman Tiwari</v>
      </c>
      <c r="L48" s="35"/>
    </row>
    <row r="49" spans="2:12" ht="15.6" x14ac:dyDescent="0.3">
      <c r="B49" s="15">
        <f>DATEDIF(Loan_Data!K:K,Loan_Data!L:L,"D")</f>
        <v>29</v>
      </c>
      <c r="C49" s="15">
        <f ca="1">DATEDIF(LoanData[[#This Row],[Approval_Date]],TODAY(),"M")</f>
        <v>34</v>
      </c>
      <c r="D49" s="31">
        <f>EDATE(LoanData[[#This Row],[Approval_Date]],LoanData[[#This Row],[Loan_Term_Months]])</f>
        <v>46291</v>
      </c>
      <c r="E49" t="str">
        <f t="shared" ca="1" si="0"/>
        <v>NO</v>
      </c>
      <c r="F49" s="33">
        <f>IFERROR(LoanData[[#This Row],[EMI]]/LoanData[[#This Row],[Monthly_Income]]*100," ")</f>
        <v>125.12368763480153</v>
      </c>
      <c r="G49" t="str" cm="1">
        <f t="array" ref="G49">_xlfn.IFS(F49&gt;40, "High DTI Risk",F49&gt;=25, "Moderate DTI",F49&lt;25, "Low DTI")</f>
        <v>High DTI Risk</v>
      </c>
      <c r="H49" t="str" cm="1">
        <f t="array" ref="H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9" t="str">
        <f>_xlfn.XLOOKUP(H49,Reference_Tables!$B$2:$B$7,Reference_Tables!$C$2:$C$7,,0,1)</f>
        <v>VHR</v>
      </c>
      <c r="J49" t="str">
        <f>INDEX(Reference_Tables!$D$11:$D$36,MATCH(LoanData[[#This Row],[Branch]],Reference_Tables!$A$11:$A$36,0))</f>
        <v>Jigar Mehta</v>
      </c>
      <c r="L49" s="35"/>
    </row>
    <row r="50" spans="2:12" ht="15.6" x14ac:dyDescent="0.3">
      <c r="B50" s="15">
        <f>DATEDIF(Loan_Data!K:K,Loan_Data!L:L,"D")</f>
        <v>24</v>
      </c>
      <c r="C50" s="15">
        <f ca="1">DATEDIF(LoanData[[#This Row],[Approval_Date]],TODAY(),"M")</f>
        <v>33</v>
      </c>
      <c r="D50" s="31">
        <f>EDATE(LoanData[[#This Row],[Approval_Date]],LoanData[[#This Row],[Loan_Term_Months]])</f>
        <v>46321</v>
      </c>
      <c r="E50" t="str">
        <f t="shared" ca="1" si="0"/>
        <v>NO</v>
      </c>
      <c r="F50" s="33">
        <f>IFERROR(LoanData[[#This Row],[EMI]]/LoanData[[#This Row],[Monthly_Income]]*100," ")</f>
        <v>20.948906114580552</v>
      </c>
      <c r="G50" t="str" cm="1">
        <f t="array" ref="G50">_xlfn.IFS(F50&gt;40, "High DTI Risk",F50&gt;=25, "Moderate DTI",F50&lt;25, "Low DTI")</f>
        <v>Low DTI</v>
      </c>
      <c r="H50" t="str" cm="1">
        <f t="array" ref="H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0" t="str">
        <f>_xlfn.XLOOKUP(H50,Reference_Tables!$B$2:$B$7,Reference_Tables!$C$2:$C$7,,0,1)</f>
        <v>HR</v>
      </c>
      <c r="J50" t="str">
        <f>INDEX(Reference_Tables!$D$11:$D$36,MATCH(LoanData[[#This Row],[Branch]],Reference_Tables!$A$11:$A$36,0))</f>
        <v>Hetal Patel</v>
      </c>
      <c r="L50" s="35"/>
    </row>
    <row r="51" spans="2:12" ht="15.6" x14ac:dyDescent="0.3">
      <c r="B51" s="15">
        <f>DATEDIF(Loan_Data!K:K,Loan_Data!L:L,"D")</f>
        <v>26</v>
      </c>
      <c r="C51" s="15">
        <f ca="1">DATEDIF(LoanData[[#This Row],[Approval_Date]],TODAY(),"M")</f>
        <v>62</v>
      </c>
      <c r="D51" s="31">
        <f>EDATE(LoanData[[#This Row],[Approval_Date]],LoanData[[#This Row],[Loan_Term_Months]])</f>
        <v>45433</v>
      </c>
      <c r="E51" t="str">
        <f t="shared" ca="1" si="0"/>
        <v>YES</v>
      </c>
      <c r="F51" s="33">
        <f>IFERROR(LoanData[[#This Row],[EMI]]/LoanData[[#This Row],[Monthly_Income]]*100," ")</f>
        <v>27.878115328743764</v>
      </c>
      <c r="G51" t="str" cm="1">
        <f t="array" ref="G51">_xlfn.IFS(F51&gt;40, "High DTI Risk",F51&gt;=25, "Moderate DTI",F51&lt;25, "Low DTI")</f>
        <v>Moderate DTI</v>
      </c>
      <c r="H51" t="str" cm="1">
        <f t="array" ref="H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1" t="str">
        <f>_xlfn.XLOOKUP(H51,Reference_Tables!$B$2:$B$7,Reference_Tables!$C$2:$C$7,,0,1)</f>
        <v>LR</v>
      </c>
      <c r="J51" t="str">
        <f>INDEX(Reference_Tables!$D$11:$D$36,MATCH(LoanData[[#This Row],[Branch]],Reference_Tables!$A$11:$A$36,0))</f>
        <v>Kavita Joshi</v>
      </c>
      <c r="L51" s="35"/>
    </row>
    <row r="52" spans="2:12" ht="15.6" x14ac:dyDescent="0.3">
      <c r="B52" s="15">
        <f>DATEDIF(Loan_Data!K:K,Loan_Data!L:L,"D")</f>
        <v>20</v>
      </c>
      <c r="C52" s="15">
        <f ca="1">DATEDIF(LoanData[[#This Row],[Approval_Date]],TODAY(),"M")</f>
        <v>54</v>
      </c>
      <c r="D52" s="31">
        <f>EDATE(LoanData[[#This Row],[Approval_Date]],LoanData[[#This Row],[Loan_Term_Months]])</f>
        <v>47166</v>
      </c>
      <c r="E52" t="str">
        <f t="shared" ca="1" si="0"/>
        <v>NO</v>
      </c>
      <c r="F52" s="33">
        <f>IFERROR(LoanData[[#This Row],[EMI]]/LoanData[[#This Row],[Monthly_Income]]*100," ")</f>
        <v>36.608128758970139</v>
      </c>
      <c r="G52" t="str" cm="1">
        <f t="array" ref="G52">_xlfn.IFS(F52&gt;40, "High DTI Risk",F52&gt;=25, "Moderate DTI",F52&lt;25, "Low DTI")</f>
        <v>Moderate DTI</v>
      </c>
      <c r="H52" t="str" cm="1">
        <f t="array" ref="H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2" t="str">
        <f>_xlfn.XLOOKUP(H52,Reference_Tables!$B$2:$B$7,Reference_Tables!$C$2:$C$7,,0,1)</f>
        <v>VHR</v>
      </c>
      <c r="J52" t="str">
        <f>INDEX(Reference_Tables!$D$11:$D$36,MATCH(LoanData[[#This Row],[Branch]],Reference_Tables!$A$11:$A$36,0))</f>
        <v>Vikram Malhotra</v>
      </c>
      <c r="L52" s="35"/>
    </row>
    <row r="53" spans="2:12" ht="15.6" x14ac:dyDescent="0.3">
      <c r="B53" s="15">
        <f>DATEDIF(Loan_Data!K:K,Loan_Data!L:L,"D")</f>
        <v>10</v>
      </c>
      <c r="C53" s="15">
        <f ca="1">DATEDIF(LoanData[[#This Row],[Approval_Date]],TODAY(),"M")</f>
        <v>35</v>
      </c>
      <c r="D53" s="31">
        <f>EDATE(LoanData[[#This Row],[Approval_Date]],LoanData[[#This Row],[Loan_Term_Months]])</f>
        <v>45897</v>
      </c>
      <c r="E53" t="str">
        <f t="shared" ca="1" si="0"/>
        <v>YES</v>
      </c>
      <c r="F53" s="33">
        <f>IFERROR(LoanData[[#This Row],[EMI]]/LoanData[[#This Row],[Monthly_Income]]*100," ")</f>
        <v>46.880492730024244</v>
      </c>
      <c r="G53" t="str" cm="1">
        <f t="array" ref="G53">_xlfn.IFS(F53&gt;40, "High DTI Risk",F53&gt;=25, "Moderate DTI",F53&lt;25, "Low DTI")</f>
        <v>High DTI Risk</v>
      </c>
      <c r="H53" t="str" cm="1">
        <f t="array" ref="H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3" t="str">
        <f>_xlfn.XLOOKUP(H53,Reference_Tables!$B$2:$B$7,Reference_Tables!$C$2:$C$7,,0,1)</f>
        <v>MR</v>
      </c>
      <c r="J53" t="str">
        <f>INDEX(Reference_Tables!$D$11:$D$36,MATCH(LoanData[[#This Row],[Branch]],Reference_Tables!$A$11:$A$36,0))</f>
        <v>Kavita Joshi</v>
      </c>
      <c r="L53" s="35"/>
    </row>
    <row r="54" spans="2:12" ht="15.6" x14ac:dyDescent="0.3">
      <c r="B54" s="15">
        <f>DATEDIF(Loan_Data!K:K,Loan_Data!L:L,"D")</f>
        <v>27</v>
      </c>
      <c r="C54" s="15">
        <f ca="1">DATEDIF(LoanData[[#This Row],[Approval_Date]],TODAY(),"M")</f>
        <v>37</v>
      </c>
      <c r="D54" s="31">
        <f>EDATE(LoanData[[#This Row],[Approval_Date]],LoanData[[#This Row],[Loan_Term_Months]])</f>
        <v>46563</v>
      </c>
      <c r="E54" t="str">
        <f t="shared" ca="1" si="0"/>
        <v>NO</v>
      </c>
      <c r="F54" s="33">
        <f>IFERROR(LoanData[[#This Row],[EMI]]/LoanData[[#This Row],[Monthly_Income]]*100," ")</f>
        <v>55.413991703250232</v>
      </c>
      <c r="G54" t="str" cm="1">
        <f t="array" ref="G54">_xlfn.IFS(F54&gt;40, "High DTI Risk",F54&gt;=25, "Moderate DTI",F54&lt;25, "Low DTI")</f>
        <v>High DTI Risk</v>
      </c>
      <c r="H54" t="str" cm="1">
        <f t="array" ref="H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4" t="str">
        <f>_xlfn.XLOOKUP(H54,Reference_Tables!$B$2:$B$7,Reference_Tables!$C$2:$C$7,,0,1)</f>
        <v>LR</v>
      </c>
      <c r="J54" t="str">
        <f>INDEX(Reference_Tables!$D$11:$D$36,MATCH(LoanData[[#This Row],[Branch]],Reference_Tables!$A$11:$A$36,0))</f>
        <v>Debashis Das</v>
      </c>
      <c r="L54" s="35"/>
    </row>
    <row r="55" spans="2:12" ht="15.6" x14ac:dyDescent="0.3">
      <c r="B55" s="15">
        <f>DATEDIF(Loan_Data!K:K,Loan_Data!L:L,"D")</f>
        <v>30</v>
      </c>
      <c r="C55" s="15">
        <f ca="1">DATEDIF(LoanData[[#This Row],[Approval_Date]],TODAY(),"M")</f>
        <v>47</v>
      </c>
      <c r="D55" s="31">
        <f>EDATE(LoanData[[#This Row],[Approval_Date]],LoanData[[#This Row],[Loan_Term_Months]])</f>
        <v>45180</v>
      </c>
      <c r="E55" t="str">
        <f t="shared" ca="1" si="0"/>
        <v>YES</v>
      </c>
      <c r="F55" s="33">
        <f>IFERROR(LoanData[[#This Row],[EMI]]/LoanData[[#This Row],[Monthly_Income]]*100," ")</f>
        <v>248.18436563784573</v>
      </c>
      <c r="G55" t="str" cm="1">
        <f t="array" ref="G55">_xlfn.IFS(F55&gt;40, "High DTI Risk",F55&gt;=25, "Moderate DTI",F55&lt;25, "Low DTI")</f>
        <v>High DTI Risk</v>
      </c>
      <c r="H55" t="str" cm="1">
        <f t="array" ref="H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5" t="str">
        <f>_xlfn.XLOOKUP(H55,Reference_Tables!$B$2:$B$7,Reference_Tables!$C$2:$C$7,,0,1)</f>
        <v>MR</v>
      </c>
      <c r="J55" t="str">
        <f>INDEX(Reference_Tables!$D$11:$D$36,MATCH(LoanData[[#This Row],[Branch]],Reference_Tables!$A$11:$A$36,0))</f>
        <v>Ananya Sharma</v>
      </c>
      <c r="L55" s="35"/>
    </row>
    <row r="56" spans="2:12" ht="15.6" x14ac:dyDescent="0.3">
      <c r="B56" s="15">
        <f>DATEDIF(Loan_Data!K:K,Loan_Data!L:L,"D")</f>
        <v>15</v>
      </c>
      <c r="C56" s="15">
        <f ca="1">DATEDIF(LoanData[[#This Row],[Approval_Date]],TODAY(),"M")</f>
        <v>56</v>
      </c>
      <c r="D56" s="31">
        <f>EDATE(LoanData[[#This Row],[Approval_Date]],LoanData[[#This Row],[Loan_Term_Months]])</f>
        <v>45274</v>
      </c>
      <c r="E56" t="str">
        <f t="shared" ca="1" si="0"/>
        <v>YES</v>
      </c>
      <c r="F56" s="33">
        <f>IFERROR(LoanData[[#This Row],[EMI]]/LoanData[[#This Row],[Monthly_Income]]*100," ")</f>
        <v>115.51275624661561</v>
      </c>
      <c r="G56" t="str" cm="1">
        <f t="array" ref="G56">_xlfn.IFS(F56&gt;40, "High DTI Risk",F56&gt;=25, "Moderate DTI",F56&lt;25, "Low DTI")</f>
        <v>High DTI Risk</v>
      </c>
      <c r="H56" t="str" cm="1">
        <f t="array" ref="H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56" t="str">
        <f>_xlfn.XLOOKUP(H56,Reference_Tables!$B$2:$B$7,Reference_Tables!$C$2:$C$7,,0,1)</f>
        <v>UC</v>
      </c>
      <c r="J56" t="str">
        <f>INDEX(Reference_Tables!$D$11:$D$36,MATCH(LoanData[[#This Row],[Branch]],Reference_Tables!$A$11:$A$36,0))</f>
        <v>Arvind Pillai</v>
      </c>
      <c r="L56" s="35"/>
    </row>
    <row r="57" spans="2:12" ht="15.6" x14ac:dyDescent="0.3">
      <c r="B57" s="15">
        <f>DATEDIF(Loan_Data!K:K,Loan_Data!L:L,"D")</f>
        <v>23</v>
      </c>
      <c r="C57" s="15">
        <f ca="1">DATEDIF(LoanData[[#This Row],[Approval_Date]],TODAY(),"M")</f>
        <v>59</v>
      </c>
      <c r="D57" s="31">
        <f>EDATE(LoanData[[#This Row],[Approval_Date]],LoanData[[#This Row],[Loan_Term_Months]])</f>
        <v>44806</v>
      </c>
      <c r="E57" t="str">
        <f t="shared" ca="1" si="0"/>
        <v>YES</v>
      </c>
      <c r="F57" s="33" t="str">
        <f>IFERROR(LoanData[[#This Row],[EMI]]/LoanData[[#This Row],[Monthly_Income]]*100," ")</f>
        <v xml:space="preserve"> </v>
      </c>
      <c r="G57" t="str" cm="1">
        <f t="array" ref="G57">_xlfn.IFS(F57&gt;40, "High DTI Risk",F57&gt;=25, "Moderate DTI",F57&lt;25, "Low DTI")</f>
        <v>High DTI Risk</v>
      </c>
      <c r="H57" t="str" cm="1">
        <f t="array" ref="H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7" t="str">
        <f>_xlfn.XLOOKUP(H57,Reference_Tables!$B$2:$B$7,Reference_Tables!$C$2:$C$7,,0,1)</f>
        <v>LR</v>
      </c>
      <c r="J57" t="str">
        <f>INDEX(Reference_Tables!$D$11:$D$36,MATCH(LoanData[[#This Row],[Branch]],Reference_Tables!$A$11:$A$36,0))</f>
        <v>Ravi Verma</v>
      </c>
      <c r="L57" s="35"/>
    </row>
    <row r="58" spans="2:12" ht="15.6" x14ac:dyDescent="0.3">
      <c r="B58" s="15">
        <f>DATEDIF(Loan_Data!K:K,Loan_Data!L:L,"D")</f>
        <v>24</v>
      </c>
      <c r="C58" s="15">
        <f ca="1">DATEDIF(LoanData[[#This Row],[Approval_Date]],TODAY(),"M")</f>
        <v>63</v>
      </c>
      <c r="D58" s="31">
        <f>EDATE(LoanData[[#This Row],[Approval_Date]],LoanData[[#This Row],[Loan_Term_Months]])</f>
        <v>47963</v>
      </c>
      <c r="E58" t="str">
        <f t="shared" ca="1" si="0"/>
        <v>NO</v>
      </c>
      <c r="F58" s="33">
        <f>IFERROR(LoanData[[#This Row],[EMI]]/LoanData[[#This Row],[Monthly_Income]]*100," ")</f>
        <v>10.146461765594067</v>
      </c>
      <c r="G58" t="str" cm="1">
        <f t="array" ref="G58">_xlfn.IFS(F58&gt;40, "High DTI Risk",F58&gt;=25, "Moderate DTI",F58&lt;25, "Low DTI")</f>
        <v>Low DTI</v>
      </c>
      <c r="H58" t="str" cm="1">
        <f t="array" ref="H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8" t="str">
        <f>_xlfn.XLOOKUP(H58,Reference_Tables!$B$2:$B$7,Reference_Tables!$C$2:$C$7,,0,1)</f>
        <v>MR</v>
      </c>
      <c r="J58" t="str">
        <f>INDEX(Reference_Tables!$D$11:$D$36,MATCH(LoanData[[#This Row],[Branch]],Reference_Tables!$A$11:$A$36,0))</f>
        <v>Hetal Patel</v>
      </c>
      <c r="L58" s="35"/>
    </row>
    <row r="59" spans="2:12" ht="15.6" x14ac:dyDescent="0.3">
      <c r="B59" s="15">
        <f>DATEDIF(Loan_Data!K:K,Loan_Data!L:L,"D")</f>
        <v>25</v>
      </c>
      <c r="C59" s="15">
        <f ca="1">DATEDIF(LoanData[[#This Row],[Approval_Date]],TODAY(),"M")</f>
        <v>38</v>
      </c>
      <c r="D59" s="31">
        <f>EDATE(LoanData[[#This Row],[Approval_Date]],LoanData[[#This Row],[Loan_Term_Months]])</f>
        <v>52397</v>
      </c>
      <c r="E59" t="str">
        <f t="shared" ca="1" si="0"/>
        <v>NO</v>
      </c>
      <c r="F59" s="33">
        <f>IFERROR(LoanData[[#This Row],[EMI]]/LoanData[[#This Row],[Monthly_Income]]*100," ")</f>
        <v>7.7807297019527235</v>
      </c>
      <c r="G59" t="str" cm="1">
        <f t="array" ref="G59">_xlfn.IFS(F59&gt;40, "High DTI Risk",F59&gt;=25, "Moderate DTI",F59&lt;25, "Low DTI")</f>
        <v>Low DTI</v>
      </c>
      <c r="H59" t="str" cm="1">
        <f t="array" ref="H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9" t="str">
        <f>_xlfn.XLOOKUP(H59,Reference_Tables!$B$2:$B$7,Reference_Tables!$C$2:$C$7,,0,1)</f>
        <v>VHR</v>
      </c>
      <c r="J59" t="str">
        <f>INDEX(Reference_Tables!$D$11:$D$36,MATCH(LoanData[[#This Row],[Branch]],Reference_Tables!$A$11:$A$36,0))</f>
        <v>Suman Tiwari</v>
      </c>
      <c r="L59" s="35"/>
    </row>
    <row r="60" spans="2:12" ht="15.6" x14ac:dyDescent="0.3">
      <c r="B60" s="15">
        <f>DATEDIF(Loan_Data!K:K,Loan_Data!L:L,"D")</f>
        <v>9</v>
      </c>
      <c r="C60" s="15">
        <f ca="1">DATEDIF(LoanData[[#This Row],[Approval_Date]],TODAY(),"M")</f>
        <v>45</v>
      </c>
      <c r="D60" s="31">
        <f>EDATE(LoanData[[#This Row],[Approval_Date]],LoanData[[#This Row],[Loan_Term_Months]])</f>
        <v>47436</v>
      </c>
      <c r="E60" t="str">
        <f t="shared" ca="1" si="0"/>
        <v>NO</v>
      </c>
      <c r="F60" s="33">
        <f>IFERROR(LoanData[[#This Row],[EMI]]/LoanData[[#This Row],[Monthly_Income]]*100," ")</f>
        <v>25.392051422089651</v>
      </c>
      <c r="G60" t="str" cm="1">
        <f t="array" ref="G60">_xlfn.IFS(F60&gt;40, "High DTI Risk",F60&gt;=25, "Moderate DTI",F60&lt;25, "Low DTI")</f>
        <v>Moderate DTI</v>
      </c>
      <c r="H60" t="str" cm="1">
        <f t="array" ref="H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0" t="str">
        <f>_xlfn.XLOOKUP(H60,Reference_Tables!$B$2:$B$7,Reference_Tables!$C$2:$C$7,,0,1)</f>
        <v>VHR</v>
      </c>
      <c r="J60" t="str">
        <f>INDEX(Reference_Tables!$D$11:$D$36,MATCH(LoanData[[#This Row],[Branch]],Reference_Tables!$A$11:$A$36,0))</f>
        <v>Priyanka Gupta</v>
      </c>
      <c r="L60" s="35"/>
    </row>
    <row r="61" spans="2:12" ht="15.6" x14ac:dyDescent="0.3">
      <c r="B61" s="15">
        <f>DATEDIF(Loan_Data!K:K,Loan_Data!L:L,"D")</f>
        <v>14</v>
      </c>
      <c r="C61" s="15">
        <f ca="1">DATEDIF(LoanData[[#This Row],[Approval_Date]],TODAY(),"M")</f>
        <v>59</v>
      </c>
      <c r="D61" s="31">
        <f>EDATE(LoanData[[#This Row],[Approval_Date]],LoanData[[#This Row],[Loan_Term_Months]])</f>
        <v>45179</v>
      </c>
      <c r="E61" t="str">
        <f t="shared" ca="1" si="0"/>
        <v>YES</v>
      </c>
      <c r="F61" s="33">
        <f>IFERROR(LoanData[[#This Row],[EMI]]/LoanData[[#This Row],[Monthly_Income]]*100," ")</f>
        <v>35.498525350167689</v>
      </c>
      <c r="G61" t="str" cm="1">
        <f t="array" ref="G61">_xlfn.IFS(F61&gt;40, "High DTI Risk",F61&gt;=25, "Moderate DTI",F61&lt;25, "Low DTI")</f>
        <v>Moderate DTI</v>
      </c>
      <c r="H61" t="str" cm="1">
        <f t="array" ref="H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1" t="str">
        <f>_xlfn.XLOOKUP(H61,Reference_Tables!$B$2:$B$7,Reference_Tables!$C$2:$C$7,,0,1)</f>
        <v>LR</v>
      </c>
      <c r="J61" t="str">
        <f>INDEX(Reference_Tables!$D$11:$D$36,MATCH(LoanData[[#This Row],[Branch]],Reference_Tables!$A$11:$A$36,0))</f>
        <v>Debashis Das</v>
      </c>
      <c r="L61" s="35"/>
    </row>
    <row r="62" spans="2:12" ht="15.6" x14ac:dyDescent="0.3">
      <c r="B62" s="15">
        <f>DATEDIF(Loan_Data!K:K,Loan_Data!L:L,"D")</f>
        <v>17</v>
      </c>
      <c r="C62" s="15">
        <f ca="1">DATEDIF(LoanData[[#This Row],[Approval_Date]],TODAY(),"M")</f>
        <v>46</v>
      </c>
      <c r="D62" s="31">
        <f>EDATE(LoanData[[#This Row],[Approval_Date]],LoanData[[#This Row],[Loan_Term_Months]])</f>
        <v>47382</v>
      </c>
      <c r="E62" t="str">
        <f t="shared" ca="1" si="0"/>
        <v>NO</v>
      </c>
      <c r="F62" s="33">
        <f>IFERROR(LoanData[[#This Row],[EMI]]/LoanData[[#This Row],[Monthly_Income]]*100," ")</f>
        <v>32.491576751835069</v>
      </c>
      <c r="G62" t="str" cm="1">
        <f t="array" ref="G62">_xlfn.IFS(F62&gt;40, "High DTI Risk",F62&gt;=25, "Moderate DTI",F62&lt;25, "Low DTI")</f>
        <v>Moderate DTI</v>
      </c>
      <c r="H62" t="str" cm="1">
        <f t="array" ref="H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2" t="str">
        <f>_xlfn.XLOOKUP(H62,Reference_Tables!$B$2:$B$7,Reference_Tables!$C$2:$C$7,,0,1)</f>
        <v>LR</v>
      </c>
      <c r="J62" t="str">
        <f>INDEX(Reference_Tables!$D$11:$D$36,MATCH(LoanData[[#This Row],[Branch]],Reference_Tables!$A$11:$A$36,0))</f>
        <v>Meena Iyer</v>
      </c>
      <c r="L62" s="35"/>
    </row>
    <row r="63" spans="2:12" ht="15.6" x14ac:dyDescent="0.3">
      <c r="B63" s="15">
        <f>DATEDIF(Loan_Data!K:K,Loan_Data!L:L,"D")</f>
        <v>17</v>
      </c>
      <c r="C63" s="15">
        <f ca="1">DATEDIF(LoanData[[#This Row],[Approval_Date]],TODAY(),"M")</f>
        <v>51</v>
      </c>
      <c r="D63" s="31">
        <f>EDATE(LoanData[[#This Row],[Approval_Date]],LoanData[[#This Row],[Loan_Term_Months]])</f>
        <v>45775</v>
      </c>
      <c r="E63" t="str">
        <f t="shared" ca="1" si="0"/>
        <v>YES</v>
      </c>
      <c r="F63" s="33">
        <f>IFERROR(LoanData[[#This Row],[EMI]]/LoanData[[#This Row],[Monthly_Income]]*100," ")</f>
        <v>15.669328077733979</v>
      </c>
      <c r="G63" t="str" cm="1">
        <f t="array" ref="G63">_xlfn.IFS(F63&gt;40, "High DTI Risk",F63&gt;=25, "Moderate DTI",F63&lt;25, "Low DTI")</f>
        <v>Low DTI</v>
      </c>
      <c r="H63" t="str" cm="1">
        <f t="array" ref="H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3" t="str">
        <f>_xlfn.XLOOKUP(H63,Reference_Tables!$B$2:$B$7,Reference_Tables!$C$2:$C$7,,0,1)</f>
        <v>HR</v>
      </c>
      <c r="J63" t="str">
        <f>INDEX(Reference_Tables!$D$11:$D$36,MATCH(LoanData[[#This Row],[Branch]],Reference_Tables!$A$11:$A$36,0))</f>
        <v>Kavita Joshi</v>
      </c>
      <c r="L63" s="35"/>
    </row>
    <row r="64" spans="2:12" ht="15.6" x14ac:dyDescent="0.3">
      <c r="B64" s="15">
        <f>DATEDIF(Loan_Data!K:K,Loan_Data!L:L,"D")</f>
        <v>6</v>
      </c>
      <c r="C64" s="15">
        <f ca="1">DATEDIF(LoanData[[#This Row],[Approval_Date]],TODAY(),"M")</f>
        <v>42</v>
      </c>
      <c r="D64" s="31">
        <f>EDATE(LoanData[[#This Row],[Approval_Date]],LoanData[[#This Row],[Loan_Term_Months]])</f>
        <v>48616</v>
      </c>
      <c r="E64" t="str">
        <f t="shared" ca="1" si="0"/>
        <v>NO</v>
      </c>
      <c r="F64" s="33">
        <f>IFERROR(LoanData[[#This Row],[EMI]]/LoanData[[#This Row],[Monthly_Income]]*100," ")</f>
        <v>61.930182043856021</v>
      </c>
      <c r="G64" t="str" cm="1">
        <f t="array" ref="G64">_xlfn.IFS(F64&gt;40, "High DTI Risk",F64&gt;=25, "Moderate DTI",F64&lt;25, "Low DTI")</f>
        <v>High DTI Risk</v>
      </c>
      <c r="H64" t="str" cm="1">
        <f t="array" ref="H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4" t="str">
        <f>_xlfn.XLOOKUP(H64,Reference_Tables!$B$2:$B$7,Reference_Tables!$C$2:$C$7,,0,1)</f>
        <v>LR</v>
      </c>
      <c r="J64" t="str">
        <f>INDEX(Reference_Tables!$D$11:$D$36,MATCH(LoanData[[#This Row],[Branch]],Reference_Tables!$A$11:$A$36,0))</f>
        <v>Tapan Panda</v>
      </c>
      <c r="L64" s="35"/>
    </row>
    <row r="65" spans="2:12" ht="15.6" x14ac:dyDescent="0.3">
      <c r="B65" s="15">
        <f>DATEDIF(Loan_Data!K:K,Loan_Data!L:L,"D")</f>
        <v>22</v>
      </c>
      <c r="C65" s="15">
        <f ca="1">DATEDIF(LoanData[[#This Row],[Approval_Date]],TODAY(),"M")</f>
        <v>43</v>
      </c>
      <c r="D65" s="31">
        <f>EDATE(LoanData[[#This Row],[Approval_Date]],LoanData[[#This Row],[Loan_Term_Months]])</f>
        <v>46767</v>
      </c>
      <c r="E65" t="str">
        <f t="shared" ca="1" si="0"/>
        <v>NO</v>
      </c>
      <c r="F65" s="33">
        <f>IFERROR(LoanData[[#This Row],[EMI]]/LoanData[[#This Row],[Monthly_Income]]*100," ")</f>
        <v>22.002476179156513</v>
      </c>
      <c r="G65" t="str" cm="1">
        <f t="array" ref="G65">_xlfn.IFS(F65&gt;40, "High DTI Risk",F65&gt;=25, "Moderate DTI",F65&lt;25, "Low DTI")</f>
        <v>Low DTI</v>
      </c>
      <c r="H65" t="str" cm="1">
        <f t="array" ref="H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5" t="str">
        <f>_xlfn.XLOOKUP(H65,Reference_Tables!$B$2:$B$7,Reference_Tables!$C$2:$C$7,,0,1)</f>
        <v>VHR</v>
      </c>
      <c r="J65" t="str">
        <f>INDEX(Reference_Tables!$D$11:$D$36,MATCH(LoanData[[#This Row],[Branch]],Reference_Tables!$A$11:$A$36,0))</f>
        <v>Sachin Deshpande</v>
      </c>
      <c r="L65" s="35"/>
    </row>
    <row r="66" spans="2:12" ht="15.6" x14ac:dyDescent="0.3">
      <c r="B66" s="15">
        <f>DATEDIF(Loan_Data!K:K,Loan_Data!L:L,"D")</f>
        <v>25</v>
      </c>
      <c r="C66" s="15">
        <f ca="1">DATEDIF(LoanData[[#This Row],[Approval_Date]],TODAY(),"M")</f>
        <v>54</v>
      </c>
      <c r="D66" s="31">
        <f>EDATE(LoanData[[#This Row],[Approval_Date]],LoanData[[#This Row],[Loan_Term_Months]])</f>
        <v>46416</v>
      </c>
      <c r="E66" t="str">
        <f t="shared" ref="E66:E129" ca="1" si="1">IF(D66&lt;TODAY(),"YES","NO")</f>
        <v>NO</v>
      </c>
      <c r="F66" s="33">
        <f>IFERROR(LoanData[[#This Row],[EMI]]/LoanData[[#This Row],[Monthly_Income]]*100," ")</f>
        <v>45.386390904416388</v>
      </c>
      <c r="G66" t="str" cm="1">
        <f t="array" ref="G66">_xlfn.IFS(F66&gt;40, "High DTI Risk",F66&gt;=25, "Moderate DTI",F66&lt;25, "Low DTI")</f>
        <v>High DTI Risk</v>
      </c>
      <c r="H66" t="str" cm="1">
        <f t="array" ref="H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6" t="str">
        <f>_xlfn.XLOOKUP(H66,Reference_Tables!$B$2:$B$7,Reference_Tables!$C$2:$C$7,,0,1)</f>
        <v>VHR</v>
      </c>
      <c r="J66" t="str">
        <f>INDEX(Reference_Tables!$D$11:$D$36,MATCH(LoanData[[#This Row],[Branch]],Reference_Tables!$A$11:$A$36,0))</f>
        <v>Suresh Menon</v>
      </c>
      <c r="L66" s="35"/>
    </row>
    <row r="67" spans="2:12" ht="15.6" x14ac:dyDescent="0.3">
      <c r="B67" s="15">
        <f>DATEDIF(Loan_Data!K:K,Loan_Data!L:L,"D")</f>
        <v>8</v>
      </c>
      <c r="C67" s="15">
        <f ca="1">DATEDIF(LoanData[[#This Row],[Approval_Date]],TODAY(),"M")</f>
        <v>56</v>
      </c>
      <c r="D67" s="31">
        <f>EDATE(LoanData[[#This Row],[Approval_Date]],LoanData[[#This Row],[Loan_Term_Months]])</f>
        <v>45250</v>
      </c>
      <c r="E67" t="str">
        <f t="shared" ca="1" si="1"/>
        <v>YES</v>
      </c>
      <c r="F67" s="33">
        <f>IFERROR(LoanData[[#This Row],[EMI]]/LoanData[[#This Row],[Monthly_Income]]*100," ")</f>
        <v>104.64698508752971</v>
      </c>
      <c r="G67" t="str" cm="1">
        <f t="array" ref="G67">_xlfn.IFS(F67&gt;40, "High DTI Risk",F67&gt;=25, "Moderate DTI",F67&lt;25, "Low DTI")</f>
        <v>High DTI Risk</v>
      </c>
      <c r="H67" t="str" cm="1">
        <f t="array" ref="H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7" t="str">
        <f>_xlfn.XLOOKUP(H67,Reference_Tables!$B$2:$B$7,Reference_Tables!$C$2:$C$7,,0,1)</f>
        <v>HR</v>
      </c>
      <c r="J67" t="str">
        <f>INDEX(Reference_Tables!$D$11:$D$36,MATCH(LoanData[[#This Row],[Branch]],Reference_Tables!$A$11:$A$36,0))</f>
        <v>Suman Tiwari</v>
      </c>
      <c r="L67" s="35"/>
    </row>
    <row r="68" spans="2:12" ht="15.6" x14ac:dyDescent="0.3">
      <c r="B68" s="15">
        <f>DATEDIF(Loan_Data!K:K,Loan_Data!L:L,"D")</f>
        <v>27</v>
      </c>
      <c r="C68" s="15">
        <f ca="1">DATEDIF(LoanData[[#This Row],[Approval_Date]],TODAY(),"M")</f>
        <v>64</v>
      </c>
      <c r="D68" s="31">
        <f>EDATE(LoanData[[#This Row],[Approval_Date]],LoanData[[#This Row],[Loan_Term_Months]])</f>
        <v>51596</v>
      </c>
      <c r="E68" t="str">
        <f t="shared" ca="1" si="1"/>
        <v>NO</v>
      </c>
      <c r="F68" s="33">
        <f>IFERROR(LoanData[[#This Row],[EMI]]/LoanData[[#This Row],[Monthly_Income]]*100," ")</f>
        <v>4.3041415012942199</v>
      </c>
      <c r="G68" t="str" cm="1">
        <f t="array" ref="G68">_xlfn.IFS(F68&gt;40, "High DTI Risk",F68&gt;=25, "Moderate DTI",F68&lt;25, "Low DTI")</f>
        <v>Low DTI</v>
      </c>
      <c r="H68" t="str" cm="1">
        <f t="array" ref="H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8" t="str">
        <f>_xlfn.XLOOKUP(H68,Reference_Tables!$B$2:$B$7,Reference_Tables!$C$2:$C$7,,0,1)</f>
        <v>LR</v>
      </c>
      <c r="J68" t="str">
        <f>INDEX(Reference_Tables!$D$11:$D$36,MATCH(LoanData[[#This Row],[Branch]],Reference_Tables!$A$11:$A$36,0))</f>
        <v>Arvind Pillai</v>
      </c>
      <c r="L68" s="35"/>
    </row>
    <row r="69" spans="2:12" ht="15.6" x14ac:dyDescent="0.3">
      <c r="B69" s="15">
        <f>DATEDIF(Loan_Data!K:K,Loan_Data!L:L,"D")</f>
        <v>28</v>
      </c>
      <c r="C69" s="15">
        <f ca="1">DATEDIF(LoanData[[#This Row],[Approval_Date]],TODAY(),"M")</f>
        <v>31</v>
      </c>
      <c r="D69" s="31">
        <f>EDATE(LoanData[[#This Row],[Approval_Date]],LoanData[[#This Row],[Loan_Term_Months]])</f>
        <v>50764</v>
      </c>
      <c r="E69" t="str">
        <f t="shared" ca="1" si="1"/>
        <v>NO</v>
      </c>
      <c r="F69" s="33">
        <f>IFERROR(LoanData[[#This Row],[EMI]]/LoanData[[#This Row],[Monthly_Income]]*100," ")</f>
        <v>31.171650866476881</v>
      </c>
      <c r="G69" t="str" cm="1">
        <f t="array" ref="G69">_xlfn.IFS(F69&gt;40, "High DTI Risk",F69&gt;=25, "Moderate DTI",F69&lt;25, "Low DTI")</f>
        <v>Moderate DTI</v>
      </c>
      <c r="H69" t="str" cm="1">
        <f t="array" ref="H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9" t="str">
        <f>_xlfn.XLOOKUP(H69,Reference_Tables!$B$2:$B$7,Reference_Tables!$C$2:$C$7,,0,1)</f>
        <v>MR</v>
      </c>
      <c r="J69" t="str">
        <f>INDEX(Reference_Tables!$D$11:$D$36,MATCH(LoanData[[#This Row],[Branch]],Reference_Tables!$A$11:$A$36,0))</f>
        <v>Santhosh Rao</v>
      </c>
      <c r="L69" s="35"/>
    </row>
    <row r="70" spans="2:12" ht="15.6" x14ac:dyDescent="0.3">
      <c r="B70" s="15">
        <f>DATEDIF(Loan_Data!K:K,Loan_Data!L:L,"D")</f>
        <v>5</v>
      </c>
      <c r="C70" s="15">
        <f ca="1">DATEDIF(LoanData[[#This Row],[Approval_Date]],TODAY(),"M")</f>
        <v>35</v>
      </c>
      <c r="D70" s="31">
        <f>EDATE(LoanData[[#This Row],[Approval_Date]],LoanData[[#This Row],[Loan_Term_Months]])</f>
        <v>48836</v>
      </c>
      <c r="E70" t="str">
        <f t="shared" ca="1" si="1"/>
        <v>NO</v>
      </c>
      <c r="F70" s="33">
        <f>IFERROR(LoanData[[#This Row],[EMI]]/LoanData[[#This Row],[Monthly_Income]]*100," ")</f>
        <v>10.717681139487507</v>
      </c>
      <c r="G70" t="str" cm="1">
        <f t="array" ref="G70">_xlfn.IFS(F70&gt;40, "High DTI Risk",F70&gt;=25, "Moderate DTI",F70&lt;25, "Low DTI")</f>
        <v>Low DTI</v>
      </c>
      <c r="H70" t="str" cm="1">
        <f t="array" ref="H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0" t="str">
        <f>_xlfn.XLOOKUP(H70,Reference_Tables!$B$2:$B$7,Reference_Tables!$C$2:$C$7,,0,1)</f>
        <v>MR</v>
      </c>
      <c r="J70" t="str">
        <f>INDEX(Reference_Tables!$D$11:$D$36,MATCH(LoanData[[#This Row],[Branch]],Reference_Tables!$A$11:$A$36,0))</f>
        <v>Sandeep Saxena</v>
      </c>
      <c r="L70" s="35"/>
    </row>
    <row r="71" spans="2:12" ht="15.6" x14ac:dyDescent="0.3">
      <c r="B71" s="15">
        <f>DATEDIF(Loan_Data!K:K,Loan_Data!L:L,"D")</f>
        <v>28</v>
      </c>
      <c r="C71" s="15">
        <f ca="1">DATEDIF(LoanData[[#This Row],[Approval_Date]],TODAY(),"M")</f>
        <v>44</v>
      </c>
      <c r="D71" s="31">
        <f>EDATE(LoanData[[#This Row],[Approval_Date]],LoanData[[#This Row],[Loan_Term_Months]])</f>
        <v>46001</v>
      </c>
      <c r="E71" t="str">
        <f t="shared" ca="1" si="1"/>
        <v>YES</v>
      </c>
      <c r="F71" s="33">
        <f>IFERROR(LoanData[[#This Row],[EMI]]/LoanData[[#This Row],[Monthly_Income]]*100," ")</f>
        <v>31.76723390845348</v>
      </c>
      <c r="G71" t="str" cm="1">
        <f t="array" ref="G71">_xlfn.IFS(F71&gt;40, "High DTI Risk",F71&gt;=25, "Moderate DTI",F71&lt;25, "Low DTI")</f>
        <v>Moderate DTI</v>
      </c>
      <c r="H71" t="str" cm="1">
        <f t="array" ref="H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1" t="str">
        <f>_xlfn.XLOOKUP(H71,Reference_Tables!$B$2:$B$7,Reference_Tables!$C$2:$C$7,,0,1)</f>
        <v>VHR</v>
      </c>
      <c r="J71" t="str">
        <f>INDEX(Reference_Tables!$D$11:$D$36,MATCH(LoanData[[#This Row],[Branch]],Reference_Tables!$A$11:$A$36,0))</f>
        <v>Lakshmi Reddy</v>
      </c>
      <c r="L71" s="35"/>
    </row>
    <row r="72" spans="2:12" ht="15.6" x14ac:dyDescent="0.3">
      <c r="B72" s="15">
        <f>DATEDIF(Loan_Data!K:K,Loan_Data!L:L,"D")</f>
        <v>15</v>
      </c>
      <c r="C72" s="15">
        <f ca="1">DATEDIF(LoanData[[#This Row],[Approval_Date]],TODAY(),"M")</f>
        <v>34</v>
      </c>
      <c r="D72" s="31">
        <f>EDATE(LoanData[[#This Row],[Approval_Date]],LoanData[[#This Row],[Loan_Term_Months]])</f>
        <v>48863</v>
      </c>
      <c r="E72" t="str">
        <f t="shared" ca="1" si="1"/>
        <v>NO</v>
      </c>
      <c r="F72" s="33">
        <f>IFERROR(LoanData[[#This Row],[EMI]]/LoanData[[#This Row],[Monthly_Income]]*100," ")</f>
        <v>48.830454285168926</v>
      </c>
      <c r="G72" t="str" cm="1">
        <f t="array" ref="G72">_xlfn.IFS(F72&gt;40, "High DTI Risk",F72&gt;=25, "Moderate DTI",F72&lt;25, "Low DTI")</f>
        <v>High DTI Risk</v>
      </c>
      <c r="H72" t="str" cm="1">
        <f t="array" ref="H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2" t="str">
        <f>_xlfn.XLOOKUP(H72,Reference_Tables!$B$2:$B$7,Reference_Tables!$C$2:$C$7,,0,1)</f>
        <v>LR</v>
      </c>
      <c r="J72" t="str">
        <f>INDEX(Reference_Tables!$D$11:$D$36,MATCH(LoanData[[#This Row],[Branch]],Reference_Tables!$A$11:$A$36,0))</f>
        <v>Sandeep Saxena</v>
      </c>
      <c r="L72" s="35"/>
    </row>
    <row r="73" spans="2:12" ht="15.6" x14ac:dyDescent="0.3">
      <c r="B73" s="15">
        <f>DATEDIF(Loan_Data!K:K,Loan_Data!L:L,"D")</f>
        <v>5</v>
      </c>
      <c r="C73" s="15">
        <f ca="1">DATEDIF(LoanData[[#This Row],[Approval_Date]],TODAY(),"M")</f>
        <v>50</v>
      </c>
      <c r="D73" s="31">
        <f>EDATE(LoanData[[#This Row],[Approval_Date]],LoanData[[#This Row],[Loan_Term_Months]])</f>
        <v>52013</v>
      </c>
      <c r="E73" t="str">
        <f t="shared" ca="1" si="1"/>
        <v>NO</v>
      </c>
      <c r="F73" s="33">
        <f>IFERROR(LoanData[[#This Row],[EMI]]/LoanData[[#This Row],[Monthly_Income]]*100," ")</f>
        <v>7.5358734938150995</v>
      </c>
      <c r="G73" t="str" cm="1">
        <f t="array" ref="G73">_xlfn.IFS(F73&gt;40, "High DTI Risk",F73&gt;=25, "Moderate DTI",F73&lt;25, "Low DTI")</f>
        <v>Low DTI</v>
      </c>
      <c r="H73" t="str" cm="1">
        <f t="array" ref="H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3" t="str">
        <f>_xlfn.XLOOKUP(H73,Reference_Tables!$B$2:$B$7,Reference_Tables!$C$2:$C$7,,0,1)</f>
        <v>VHR</v>
      </c>
      <c r="J73" t="str">
        <f>INDEX(Reference_Tables!$D$11:$D$36,MATCH(LoanData[[#This Row],[Branch]],Reference_Tables!$A$11:$A$36,0))</f>
        <v>Amit Kumar</v>
      </c>
      <c r="L73" s="35"/>
    </row>
    <row r="74" spans="2:12" ht="15.6" x14ac:dyDescent="0.3">
      <c r="B74" s="15">
        <f>DATEDIF(Loan_Data!K:K,Loan_Data!L:L,"D")</f>
        <v>19</v>
      </c>
      <c r="C74" s="15">
        <f ca="1">DATEDIF(LoanData[[#This Row],[Approval_Date]],TODAY(),"M")</f>
        <v>37</v>
      </c>
      <c r="D74" s="31">
        <f>EDATE(LoanData[[#This Row],[Approval_Date]],LoanData[[#This Row],[Loan_Term_Months]])</f>
        <v>45491</v>
      </c>
      <c r="E74" t="str">
        <f t="shared" ca="1" si="1"/>
        <v>YES</v>
      </c>
      <c r="F74" s="33">
        <f>IFERROR(LoanData[[#This Row],[EMI]]/LoanData[[#This Row],[Monthly_Income]]*100," ")</f>
        <v>236.21801132526366</v>
      </c>
      <c r="G74" t="str" cm="1">
        <f t="array" ref="G74">_xlfn.IFS(F74&gt;40, "High DTI Risk",F74&gt;=25, "Moderate DTI",F74&lt;25, "Low DTI")</f>
        <v>High DTI Risk</v>
      </c>
      <c r="H74" t="str" cm="1">
        <f t="array" ref="H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4" t="str">
        <f>_xlfn.XLOOKUP(H74,Reference_Tables!$B$2:$B$7,Reference_Tables!$C$2:$C$7,,0,1)</f>
        <v>VHR</v>
      </c>
      <c r="J74" t="str">
        <f>INDEX(Reference_Tables!$D$11:$D$36,MATCH(LoanData[[#This Row],[Branch]],Reference_Tables!$A$11:$A$36,0))</f>
        <v>Jigar Mehta</v>
      </c>
      <c r="L74" s="35"/>
    </row>
    <row r="75" spans="2:12" ht="15.6" x14ac:dyDescent="0.3">
      <c r="B75" s="15">
        <f>DATEDIF(Loan_Data!K:K,Loan_Data!L:L,"D")</f>
        <v>15</v>
      </c>
      <c r="C75" s="15">
        <f ca="1">DATEDIF(LoanData[[#This Row],[Approval_Date]],TODAY(),"M")</f>
        <v>47</v>
      </c>
      <c r="D75" s="31">
        <f>EDATE(LoanData[[#This Row],[Approval_Date]],LoanData[[#This Row],[Loan_Term_Months]])</f>
        <v>45172</v>
      </c>
      <c r="E75" t="str">
        <f t="shared" ca="1" si="1"/>
        <v>YES</v>
      </c>
      <c r="F75" s="33">
        <f>IFERROR(LoanData[[#This Row],[EMI]]/LoanData[[#This Row],[Monthly_Income]]*100," ")</f>
        <v>108.42647023766956</v>
      </c>
      <c r="G75" t="str" cm="1">
        <f t="array" ref="G75">_xlfn.IFS(F75&gt;40, "High DTI Risk",F75&gt;=25, "Moderate DTI",F75&lt;25, "Low DTI")</f>
        <v>High DTI Risk</v>
      </c>
      <c r="H75" t="str" cm="1">
        <f t="array" ref="H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5" t="str">
        <f>_xlfn.XLOOKUP(H75,Reference_Tables!$B$2:$B$7,Reference_Tables!$C$2:$C$7,,0,1)</f>
        <v>HR</v>
      </c>
      <c r="J75" t="str">
        <f>INDEX(Reference_Tables!$D$11:$D$36,MATCH(LoanData[[#This Row],[Branch]],Reference_Tables!$A$11:$A$36,0))</f>
        <v>Ravi Verma</v>
      </c>
      <c r="L75" s="35"/>
    </row>
    <row r="76" spans="2:12" ht="15.6" x14ac:dyDescent="0.3">
      <c r="B76" s="15">
        <f>DATEDIF(Loan_Data!K:K,Loan_Data!L:L,"D")</f>
        <v>30</v>
      </c>
      <c r="C76" s="15">
        <f ca="1">DATEDIF(LoanData[[#This Row],[Approval_Date]],TODAY(),"M")</f>
        <v>66</v>
      </c>
      <c r="D76" s="31">
        <f>EDATE(LoanData[[#This Row],[Approval_Date]],LoanData[[#This Row],[Loan_Term_Months]])</f>
        <v>46798</v>
      </c>
      <c r="E76" t="str">
        <f t="shared" ca="1" si="1"/>
        <v>NO</v>
      </c>
      <c r="F76" s="33">
        <f>IFERROR(LoanData[[#This Row],[EMI]]/LoanData[[#This Row],[Monthly_Income]]*100," ")</f>
        <v>12.758832014806213</v>
      </c>
      <c r="G76" t="str" cm="1">
        <f t="array" ref="G76">_xlfn.IFS(F76&gt;40, "High DTI Risk",F76&gt;=25, "Moderate DTI",F76&lt;25, "Low DTI")</f>
        <v>Low DTI</v>
      </c>
      <c r="H76" t="str" cm="1">
        <f t="array" ref="H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6" t="str">
        <f>_xlfn.XLOOKUP(H76,Reference_Tables!$B$2:$B$7,Reference_Tables!$C$2:$C$7,,0,1)</f>
        <v>MR</v>
      </c>
      <c r="J76" t="str">
        <f>INDEX(Reference_Tables!$D$11:$D$36,MATCH(LoanData[[#This Row],[Branch]],Reference_Tables!$A$11:$A$36,0))</f>
        <v>Rituparna Bora</v>
      </c>
      <c r="L76" s="35"/>
    </row>
    <row r="77" spans="2:12" ht="15.6" x14ac:dyDescent="0.3">
      <c r="B77" s="15">
        <f>DATEDIF(Loan_Data!K:K,Loan_Data!L:L,"D")</f>
        <v>9</v>
      </c>
      <c r="C77" s="15">
        <f ca="1">DATEDIF(LoanData[[#This Row],[Approval_Date]],TODAY(),"M")</f>
        <v>64</v>
      </c>
      <c r="D77" s="31">
        <f>EDATE(LoanData[[#This Row],[Approval_Date]],LoanData[[#This Row],[Loan_Term_Months]])</f>
        <v>47940</v>
      </c>
      <c r="E77" t="str">
        <f t="shared" ca="1" si="1"/>
        <v>NO</v>
      </c>
      <c r="F77" s="33">
        <f>IFERROR(LoanData[[#This Row],[EMI]]/LoanData[[#This Row],[Monthly_Income]]*100," ")</f>
        <v>5.6371739120236803</v>
      </c>
      <c r="G77" t="str" cm="1">
        <f t="array" ref="G77">_xlfn.IFS(F77&gt;40, "High DTI Risk",F77&gt;=25, "Moderate DTI",F77&lt;25, "Low DTI")</f>
        <v>Low DTI</v>
      </c>
      <c r="H77" t="str" cm="1">
        <f t="array" ref="H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7" t="str">
        <f>_xlfn.XLOOKUP(H77,Reference_Tables!$B$2:$B$7,Reference_Tables!$C$2:$C$7,,0,1)</f>
        <v>LR</v>
      </c>
      <c r="J77" t="str">
        <f>INDEX(Reference_Tables!$D$11:$D$36,MATCH(LoanData[[#This Row],[Branch]],Reference_Tables!$A$11:$A$36,0))</f>
        <v>Rahul Kapoor</v>
      </c>
      <c r="L77" s="35"/>
    </row>
    <row r="78" spans="2:12" ht="15.6" x14ac:dyDescent="0.3">
      <c r="B78" s="15">
        <f>DATEDIF(Loan_Data!K:K,Loan_Data!L:L,"D")</f>
        <v>16</v>
      </c>
      <c r="C78" s="15">
        <f ca="1">DATEDIF(LoanData[[#This Row],[Approval_Date]],TODAY(),"M")</f>
        <v>55</v>
      </c>
      <c r="D78" s="31">
        <f>EDATE(LoanData[[#This Row],[Approval_Date]],LoanData[[#This Row],[Loan_Term_Months]])</f>
        <v>48207</v>
      </c>
      <c r="E78" t="str">
        <f t="shared" ca="1" si="1"/>
        <v>NO</v>
      </c>
      <c r="F78" s="33">
        <f>IFERROR(LoanData[[#This Row],[EMI]]/LoanData[[#This Row],[Monthly_Income]]*100," ")</f>
        <v>22.189773778487933</v>
      </c>
      <c r="G78" t="str" cm="1">
        <f t="array" ref="G78">_xlfn.IFS(F78&gt;40, "High DTI Risk",F78&gt;=25, "Moderate DTI",F78&lt;25, "Low DTI")</f>
        <v>Low DTI</v>
      </c>
      <c r="H78" t="str" cm="1">
        <f t="array" ref="H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8" t="str">
        <f>_xlfn.XLOOKUP(H78,Reference_Tables!$B$2:$B$7,Reference_Tables!$C$2:$C$7,,0,1)</f>
        <v>HR</v>
      </c>
      <c r="J78" t="str">
        <f>INDEX(Reference_Tables!$D$11:$D$36,MATCH(LoanData[[#This Row],[Branch]],Reference_Tables!$A$11:$A$36,0))</f>
        <v>Amit Kumar</v>
      </c>
      <c r="L78" s="35"/>
    </row>
    <row r="79" spans="2:12" ht="15.6" x14ac:dyDescent="0.3">
      <c r="B79" s="15">
        <f>DATEDIF(Loan_Data!K:K,Loan_Data!L:L,"D")</f>
        <v>25</v>
      </c>
      <c r="C79" s="15">
        <f ca="1">DATEDIF(LoanData[[#This Row],[Approval_Date]],TODAY(),"M")</f>
        <v>31</v>
      </c>
      <c r="D79" s="31">
        <f>EDATE(LoanData[[#This Row],[Approval_Date]],LoanData[[#This Row],[Loan_Term_Months]])</f>
        <v>47844</v>
      </c>
      <c r="E79" t="str">
        <f t="shared" ca="1" si="1"/>
        <v>NO</v>
      </c>
      <c r="F79" s="33">
        <f>IFERROR(LoanData[[#This Row],[EMI]]/LoanData[[#This Row],[Monthly_Income]]*100," ")</f>
        <v>26.535582916415336</v>
      </c>
      <c r="G79" t="str" cm="1">
        <f t="array" ref="G79">_xlfn.IFS(F79&gt;40, "High DTI Risk",F79&gt;=25, "Moderate DTI",F79&lt;25, "Low DTI")</f>
        <v>Moderate DTI</v>
      </c>
      <c r="H79" t="str" cm="1">
        <f t="array" ref="H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9" t="str">
        <f>_xlfn.XLOOKUP(H79,Reference_Tables!$B$2:$B$7,Reference_Tables!$C$2:$C$7,,0,1)</f>
        <v>MR</v>
      </c>
      <c r="J79" t="str">
        <f>INDEX(Reference_Tables!$D$11:$D$36,MATCH(LoanData[[#This Row],[Branch]],Reference_Tables!$A$11:$A$36,0))</f>
        <v>Tapan Panda</v>
      </c>
      <c r="L79" s="35"/>
    </row>
    <row r="80" spans="2:12" ht="15.6" x14ac:dyDescent="0.3">
      <c r="B80" s="15">
        <f>DATEDIF(Loan_Data!K:K,Loan_Data!L:L,"D")</f>
        <v>6</v>
      </c>
      <c r="C80" s="15">
        <f ca="1">DATEDIF(LoanData[[#This Row],[Approval_Date]],TODAY(),"M")</f>
        <v>38</v>
      </c>
      <c r="D80" s="31">
        <f>EDATE(LoanData[[#This Row],[Approval_Date]],LoanData[[#This Row],[Loan_Term_Months]])</f>
        <v>46914</v>
      </c>
      <c r="E80" t="str">
        <f t="shared" ca="1" si="1"/>
        <v>NO</v>
      </c>
      <c r="F80" s="33">
        <f>IFERROR(LoanData[[#This Row],[EMI]]/LoanData[[#This Row],[Monthly_Income]]*100," ")</f>
        <v>23.437736004787155</v>
      </c>
      <c r="G80" t="str" cm="1">
        <f t="array" ref="G80">_xlfn.IFS(F80&gt;40, "High DTI Risk",F80&gt;=25, "Moderate DTI",F80&lt;25, "Low DTI")</f>
        <v>Low DTI</v>
      </c>
      <c r="H80" t="str" cm="1">
        <f t="array" ref="H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0" t="str">
        <f>_xlfn.XLOOKUP(H80,Reference_Tables!$B$2:$B$7,Reference_Tables!$C$2:$C$7,,0,1)</f>
        <v>LR</v>
      </c>
      <c r="J80" t="str">
        <f>INDEX(Reference_Tables!$D$11:$D$36,MATCH(LoanData[[#This Row],[Branch]],Reference_Tables!$A$11:$A$36,0))</f>
        <v>Ananya Sharma</v>
      </c>
      <c r="L80" s="35"/>
    </row>
    <row r="81" spans="2:12" ht="15.6" x14ac:dyDescent="0.3">
      <c r="B81" s="15">
        <f>DATEDIF(Loan_Data!K:K,Loan_Data!L:L,"D")</f>
        <v>4</v>
      </c>
      <c r="C81" s="15">
        <f ca="1">DATEDIF(LoanData[[#This Row],[Approval_Date]],TODAY(),"M")</f>
        <v>52</v>
      </c>
      <c r="D81" s="31">
        <f>EDATE(LoanData[[#This Row],[Approval_Date]],LoanData[[#This Row],[Loan_Term_Months]])</f>
        <v>51964</v>
      </c>
      <c r="E81" t="str">
        <f t="shared" ca="1" si="1"/>
        <v>NO</v>
      </c>
      <c r="F81" s="33">
        <f>IFERROR(LoanData[[#This Row],[EMI]]/LoanData[[#This Row],[Monthly_Income]]*100," ")</f>
        <v>10.701452349869452</v>
      </c>
      <c r="G81" t="str" cm="1">
        <f t="array" ref="G81">_xlfn.IFS(F81&gt;40, "High DTI Risk",F81&gt;=25, "Moderate DTI",F81&lt;25, "Low DTI")</f>
        <v>Low DTI</v>
      </c>
      <c r="H81" t="str" cm="1">
        <f t="array" ref="H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1" t="str">
        <f>_xlfn.XLOOKUP(H81,Reference_Tables!$B$2:$B$7,Reference_Tables!$C$2:$C$7,,0,1)</f>
        <v>HR</v>
      </c>
      <c r="J81" t="str">
        <f>INDEX(Reference_Tables!$D$11:$D$36,MATCH(LoanData[[#This Row],[Branch]],Reference_Tables!$A$11:$A$36,0))</f>
        <v>Rituparna Bora</v>
      </c>
      <c r="L81" s="35"/>
    </row>
    <row r="82" spans="2:12" ht="15.6" x14ac:dyDescent="0.3">
      <c r="B82" s="15">
        <f>DATEDIF(Loan_Data!K:K,Loan_Data!L:L,"D")</f>
        <v>13</v>
      </c>
      <c r="C82" s="15">
        <f ca="1">DATEDIF(LoanData[[#This Row],[Approval_Date]],TODAY(),"M")</f>
        <v>61</v>
      </c>
      <c r="D82" s="31">
        <f>EDATE(LoanData[[#This Row],[Approval_Date]],LoanData[[#This Row],[Loan_Term_Months]])</f>
        <v>44759</v>
      </c>
      <c r="E82" t="str">
        <f t="shared" ca="1" si="1"/>
        <v>YES</v>
      </c>
      <c r="F82" s="33">
        <f>IFERROR(LoanData[[#This Row],[EMI]]/LoanData[[#This Row],[Monthly_Income]]*100," ")</f>
        <v>88.922558245181378</v>
      </c>
      <c r="G82" t="str" cm="1">
        <f t="array" ref="G82">_xlfn.IFS(F82&gt;40, "High DTI Risk",F82&gt;=25, "Moderate DTI",F82&lt;25, "Low DTI")</f>
        <v>High DTI Risk</v>
      </c>
      <c r="H82" t="str" cm="1">
        <f t="array" ref="H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2" t="str">
        <f>_xlfn.XLOOKUP(H82,Reference_Tables!$B$2:$B$7,Reference_Tables!$C$2:$C$7,,0,1)</f>
        <v>VHR</v>
      </c>
      <c r="J82" t="str">
        <f>INDEX(Reference_Tables!$D$11:$D$36,MATCH(LoanData[[#This Row],[Branch]],Reference_Tables!$A$11:$A$36,0))</f>
        <v>Ananya Sharma</v>
      </c>
      <c r="L82" s="35"/>
    </row>
    <row r="83" spans="2:12" ht="15.6" x14ac:dyDescent="0.3">
      <c r="B83" s="15">
        <f>DATEDIF(Loan_Data!K:K,Loan_Data!L:L,"D")</f>
        <v>17</v>
      </c>
      <c r="C83" s="15">
        <f ca="1">DATEDIF(LoanData[[#This Row],[Approval_Date]],TODAY(),"M")</f>
        <v>49</v>
      </c>
      <c r="D83" s="31">
        <f>EDATE(LoanData[[#This Row],[Approval_Date]],LoanData[[#This Row],[Loan_Term_Months]])</f>
        <v>52058</v>
      </c>
      <c r="E83" t="str">
        <f t="shared" ca="1" si="1"/>
        <v>NO</v>
      </c>
      <c r="F83" s="33">
        <f>IFERROR(LoanData[[#This Row],[EMI]]/LoanData[[#This Row],[Monthly_Income]]*100," ")</f>
        <v>30.345461558241194</v>
      </c>
      <c r="G83" t="str" cm="1">
        <f t="array" ref="G83">_xlfn.IFS(F83&gt;40, "High DTI Risk",F83&gt;=25, "Moderate DTI",F83&lt;25, "Low DTI")</f>
        <v>Moderate DTI</v>
      </c>
      <c r="H83" t="str" cm="1">
        <f t="array" ref="H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3" t="str">
        <f>_xlfn.XLOOKUP(H83,Reference_Tables!$B$2:$B$7,Reference_Tables!$C$2:$C$7,,0,1)</f>
        <v>MR</v>
      </c>
      <c r="J83" t="str">
        <f>INDEX(Reference_Tables!$D$11:$D$36,MATCH(LoanData[[#This Row],[Branch]],Reference_Tables!$A$11:$A$36,0))</f>
        <v>Puja Chatterjee</v>
      </c>
      <c r="L83" s="35"/>
    </row>
    <row r="84" spans="2:12" ht="15.6" x14ac:dyDescent="0.3">
      <c r="B84" s="15">
        <f>DATEDIF(Loan_Data!K:K,Loan_Data!L:L,"D")</f>
        <v>23</v>
      </c>
      <c r="C84" s="15">
        <f ca="1">DATEDIF(LoanData[[#This Row],[Approval_Date]],TODAY(),"M")</f>
        <v>49</v>
      </c>
      <c r="D84" s="31">
        <f>EDATE(LoanData[[#This Row],[Approval_Date]],LoanData[[#This Row],[Loan_Term_Months]])</f>
        <v>45851</v>
      </c>
      <c r="E84" t="str">
        <f t="shared" ca="1" si="1"/>
        <v>YES</v>
      </c>
      <c r="F84" s="33">
        <f>IFERROR(LoanData[[#This Row],[EMI]]/LoanData[[#This Row],[Monthly_Income]]*100," ")</f>
        <v>152.61585528065979</v>
      </c>
      <c r="G84" t="str" cm="1">
        <f t="array" ref="G84">_xlfn.IFS(F84&gt;40, "High DTI Risk",F84&gt;=25, "Moderate DTI",F84&lt;25, "Low DTI")</f>
        <v>High DTI Risk</v>
      </c>
      <c r="H84" t="str" cm="1">
        <f t="array" ref="H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4" t="str">
        <f>_xlfn.XLOOKUP(H84,Reference_Tables!$B$2:$B$7,Reference_Tables!$C$2:$C$7,,0,1)</f>
        <v>VHR</v>
      </c>
      <c r="J84" t="str">
        <f>INDEX(Reference_Tables!$D$11:$D$36,MATCH(LoanData[[#This Row],[Branch]],Reference_Tables!$A$11:$A$36,0))</f>
        <v>Hetal Patel</v>
      </c>
      <c r="L84" s="35"/>
    </row>
    <row r="85" spans="2:12" ht="15.6" x14ac:dyDescent="0.3">
      <c r="B85" s="15">
        <f>DATEDIF(Loan_Data!K:K,Loan_Data!L:L,"D")</f>
        <v>24</v>
      </c>
      <c r="C85" s="15">
        <f ca="1">DATEDIF(LoanData[[#This Row],[Approval_Date]],TODAY(),"M")</f>
        <v>39</v>
      </c>
      <c r="D85" s="31">
        <f>EDATE(LoanData[[#This Row],[Approval_Date]],LoanData[[#This Row],[Loan_Term_Months]])</f>
        <v>52363</v>
      </c>
      <c r="E85" t="str">
        <f t="shared" ca="1" si="1"/>
        <v>NO</v>
      </c>
      <c r="F85" s="33">
        <f>IFERROR(LoanData[[#This Row],[EMI]]/LoanData[[#This Row],[Monthly_Income]]*100," ")</f>
        <v>13.34502782871666</v>
      </c>
      <c r="G85" t="str" cm="1">
        <f t="array" ref="G85">_xlfn.IFS(F85&gt;40, "High DTI Risk",F85&gt;=25, "Moderate DTI",F85&lt;25, "Low DTI")</f>
        <v>Low DTI</v>
      </c>
      <c r="H85" t="str" cm="1">
        <f t="array" ref="H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5" t="str">
        <f>_xlfn.XLOOKUP(H85,Reference_Tables!$B$2:$B$7,Reference_Tables!$C$2:$C$7,,0,1)</f>
        <v>VHR</v>
      </c>
      <c r="J85" t="str">
        <f>INDEX(Reference_Tables!$D$11:$D$36,MATCH(LoanData[[#This Row],[Branch]],Reference_Tables!$A$11:$A$36,0))</f>
        <v>Sachin Deshpande</v>
      </c>
      <c r="L85" s="35"/>
    </row>
    <row r="86" spans="2:12" ht="15.6" x14ac:dyDescent="0.3">
      <c r="B86" s="15">
        <f>DATEDIF(Loan_Data!K:K,Loan_Data!L:L,"D")</f>
        <v>4</v>
      </c>
      <c r="C86" s="15">
        <f ca="1">DATEDIF(LoanData[[#This Row],[Approval_Date]],TODAY(),"M")</f>
        <v>58</v>
      </c>
      <c r="D86" s="31">
        <f>EDATE(LoanData[[#This Row],[Approval_Date]],LoanData[[#This Row],[Loan_Term_Months]])</f>
        <v>48139</v>
      </c>
      <c r="E86" t="str">
        <f t="shared" ca="1" si="1"/>
        <v>NO</v>
      </c>
      <c r="F86" s="33">
        <f>IFERROR(LoanData[[#This Row],[EMI]]/LoanData[[#This Row],[Monthly_Income]]*100," ")</f>
        <v>31.588963758878165</v>
      </c>
      <c r="G86" t="str" cm="1">
        <f t="array" ref="G86">_xlfn.IFS(F86&gt;40, "High DTI Risk",F86&gt;=25, "Moderate DTI",F86&lt;25, "Low DTI")</f>
        <v>Moderate DTI</v>
      </c>
      <c r="H86" t="str" cm="1">
        <f t="array" ref="H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6" t="str">
        <f>_xlfn.XLOOKUP(H86,Reference_Tables!$B$2:$B$7,Reference_Tables!$C$2:$C$7,,0,1)</f>
        <v>LR</v>
      </c>
      <c r="J86" t="str">
        <f>INDEX(Reference_Tables!$D$11:$D$36,MATCH(LoanData[[#This Row],[Branch]],Reference_Tables!$A$11:$A$36,0))</f>
        <v>Rahul Kapoor</v>
      </c>
      <c r="L86" s="35"/>
    </row>
    <row r="87" spans="2:12" ht="15.6" x14ac:dyDescent="0.3">
      <c r="B87" s="15">
        <f>DATEDIF(Loan_Data!K:K,Loan_Data!L:L,"D")</f>
        <v>20</v>
      </c>
      <c r="C87" s="15">
        <f ca="1">DATEDIF(LoanData[[#This Row],[Approval_Date]],TODAY(),"M")</f>
        <v>46</v>
      </c>
      <c r="D87" s="31">
        <f>EDATE(LoanData[[#This Row],[Approval_Date]],LoanData[[#This Row],[Loan_Term_Months]])</f>
        <v>45582</v>
      </c>
      <c r="E87" t="str">
        <f t="shared" ca="1" si="1"/>
        <v>YES</v>
      </c>
      <c r="F87" s="33">
        <f>IFERROR(LoanData[[#This Row],[EMI]]/LoanData[[#This Row],[Monthly_Income]]*100," ")</f>
        <v>35.185668611036533</v>
      </c>
      <c r="G87" t="str" cm="1">
        <f t="array" ref="G87">_xlfn.IFS(F87&gt;40, "High DTI Risk",F87&gt;=25, "Moderate DTI",F87&lt;25, "Low DTI")</f>
        <v>Moderate DTI</v>
      </c>
      <c r="H87" t="str" cm="1">
        <f t="array" ref="H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7" t="str">
        <f>_xlfn.XLOOKUP(H87,Reference_Tables!$B$2:$B$7,Reference_Tables!$C$2:$C$7,,0,1)</f>
        <v>VHR</v>
      </c>
      <c r="J87" t="str">
        <f>INDEX(Reference_Tables!$D$11:$D$36,MATCH(LoanData[[#This Row],[Branch]],Reference_Tables!$A$11:$A$36,0))</f>
        <v>Priya Yadav</v>
      </c>
      <c r="L87" s="35"/>
    </row>
    <row r="88" spans="2:12" ht="15.6" x14ac:dyDescent="0.3">
      <c r="B88" s="15">
        <f>DATEDIF(Loan_Data!K:K,Loan_Data!L:L,"D")</f>
        <v>27</v>
      </c>
      <c r="C88" s="15">
        <f ca="1">DATEDIF(LoanData[[#This Row],[Approval_Date]],TODAY(),"M")</f>
        <v>51</v>
      </c>
      <c r="D88" s="31">
        <f>EDATE(LoanData[[#This Row],[Approval_Date]],LoanData[[#This Row],[Loan_Term_Months]])</f>
        <v>46144</v>
      </c>
      <c r="E88" t="str">
        <f t="shared" ca="1" si="1"/>
        <v>YES</v>
      </c>
      <c r="F88" s="33">
        <f>IFERROR(LoanData[[#This Row],[EMI]]/LoanData[[#This Row],[Monthly_Income]]*100," ")</f>
        <v>57.384690106141015</v>
      </c>
      <c r="G88" t="str" cm="1">
        <f t="array" ref="G88">_xlfn.IFS(F88&gt;40, "High DTI Risk",F88&gt;=25, "Moderate DTI",F88&lt;25, "Low DTI")</f>
        <v>High DTI Risk</v>
      </c>
      <c r="H88" t="str" cm="1">
        <f t="array" ref="H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8" t="str">
        <f>_xlfn.XLOOKUP(H88,Reference_Tables!$B$2:$B$7,Reference_Tables!$C$2:$C$7,,0,1)</f>
        <v>LR</v>
      </c>
      <c r="J88" t="str">
        <f>INDEX(Reference_Tables!$D$11:$D$36,MATCH(LoanData[[#This Row],[Branch]],Reference_Tables!$A$11:$A$36,0))</f>
        <v>Rahul Kapoor</v>
      </c>
      <c r="L88" s="35"/>
    </row>
    <row r="89" spans="2:12" ht="15.6" x14ac:dyDescent="0.3">
      <c r="B89" s="15">
        <f>DATEDIF(Loan_Data!K:K,Loan_Data!L:L,"D")</f>
        <v>20</v>
      </c>
      <c r="C89" s="15">
        <f ca="1">DATEDIF(LoanData[[#This Row],[Approval_Date]],TODAY(),"M")</f>
        <v>46</v>
      </c>
      <c r="D89" s="31">
        <f>EDATE(LoanData[[#This Row],[Approval_Date]],LoanData[[#This Row],[Loan_Term_Months]])</f>
        <v>45947</v>
      </c>
      <c r="E89" t="str">
        <f t="shared" ca="1" si="1"/>
        <v>YES</v>
      </c>
      <c r="F89" s="33">
        <f>IFERROR(LoanData[[#This Row],[EMI]]/LoanData[[#This Row],[Monthly_Income]]*100," ")</f>
        <v>22.393363177377339</v>
      </c>
      <c r="G89" t="str" cm="1">
        <f t="array" ref="G89">_xlfn.IFS(F89&gt;40, "High DTI Risk",F89&gt;=25, "Moderate DTI",F89&lt;25, "Low DTI")</f>
        <v>Low DTI</v>
      </c>
      <c r="H89" t="str" cm="1">
        <f t="array" ref="H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89" t="str">
        <f>_xlfn.XLOOKUP(H89,Reference_Tables!$B$2:$B$7,Reference_Tables!$C$2:$C$7,,0,1)</f>
        <v>UC</v>
      </c>
      <c r="J89" t="str">
        <f>INDEX(Reference_Tables!$D$11:$D$36,MATCH(LoanData[[#This Row],[Branch]],Reference_Tables!$A$11:$A$36,0))</f>
        <v>Suresh Menon</v>
      </c>
      <c r="L89" s="35"/>
    </row>
    <row r="90" spans="2:12" ht="15.6" x14ac:dyDescent="0.3">
      <c r="B90" s="15">
        <f>DATEDIF(Loan_Data!K:K,Loan_Data!L:L,"D")</f>
        <v>9</v>
      </c>
      <c r="C90" s="15">
        <f ca="1">DATEDIF(LoanData[[#This Row],[Approval_Date]],TODAY(),"M")</f>
        <v>67</v>
      </c>
      <c r="D90" s="31">
        <f>EDATE(LoanData[[#This Row],[Approval_Date]],LoanData[[#This Row],[Loan_Term_Months]])</f>
        <v>45303</v>
      </c>
      <c r="E90" t="str">
        <f t="shared" ca="1" si="1"/>
        <v>YES</v>
      </c>
      <c r="F90" s="33">
        <f>IFERROR(LoanData[[#This Row],[EMI]]/LoanData[[#This Row],[Monthly_Income]]*100," ")</f>
        <v>16.623934966912621</v>
      </c>
      <c r="G90" t="str" cm="1">
        <f t="array" ref="G90">_xlfn.IFS(F90&gt;40, "High DTI Risk",F90&gt;=25, "Moderate DTI",F90&lt;25, "Low DTI")</f>
        <v>Low DTI</v>
      </c>
      <c r="H90" t="str" cm="1">
        <f t="array" ref="H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0" t="str">
        <f>_xlfn.XLOOKUP(H90,Reference_Tables!$B$2:$B$7,Reference_Tables!$C$2:$C$7,,0,1)</f>
        <v>VHR</v>
      </c>
      <c r="J90" t="str">
        <f>INDEX(Reference_Tables!$D$11:$D$36,MATCH(LoanData[[#This Row],[Branch]],Reference_Tables!$A$11:$A$36,0))</f>
        <v>Nilesh Shah</v>
      </c>
      <c r="L90" s="35"/>
    </row>
    <row r="91" spans="2:12" ht="15.6" x14ac:dyDescent="0.3">
      <c r="B91" s="15">
        <f>DATEDIF(Loan_Data!K:K,Loan_Data!L:L,"D")</f>
        <v>4</v>
      </c>
      <c r="C91" s="15">
        <f ca="1">DATEDIF(LoanData[[#This Row],[Approval_Date]],TODAY(),"M")</f>
        <v>36</v>
      </c>
      <c r="D91" s="31">
        <f>EDATE(LoanData[[#This Row],[Approval_Date]],LoanData[[#This Row],[Loan_Term_Months]])</f>
        <v>45508</v>
      </c>
      <c r="E91" t="str">
        <f t="shared" ca="1" si="1"/>
        <v>YES</v>
      </c>
      <c r="F91" s="33">
        <f>IFERROR(LoanData[[#This Row],[EMI]]/LoanData[[#This Row],[Monthly_Income]]*100," ")</f>
        <v>952.8507029339853</v>
      </c>
      <c r="G91" t="str" cm="1">
        <f t="array" ref="G91">_xlfn.IFS(F91&gt;40, "High DTI Risk",F91&gt;=25, "Moderate DTI",F91&lt;25, "Low DTI")</f>
        <v>High DTI Risk</v>
      </c>
      <c r="H91" t="str" cm="1">
        <f t="array" ref="H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1" t="str">
        <f>_xlfn.XLOOKUP(H91,Reference_Tables!$B$2:$B$7,Reference_Tables!$C$2:$C$7,,0,1)</f>
        <v>MR</v>
      </c>
      <c r="J91" t="str">
        <f>INDEX(Reference_Tables!$D$11:$D$36,MATCH(LoanData[[#This Row],[Branch]],Reference_Tables!$A$11:$A$36,0))</f>
        <v>Sachin Deshpande</v>
      </c>
      <c r="L91" s="35"/>
    </row>
    <row r="92" spans="2:12" ht="15.6" x14ac:dyDescent="0.3">
      <c r="B92" s="15">
        <f>DATEDIF(Loan_Data!K:K,Loan_Data!L:L,"D")</f>
        <v>10</v>
      </c>
      <c r="C92" s="15">
        <f ca="1">DATEDIF(LoanData[[#This Row],[Approval_Date]],TODAY(),"M")</f>
        <v>36</v>
      </c>
      <c r="D92" s="31">
        <f>EDATE(LoanData[[#This Row],[Approval_Date]],LoanData[[#This Row],[Loan_Term_Months]])</f>
        <v>47684</v>
      </c>
      <c r="E92" t="str">
        <f t="shared" ca="1" si="1"/>
        <v>NO</v>
      </c>
      <c r="F92" s="33">
        <f>IFERROR(LoanData[[#This Row],[EMI]]/LoanData[[#This Row],[Monthly_Income]]*100," ")</f>
        <v>78.248036689056192</v>
      </c>
      <c r="G92" t="str" cm="1">
        <f t="array" ref="G92">_xlfn.IFS(F92&gt;40, "High DTI Risk",F92&gt;=25, "Moderate DTI",F92&lt;25, "Low DTI")</f>
        <v>High DTI Risk</v>
      </c>
      <c r="H92" t="str" cm="1">
        <f t="array" ref="H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2" t="str">
        <f>_xlfn.XLOOKUP(H92,Reference_Tables!$B$2:$B$7,Reference_Tables!$C$2:$C$7,,0,1)</f>
        <v>HR</v>
      </c>
      <c r="J92" t="str">
        <f>INDEX(Reference_Tables!$D$11:$D$36,MATCH(LoanData[[#This Row],[Branch]],Reference_Tables!$A$11:$A$36,0))</f>
        <v>Lakshmi Reddy</v>
      </c>
      <c r="L92" s="35"/>
    </row>
    <row r="93" spans="2:12" ht="15.6" x14ac:dyDescent="0.3">
      <c r="B93" s="15">
        <f>DATEDIF(Loan_Data!K:K,Loan_Data!L:L,"D")</f>
        <v>29</v>
      </c>
      <c r="C93" s="15">
        <f ca="1">DATEDIF(LoanData[[#This Row],[Approval_Date]],TODAY(),"M")</f>
        <v>55</v>
      </c>
      <c r="D93" s="31">
        <f>EDATE(LoanData[[#This Row],[Approval_Date]],LoanData[[#This Row],[Loan_Term_Months]])</f>
        <v>46035</v>
      </c>
      <c r="E93" t="str">
        <f t="shared" ca="1" si="1"/>
        <v>YES</v>
      </c>
      <c r="F93" s="33">
        <f>IFERROR(LoanData[[#This Row],[EMI]]/LoanData[[#This Row],[Monthly_Income]]*100," ")</f>
        <v>23.746508496389335</v>
      </c>
      <c r="G93" t="str" cm="1">
        <f t="array" ref="G93">_xlfn.IFS(F93&gt;40, "High DTI Risk",F93&gt;=25, "Moderate DTI",F93&lt;25, "Low DTI")</f>
        <v>Low DTI</v>
      </c>
      <c r="H93" t="str" cm="1">
        <f t="array" ref="H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3" t="str">
        <f>_xlfn.XLOOKUP(H93,Reference_Tables!$B$2:$B$7,Reference_Tables!$C$2:$C$7,,0,1)</f>
        <v>LR</v>
      </c>
      <c r="J93" t="str">
        <f>INDEX(Reference_Tables!$D$11:$D$36,MATCH(LoanData[[#This Row],[Branch]],Reference_Tables!$A$11:$A$36,0))</f>
        <v>Sachin Deshpande</v>
      </c>
      <c r="L93" s="35"/>
    </row>
    <row r="94" spans="2:12" ht="15.6" x14ac:dyDescent="0.3">
      <c r="B94" s="15">
        <f>DATEDIF(Loan_Data!K:K,Loan_Data!L:L,"D")</f>
        <v>23</v>
      </c>
      <c r="C94" s="15">
        <f ca="1">DATEDIF(LoanData[[#This Row],[Approval_Date]],TODAY(),"M")</f>
        <v>43</v>
      </c>
      <c r="D94" s="31">
        <f>EDATE(LoanData[[#This Row],[Approval_Date]],LoanData[[#This Row],[Loan_Term_Months]])</f>
        <v>45652</v>
      </c>
      <c r="E94" t="str">
        <f t="shared" ca="1" si="1"/>
        <v>YES</v>
      </c>
      <c r="F94" s="33">
        <f>IFERROR(LoanData[[#This Row],[EMI]]/LoanData[[#This Row],[Monthly_Income]]*100," ")</f>
        <v>64.072842378567941</v>
      </c>
      <c r="G94" t="str" cm="1">
        <f t="array" ref="G94">_xlfn.IFS(F94&gt;40, "High DTI Risk",F94&gt;=25, "Moderate DTI",F94&lt;25, "Low DTI")</f>
        <v>High DTI Risk</v>
      </c>
      <c r="H94" t="str" cm="1">
        <f t="array" ref="H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94" t="str">
        <f>_xlfn.XLOOKUP(H94,Reference_Tables!$B$2:$B$7,Reference_Tables!$C$2:$C$7,,0,1)</f>
        <v>UC</v>
      </c>
      <c r="J94" t="str">
        <f>INDEX(Reference_Tables!$D$11:$D$36,MATCH(LoanData[[#This Row],[Branch]],Reference_Tables!$A$11:$A$36,0))</f>
        <v>Suresh Menon</v>
      </c>
      <c r="L94" s="35"/>
    </row>
    <row r="95" spans="2:12" ht="15.6" x14ac:dyDescent="0.3">
      <c r="B95" s="15">
        <f>DATEDIF(Loan_Data!K:K,Loan_Data!L:L,"D")</f>
        <v>8</v>
      </c>
      <c r="C95" s="15">
        <f ca="1">DATEDIF(LoanData[[#This Row],[Approval_Date]],TODAY(),"M")</f>
        <v>36</v>
      </c>
      <c r="D95" s="31">
        <f>EDATE(LoanData[[#This Row],[Approval_Date]],LoanData[[#This Row],[Loan_Term_Months]])</f>
        <v>48794</v>
      </c>
      <c r="E95" t="str">
        <f t="shared" ca="1" si="1"/>
        <v>NO</v>
      </c>
      <c r="F95" s="33">
        <f>IFERROR(LoanData[[#This Row],[EMI]]/LoanData[[#This Row],[Monthly_Income]]*100," ")</f>
        <v>7.8608902745301803</v>
      </c>
      <c r="G95" t="str" cm="1">
        <f t="array" ref="G95">_xlfn.IFS(F95&gt;40, "High DTI Risk",F95&gt;=25, "Moderate DTI",F95&lt;25, "Low DTI")</f>
        <v>Low DTI</v>
      </c>
      <c r="H95" t="str" cm="1">
        <f t="array" ref="H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5" t="str">
        <f>_xlfn.XLOOKUP(H95,Reference_Tables!$B$2:$B$7,Reference_Tables!$C$2:$C$7,,0,1)</f>
        <v>LR</v>
      </c>
      <c r="J95" t="str">
        <f>INDEX(Reference_Tables!$D$11:$D$36,MATCH(LoanData[[#This Row],[Branch]],Reference_Tables!$A$11:$A$36,0))</f>
        <v>Debashis Das</v>
      </c>
      <c r="L95" s="35"/>
    </row>
    <row r="96" spans="2:12" ht="15.6" x14ac:dyDescent="0.3">
      <c r="B96" s="15">
        <f>DATEDIF(Loan_Data!K:K,Loan_Data!L:L,"D")</f>
        <v>10</v>
      </c>
      <c r="C96" s="15">
        <f ca="1">DATEDIF(LoanData[[#This Row],[Approval_Date]],TODAY(),"M")</f>
        <v>56</v>
      </c>
      <c r="D96" s="31">
        <f>EDATE(LoanData[[#This Row],[Approval_Date]],LoanData[[#This Row],[Loan_Term_Months]])</f>
        <v>45626</v>
      </c>
      <c r="E96" t="str">
        <f t="shared" ca="1" si="1"/>
        <v>YES</v>
      </c>
      <c r="F96" s="33">
        <f>IFERROR(LoanData[[#This Row],[EMI]]/LoanData[[#This Row],[Monthly_Income]]*100," ")</f>
        <v>13.997387119985611</v>
      </c>
      <c r="G96" t="str" cm="1">
        <f t="array" ref="G96">_xlfn.IFS(F96&gt;40, "High DTI Risk",F96&gt;=25, "Moderate DTI",F96&lt;25, "Low DTI")</f>
        <v>Low DTI</v>
      </c>
      <c r="H96" t="str" cm="1">
        <f t="array" ref="H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6" t="str">
        <f>_xlfn.XLOOKUP(H96,Reference_Tables!$B$2:$B$7,Reference_Tables!$C$2:$C$7,,0,1)</f>
        <v>HR</v>
      </c>
      <c r="J96" t="str">
        <f>INDEX(Reference_Tables!$D$11:$D$36,MATCH(LoanData[[#This Row],[Branch]],Reference_Tables!$A$11:$A$36,0))</f>
        <v>Rituparna Bora</v>
      </c>
      <c r="L96" s="35"/>
    </row>
    <row r="97" spans="2:12" ht="15.6" x14ac:dyDescent="0.3">
      <c r="B97" s="15">
        <f>DATEDIF(Loan_Data!K:K,Loan_Data!L:L,"D")</f>
        <v>4</v>
      </c>
      <c r="C97" s="15">
        <f ca="1">DATEDIF(LoanData[[#This Row],[Approval_Date]],TODAY(),"M")</f>
        <v>57</v>
      </c>
      <c r="D97" s="31">
        <f>EDATE(LoanData[[#This Row],[Approval_Date]],LoanData[[#This Row],[Loan_Term_Months]])</f>
        <v>45970</v>
      </c>
      <c r="E97" t="str">
        <f t="shared" ca="1" si="1"/>
        <v>YES</v>
      </c>
      <c r="F97" s="33">
        <f>IFERROR(LoanData[[#This Row],[EMI]]/LoanData[[#This Row],[Monthly_Income]]*100," ")</f>
        <v>24.221172482211724</v>
      </c>
      <c r="G97" t="str" cm="1">
        <f t="array" ref="G97">_xlfn.IFS(F97&gt;40, "High DTI Risk",F97&gt;=25, "Moderate DTI",F97&lt;25, "Low DTI")</f>
        <v>Low DTI</v>
      </c>
      <c r="H97" t="str" cm="1">
        <f t="array" ref="H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7" t="str">
        <f>_xlfn.XLOOKUP(H97,Reference_Tables!$B$2:$B$7,Reference_Tables!$C$2:$C$7,,0,1)</f>
        <v>HR</v>
      </c>
      <c r="J97" t="str">
        <f>INDEX(Reference_Tables!$D$11:$D$36,MATCH(LoanData[[#This Row],[Branch]],Reference_Tables!$A$11:$A$36,0))</f>
        <v>Sachin Deshpande</v>
      </c>
      <c r="L97" s="35"/>
    </row>
    <row r="98" spans="2:12" ht="15.6" x14ac:dyDescent="0.3">
      <c r="B98" s="15">
        <f>DATEDIF(Loan_Data!K:K,Loan_Data!L:L,"D")</f>
        <v>9</v>
      </c>
      <c r="C98" s="15">
        <f ca="1">DATEDIF(LoanData[[#This Row],[Approval_Date]],TODAY(),"M")</f>
        <v>34</v>
      </c>
      <c r="D98" s="31">
        <f>EDATE(LoanData[[#This Row],[Approval_Date]],LoanData[[#This Row],[Loan_Term_Months]])</f>
        <v>50683</v>
      </c>
      <c r="E98" t="str">
        <f t="shared" ca="1" si="1"/>
        <v>NO</v>
      </c>
      <c r="F98" s="33">
        <f>IFERROR(LoanData[[#This Row],[EMI]]/LoanData[[#This Row],[Monthly_Income]]*100," ")</f>
        <v>36.793543400864095</v>
      </c>
      <c r="G98" t="str" cm="1">
        <f t="array" ref="G98">_xlfn.IFS(F98&gt;40, "High DTI Risk",F98&gt;=25, "Moderate DTI",F98&lt;25, "Low DTI")</f>
        <v>Moderate DTI</v>
      </c>
      <c r="H98" t="str" cm="1">
        <f t="array" ref="H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8" t="str">
        <f>_xlfn.XLOOKUP(H98,Reference_Tables!$B$2:$B$7,Reference_Tables!$C$2:$C$7,,0,1)</f>
        <v>HR</v>
      </c>
      <c r="J98" t="str">
        <f>INDEX(Reference_Tables!$D$11:$D$36,MATCH(LoanData[[#This Row],[Branch]],Reference_Tables!$A$11:$A$36,0))</f>
        <v>Rahul Kapoor</v>
      </c>
      <c r="L98" s="35"/>
    </row>
    <row r="99" spans="2:12" ht="15.6" x14ac:dyDescent="0.3">
      <c r="B99" s="15">
        <f>DATEDIF(Loan_Data!K:K,Loan_Data!L:L,"D")</f>
        <v>21</v>
      </c>
      <c r="C99" s="15">
        <f ca="1">DATEDIF(LoanData[[#This Row],[Approval_Date]],TODAY(),"M")</f>
        <v>66</v>
      </c>
      <c r="D99" s="31">
        <f>EDATE(LoanData[[#This Row],[Approval_Date]],LoanData[[#This Row],[Loan_Term_Months]])</f>
        <v>45336</v>
      </c>
      <c r="E99" t="str">
        <f t="shared" ca="1" si="1"/>
        <v>YES</v>
      </c>
      <c r="F99" s="33">
        <f>IFERROR(LoanData[[#This Row],[EMI]]/LoanData[[#This Row],[Monthly_Income]]*100," ")</f>
        <v>37.416302542872224</v>
      </c>
      <c r="G99" t="str" cm="1">
        <f t="array" ref="G99">_xlfn.IFS(F99&gt;40, "High DTI Risk",F99&gt;=25, "Moderate DTI",F99&lt;25, "Low DTI")</f>
        <v>Moderate DTI</v>
      </c>
      <c r="H99" t="str" cm="1">
        <f t="array" ref="H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9" t="str">
        <f>_xlfn.XLOOKUP(H99,Reference_Tables!$B$2:$B$7,Reference_Tables!$C$2:$C$7,,0,1)</f>
        <v>VHR</v>
      </c>
      <c r="J99" t="str">
        <f>INDEX(Reference_Tables!$D$11:$D$36,MATCH(LoanData[[#This Row],[Branch]],Reference_Tables!$A$11:$A$36,0))</f>
        <v>Debashis Das</v>
      </c>
      <c r="L99" s="35"/>
    </row>
    <row r="100" spans="2:12" ht="15.6" x14ac:dyDescent="0.3">
      <c r="B100" s="15">
        <f>DATEDIF(Loan_Data!K:K,Loan_Data!L:L,"D")</f>
        <v>29</v>
      </c>
      <c r="C100" s="15">
        <f ca="1">DATEDIF(LoanData[[#This Row],[Approval_Date]],TODAY(),"M")</f>
        <v>46</v>
      </c>
      <c r="D100" s="31">
        <f>EDATE(LoanData[[#This Row],[Approval_Date]],LoanData[[#This Row],[Loan_Term_Months]])</f>
        <v>45582</v>
      </c>
      <c r="E100" t="str">
        <f t="shared" ca="1" si="1"/>
        <v>YES</v>
      </c>
      <c r="F100" s="33">
        <f>IFERROR(LoanData[[#This Row],[EMI]]/LoanData[[#This Row],[Monthly_Income]]*100," ")</f>
        <v>32.225094284230252</v>
      </c>
      <c r="G100" t="str" cm="1">
        <f t="array" ref="G100">_xlfn.IFS(F100&gt;40, "High DTI Risk",F100&gt;=25, "Moderate DTI",F100&lt;25, "Low DTI")</f>
        <v>Moderate DTI</v>
      </c>
      <c r="H100" t="str" cm="1">
        <f t="array" ref="H1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0" t="str">
        <f>_xlfn.XLOOKUP(H100,Reference_Tables!$B$2:$B$7,Reference_Tables!$C$2:$C$7,,0,1)</f>
        <v>LR</v>
      </c>
      <c r="J100" t="str">
        <f>INDEX(Reference_Tables!$D$11:$D$36,MATCH(LoanData[[#This Row],[Branch]],Reference_Tables!$A$11:$A$36,0))</f>
        <v>Meena Iyer</v>
      </c>
      <c r="L100" s="35"/>
    </row>
    <row r="101" spans="2:12" ht="15.6" x14ac:dyDescent="0.3">
      <c r="B101" s="15">
        <f>DATEDIF(Loan_Data!K:K,Loan_Data!L:L,"D")</f>
        <v>14</v>
      </c>
      <c r="C101" s="15">
        <f ca="1">DATEDIF(LoanData[[#This Row],[Approval_Date]],TODAY(),"M")</f>
        <v>48</v>
      </c>
      <c r="D101" s="31">
        <f>EDATE(LoanData[[#This Row],[Approval_Date]],LoanData[[#This Row],[Loan_Term_Months]])</f>
        <v>48441</v>
      </c>
      <c r="E101" t="str">
        <f t="shared" ca="1" si="1"/>
        <v>NO</v>
      </c>
      <c r="F101" s="33">
        <f>IFERROR(LoanData[[#This Row],[EMI]]/LoanData[[#This Row],[Monthly_Income]]*100," ")</f>
        <v>23.812663378877303</v>
      </c>
      <c r="G101" t="str" cm="1">
        <f t="array" ref="G101">_xlfn.IFS(F101&gt;40, "High DTI Risk",F101&gt;=25, "Moderate DTI",F101&lt;25, "Low DTI")</f>
        <v>Low DTI</v>
      </c>
      <c r="H101" t="str" cm="1">
        <f t="array" ref="H1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1" t="str">
        <f>_xlfn.XLOOKUP(H101,Reference_Tables!$B$2:$B$7,Reference_Tables!$C$2:$C$7,,0,1)</f>
        <v>LR</v>
      </c>
      <c r="J101" t="str">
        <f>INDEX(Reference_Tables!$D$11:$D$36,MATCH(LoanData[[#This Row],[Branch]],Reference_Tables!$A$11:$A$36,0))</f>
        <v>Santhosh Rao</v>
      </c>
      <c r="L101" s="35"/>
    </row>
    <row r="102" spans="2:12" ht="15.6" x14ac:dyDescent="0.3">
      <c r="B102" s="15">
        <f>DATEDIF(Loan_Data!K:K,Loan_Data!L:L,"D")</f>
        <v>27</v>
      </c>
      <c r="C102" s="15">
        <f ca="1">DATEDIF(LoanData[[#This Row],[Approval_Date]],TODAY(),"M")</f>
        <v>40</v>
      </c>
      <c r="D102" s="31">
        <f>EDATE(LoanData[[#This Row],[Approval_Date]],LoanData[[#This Row],[Loan_Term_Months]])</f>
        <v>45741</v>
      </c>
      <c r="E102" t="str">
        <f t="shared" ca="1" si="1"/>
        <v>YES</v>
      </c>
      <c r="F102" s="33">
        <f>IFERROR(LoanData[[#This Row],[EMI]]/LoanData[[#This Row],[Monthly_Income]]*100," ")</f>
        <v>119.98712382464585</v>
      </c>
      <c r="G102" t="str" cm="1">
        <f t="array" ref="G102">_xlfn.IFS(F102&gt;40, "High DTI Risk",F102&gt;=25, "Moderate DTI",F102&lt;25, "Low DTI")</f>
        <v>High DTI Risk</v>
      </c>
      <c r="H102" t="str" cm="1">
        <f t="array" ref="H1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2" t="str">
        <f>_xlfn.XLOOKUP(H102,Reference_Tables!$B$2:$B$7,Reference_Tables!$C$2:$C$7,,0,1)</f>
        <v>HR</v>
      </c>
      <c r="J102" t="str">
        <f>INDEX(Reference_Tables!$D$11:$D$36,MATCH(LoanData[[#This Row],[Branch]],Reference_Tables!$A$11:$A$36,0))</f>
        <v>Meena Iyer</v>
      </c>
      <c r="L102" s="35"/>
    </row>
    <row r="103" spans="2:12" ht="15.6" x14ac:dyDescent="0.3">
      <c r="B103" s="15">
        <f>DATEDIF(Loan_Data!K:K,Loan_Data!L:L,"D")</f>
        <v>27</v>
      </c>
      <c r="C103" s="15">
        <f ca="1">DATEDIF(LoanData[[#This Row],[Approval_Date]],TODAY(),"M")</f>
        <v>57</v>
      </c>
      <c r="D103" s="31">
        <f>EDATE(LoanData[[#This Row],[Approval_Date]],LoanData[[#This Row],[Loan_Term_Months]])</f>
        <v>45587</v>
      </c>
      <c r="E103" t="str">
        <f t="shared" ca="1" si="1"/>
        <v>YES</v>
      </c>
      <c r="F103" s="33">
        <f>IFERROR(LoanData[[#This Row],[EMI]]/LoanData[[#This Row],[Monthly_Income]]*100," ")</f>
        <v>61.547057669448002</v>
      </c>
      <c r="G103" t="str" cm="1">
        <f t="array" ref="G103">_xlfn.IFS(F103&gt;40, "High DTI Risk",F103&gt;=25, "Moderate DTI",F103&lt;25, "Low DTI")</f>
        <v>High DTI Risk</v>
      </c>
      <c r="H103" t="str" cm="1">
        <f t="array" ref="H1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3" t="str">
        <f>_xlfn.XLOOKUP(H103,Reference_Tables!$B$2:$B$7,Reference_Tables!$C$2:$C$7,,0,1)</f>
        <v>VHR</v>
      </c>
      <c r="J103" t="str">
        <f>INDEX(Reference_Tables!$D$11:$D$36,MATCH(LoanData[[#This Row],[Branch]],Reference_Tables!$A$11:$A$36,0))</f>
        <v>Sachin Deshpande</v>
      </c>
      <c r="L103" s="35"/>
    </row>
    <row r="104" spans="2:12" ht="15.6" x14ac:dyDescent="0.3">
      <c r="B104" s="15">
        <f>DATEDIF(Loan_Data!K:K,Loan_Data!L:L,"D")</f>
        <v>12</v>
      </c>
      <c r="C104" s="15">
        <f ca="1">DATEDIF(LoanData[[#This Row],[Approval_Date]],TODAY(),"M")</f>
        <v>65</v>
      </c>
      <c r="D104" s="31">
        <f>EDATE(LoanData[[#This Row],[Approval_Date]],LoanData[[#This Row],[Loan_Term_Months]])</f>
        <v>47920</v>
      </c>
      <c r="E104" t="str">
        <f t="shared" ca="1" si="1"/>
        <v>NO</v>
      </c>
      <c r="F104" s="33">
        <f>IFERROR(LoanData[[#This Row],[EMI]]/LoanData[[#This Row],[Monthly_Income]]*100," ")</f>
        <v>25.216010931536541</v>
      </c>
      <c r="G104" t="str" cm="1">
        <f t="array" ref="G104">_xlfn.IFS(F104&gt;40, "High DTI Risk",F104&gt;=25, "Moderate DTI",F104&lt;25, "Low DTI")</f>
        <v>Moderate DTI</v>
      </c>
      <c r="H104" t="str" cm="1">
        <f t="array" ref="H1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4" t="str">
        <f>_xlfn.XLOOKUP(H104,Reference_Tables!$B$2:$B$7,Reference_Tables!$C$2:$C$7,,0,1)</f>
        <v>LR</v>
      </c>
      <c r="J104" t="str">
        <f>INDEX(Reference_Tables!$D$11:$D$36,MATCH(LoanData[[#This Row],[Branch]],Reference_Tables!$A$11:$A$36,0))</f>
        <v>Priya Yadav</v>
      </c>
      <c r="L104" s="35"/>
    </row>
    <row r="105" spans="2:12" ht="15.6" x14ac:dyDescent="0.3">
      <c r="B105" s="15">
        <f>DATEDIF(Loan_Data!K:K,Loan_Data!L:L,"D")</f>
        <v>29</v>
      </c>
      <c r="C105" s="15">
        <f ca="1">DATEDIF(LoanData[[#This Row],[Approval_Date]],TODAY(),"M")</f>
        <v>53</v>
      </c>
      <c r="D105" s="31">
        <f>EDATE(LoanData[[#This Row],[Approval_Date]],LoanData[[#This Row],[Loan_Term_Months]])</f>
        <v>51939</v>
      </c>
      <c r="E105" t="str">
        <f t="shared" ca="1" si="1"/>
        <v>NO</v>
      </c>
      <c r="F105" s="33">
        <f>IFERROR(LoanData[[#This Row],[EMI]]/LoanData[[#This Row],[Monthly_Income]]*100," ")</f>
        <v>63.69403914147702</v>
      </c>
      <c r="G105" t="str" cm="1">
        <f t="array" ref="G105">_xlfn.IFS(F105&gt;40, "High DTI Risk",F105&gt;=25, "Moderate DTI",F105&lt;25, "Low DTI")</f>
        <v>High DTI Risk</v>
      </c>
      <c r="H105" t="str" cm="1">
        <f t="array" ref="H1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5" t="str">
        <f>_xlfn.XLOOKUP(H105,Reference_Tables!$B$2:$B$7,Reference_Tables!$C$2:$C$7,,0,1)</f>
        <v>VHR</v>
      </c>
      <c r="J105" t="str">
        <f>INDEX(Reference_Tables!$D$11:$D$36,MATCH(LoanData[[#This Row],[Branch]],Reference_Tables!$A$11:$A$36,0))</f>
        <v>Ananya Sharma</v>
      </c>
      <c r="L105" s="35"/>
    </row>
    <row r="106" spans="2:12" ht="15.6" x14ac:dyDescent="0.3">
      <c r="B106" s="15">
        <f>DATEDIF(Loan_Data!K:K,Loan_Data!L:L,"D")</f>
        <v>6</v>
      </c>
      <c r="C106" s="15">
        <f ca="1">DATEDIF(LoanData[[#This Row],[Approval_Date]],TODAY(),"M")</f>
        <v>35</v>
      </c>
      <c r="D106" s="31">
        <f>EDATE(LoanData[[#This Row],[Approval_Date]],LoanData[[#This Row],[Loan_Term_Months]])</f>
        <v>46631</v>
      </c>
      <c r="E106" t="str">
        <f t="shared" ca="1" si="1"/>
        <v>NO</v>
      </c>
      <c r="F106" s="33">
        <f>IFERROR(LoanData[[#This Row],[EMI]]/LoanData[[#This Row],[Monthly_Income]]*100," ")</f>
        <v>21.986241184607362</v>
      </c>
      <c r="G106" t="str" cm="1">
        <f t="array" ref="G106">_xlfn.IFS(F106&gt;40, "High DTI Risk",F106&gt;=25, "Moderate DTI",F106&lt;25, "Low DTI")</f>
        <v>Low DTI</v>
      </c>
      <c r="H106" t="str" cm="1">
        <f t="array" ref="H1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6" t="str">
        <f>_xlfn.XLOOKUP(H106,Reference_Tables!$B$2:$B$7,Reference_Tables!$C$2:$C$7,,0,1)</f>
        <v>VHR</v>
      </c>
      <c r="J106" t="str">
        <f>INDEX(Reference_Tables!$D$11:$D$36,MATCH(LoanData[[#This Row],[Branch]],Reference_Tables!$A$11:$A$36,0))</f>
        <v>Ananya Sharma</v>
      </c>
      <c r="L106" s="35"/>
    </row>
    <row r="107" spans="2:12" ht="15.6" x14ac:dyDescent="0.3">
      <c r="B107" s="15">
        <f>DATEDIF(Loan_Data!K:K,Loan_Data!L:L,"D")</f>
        <v>20</v>
      </c>
      <c r="C107" s="15">
        <f ca="1">DATEDIF(LoanData[[#This Row],[Approval_Date]],TODAY(),"M")</f>
        <v>33</v>
      </c>
      <c r="D107" s="31">
        <f>EDATE(LoanData[[#This Row],[Approval_Date]],LoanData[[#This Row],[Loan_Term_Months]])</f>
        <v>46339</v>
      </c>
      <c r="E107" t="str">
        <f t="shared" ca="1" si="1"/>
        <v>NO</v>
      </c>
      <c r="F107" s="33">
        <f>IFERROR(LoanData[[#This Row],[EMI]]/LoanData[[#This Row],[Monthly_Income]]*100," ")</f>
        <v>23.677542732723335</v>
      </c>
      <c r="G107" t="str" cm="1">
        <f t="array" ref="G107">_xlfn.IFS(F107&gt;40, "High DTI Risk",F107&gt;=25, "Moderate DTI",F107&lt;25, "Low DTI")</f>
        <v>Low DTI</v>
      </c>
      <c r="H107" t="str" cm="1">
        <f t="array" ref="H1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7" t="str">
        <f>_xlfn.XLOOKUP(H107,Reference_Tables!$B$2:$B$7,Reference_Tables!$C$2:$C$7,,0,1)</f>
        <v>VHR</v>
      </c>
      <c r="J107" t="str">
        <f>INDEX(Reference_Tables!$D$11:$D$36,MATCH(LoanData[[#This Row],[Branch]],Reference_Tables!$A$11:$A$36,0))</f>
        <v>Nilesh Shah</v>
      </c>
      <c r="L107" s="35"/>
    </row>
    <row r="108" spans="2:12" ht="15.6" x14ac:dyDescent="0.3">
      <c r="B108" s="15">
        <f>DATEDIF(Loan_Data!K:K,Loan_Data!L:L,"D")</f>
        <v>22</v>
      </c>
      <c r="C108" s="15">
        <f ca="1">DATEDIF(LoanData[[#This Row],[Approval_Date]],TODAY(),"M")</f>
        <v>51</v>
      </c>
      <c r="D108" s="31">
        <f>EDATE(LoanData[[#This Row],[Approval_Date]],LoanData[[#This Row],[Loan_Term_Months]])</f>
        <v>45035</v>
      </c>
      <c r="E108" t="str">
        <f t="shared" ca="1" si="1"/>
        <v>YES</v>
      </c>
      <c r="F108" s="33">
        <f>IFERROR(LoanData[[#This Row],[EMI]]/LoanData[[#This Row],[Monthly_Income]]*100," ")</f>
        <v>34.917241434782085</v>
      </c>
      <c r="G108" t="str" cm="1">
        <f t="array" ref="G108">_xlfn.IFS(F108&gt;40, "High DTI Risk",F108&gt;=25, "Moderate DTI",F108&lt;25, "Low DTI")</f>
        <v>Moderate DTI</v>
      </c>
      <c r="H108" t="str" cm="1">
        <f t="array" ref="H1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8" t="str">
        <f>_xlfn.XLOOKUP(H108,Reference_Tables!$B$2:$B$7,Reference_Tables!$C$2:$C$7,,0,1)</f>
        <v>HR</v>
      </c>
      <c r="J108" t="str">
        <f>INDEX(Reference_Tables!$D$11:$D$36,MATCH(LoanData[[#This Row],[Branch]],Reference_Tables!$A$11:$A$36,0))</f>
        <v>Amit Kumar</v>
      </c>
      <c r="L108" s="35"/>
    </row>
    <row r="109" spans="2:12" ht="15.6" x14ac:dyDescent="0.3">
      <c r="B109" s="15">
        <f>DATEDIF(Loan_Data!K:K,Loan_Data!L:L,"D")</f>
        <v>24</v>
      </c>
      <c r="C109" s="15">
        <f ca="1">DATEDIF(LoanData[[#This Row],[Approval_Date]],TODAY(),"M")</f>
        <v>42</v>
      </c>
      <c r="D109" s="31">
        <f>EDATE(LoanData[[#This Row],[Approval_Date]],LoanData[[#This Row],[Loan_Term_Months]])</f>
        <v>46068</v>
      </c>
      <c r="E109" t="str">
        <f t="shared" ca="1" si="1"/>
        <v>YES</v>
      </c>
      <c r="F109" s="33">
        <f>IFERROR(LoanData[[#This Row],[EMI]]/LoanData[[#This Row],[Monthly_Income]]*100," ")</f>
        <v>34.190661513491214</v>
      </c>
      <c r="G109" t="str" cm="1">
        <f t="array" ref="G109">_xlfn.IFS(F109&gt;40, "High DTI Risk",F109&gt;=25, "Moderate DTI",F109&lt;25, "Low DTI")</f>
        <v>Moderate DTI</v>
      </c>
      <c r="H109" t="str" cm="1">
        <f t="array" ref="H1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9" t="str">
        <f>_xlfn.XLOOKUP(H109,Reference_Tables!$B$2:$B$7,Reference_Tables!$C$2:$C$7,,0,1)</f>
        <v>LR</v>
      </c>
      <c r="J109" t="str">
        <f>INDEX(Reference_Tables!$D$11:$D$36,MATCH(LoanData[[#This Row],[Branch]],Reference_Tables!$A$11:$A$36,0))</f>
        <v>Santhosh Rao</v>
      </c>
      <c r="L109" s="35"/>
    </row>
    <row r="110" spans="2:12" ht="15.6" x14ac:dyDescent="0.3">
      <c r="B110" s="15">
        <f>DATEDIF(Loan_Data!K:K,Loan_Data!L:L,"D")</f>
        <v>28</v>
      </c>
      <c r="C110" s="15">
        <f ca="1">DATEDIF(LoanData[[#This Row],[Approval_Date]],TODAY(),"M")</f>
        <v>33</v>
      </c>
      <c r="D110" s="31">
        <f>EDATE(LoanData[[#This Row],[Approval_Date]],LoanData[[#This Row],[Loan_Term_Months]])</f>
        <v>47048</v>
      </c>
      <c r="E110" t="str">
        <f t="shared" ca="1" si="1"/>
        <v>NO</v>
      </c>
      <c r="F110" s="33">
        <f>IFERROR(LoanData[[#This Row],[EMI]]/LoanData[[#This Row],[Monthly_Income]]*100," ")</f>
        <v>17.007075153390154</v>
      </c>
      <c r="G110" t="str" cm="1">
        <f t="array" ref="G110">_xlfn.IFS(F110&gt;40, "High DTI Risk",F110&gt;=25, "Moderate DTI",F110&lt;25, "Low DTI")</f>
        <v>Low DTI</v>
      </c>
      <c r="H110" t="str" cm="1">
        <f t="array" ref="H1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0" t="str">
        <f>_xlfn.XLOOKUP(H110,Reference_Tables!$B$2:$B$7,Reference_Tables!$C$2:$C$7,,0,1)</f>
        <v>VHR</v>
      </c>
      <c r="J110" t="str">
        <f>INDEX(Reference_Tables!$D$11:$D$36,MATCH(LoanData[[#This Row],[Branch]],Reference_Tables!$A$11:$A$36,0))</f>
        <v>Rahul Kapoor</v>
      </c>
      <c r="L110" s="35"/>
    </row>
    <row r="111" spans="2:12" ht="15.6" x14ac:dyDescent="0.3">
      <c r="B111" s="15">
        <f>DATEDIF(Loan_Data!K:K,Loan_Data!L:L,"D")</f>
        <v>4</v>
      </c>
      <c r="C111" s="15">
        <f ca="1">DATEDIF(LoanData[[#This Row],[Approval_Date]],TODAY(),"M")</f>
        <v>42</v>
      </c>
      <c r="D111" s="31">
        <f>EDATE(LoanData[[#This Row],[Approval_Date]],LoanData[[#This Row],[Loan_Term_Months]])</f>
        <v>48621</v>
      </c>
      <c r="E111" t="str">
        <f t="shared" ca="1" si="1"/>
        <v>NO</v>
      </c>
      <c r="F111" s="33">
        <f>IFERROR(LoanData[[#This Row],[EMI]]/LoanData[[#This Row],[Monthly_Income]]*100," ")</f>
        <v>5.5879917715536962</v>
      </c>
      <c r="G111" t="str" cm="1">
        <f t="array" ref="G111">_xlfn.IFS(F111&gt;40, "High DTI Risk",F111&gt;=25, "Moderate DTI",F111&lt;25, "Low DTI")</f>
        <v>Low DTI</v>
      </c>
      <c r="H111" t="str" cm="1">
        <f t="array" ref="H1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1" t="str">
        <f>_xlfn.XLOOKUP(H111,Reference_Tables!$B$2:$B$7,Reference_Tables!$C$2:$C$7,,0,1)</f>
        <v>VHR</v>
      </c>
      <c r="J111" t="str">
        <f>INDEX(Reference_Tables!$D$11:$D$36,MATCH(LoanData[[#This Row],[Branch]],Reference_Tables!$A$11:$A$36,0))</f>
        <v>Hetal Patel</v>
      </c>
      <c r="L111" s="35"/>
    </row>
    <row r="112" spans="2:12" ht="15.6" x14ac:dyDescent="0.3">
      <c r="B112" s="15">
        <f>DATEDIF(Loan_Data!K:K,Loan_Data!L:L,"D")</f>
        <v>18</v>
      </c>
      <c r="C112" s="15">
        <f ca="1">DATEDIF(LoanData[[#This Row],[Approval_Date]],TODAY(),"M")</f>
        <v>55</v>
      </c>
      <c r="D112" s="31">
        <f>EDATE(LoanData[[#This Row],[Approval_Date]],LoanData[[#This Row],[Loan_Term_Months]])</f>
        <v>44915</v>
      </c>
      <c r="E112" t="str">
        <f t="shared" ca="1" si="1"/>
        <v>YES</v>
      </c>
      <c r="F112" s="33">
        <f>IFERROR(LoanData[[#This Row],[EMI]]/LoanData[[#This Row],[Monthly_Income]]*100," ")</f>
        <v>49.780026597334292</v>
      </c>
      <c r="G112" t="str" cm="1">
        <f t="array" ref="G112">_xlfn.IFS(F112&gt;40, "High DTI Risk",F112&gt;=25, "Moderate DTI",F112&lt;25, "Low DTI")</f>
        <v>High DTI Risk</v>
      </c>
      <c r="H112" t="str" cm="1">
        <f t="array" ref="H1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2" t="str">
        <f>_xlfn.XLOOKUP(H112,Reference_Tables!$B$2:$B$7,Reference_Tables!$C$2:$C$7,,0,1)</f>
        <v>VHR</v>
      </c>
      <c r="J112" t="str">
        <f>INDEX(Reference_Tables!$D$11:$D$36,MATCH(LoanData[[#This Row],[Branch]],Reference_Tables!$A$11:$A$36,0))</f>
        <v>Vikram Malhotra</v>
      </c>
      <c r="L112" s="35"/>
    </row>
    <row r="113" spans="2:12" ht="15.6" x14ac:dyDescent="0.3">
      <c r="B113" s="15">
        <f>DATEDIF(Loan_Data!K:K,Loan_Data!L:L,"D")</f>
        <v>25</v>
      </c>
      <c r="C113" s="15">
        <f ca="1">DATEDIF(LoanData[[#This Row],[Approval_Date]],TODAY(),"M")</f>
        <v>42</v>
      </c>
      <c r="D113" s="31">
        <f>EDATE(LoanData[[#This Row],[Approval_Date]],LoanData[[#This Row],[Loan_Term_Months]])</f>
        <v>45325</v>
      </c>
      <c r="E113" t="str">
        <f t="shared" ca="1" si="1"/>
        <v>YES</v>
      </c>
      <c r="F113" s="33">
        <f>IFERROR(LoanData[[#This Row],[EMI]]/LoanData[[#This Row],[Monthly_Income]]*100," ")</f>
        <v>26.859851493415775</v>
      </c>
      <c r="G113" t="str" cm="1">
        <f t="array" ref="G113">_xlfn.IFS(F113&gt;40, "High DTI Risk",F113&gt;=25, "Moderate DTI",F113&lt;25, "Low DTI")</f>
        <v>Moderate DTI</v>
      </c>
      <c r="H113" t="str" cm="1">
        <f t="array" ref="H1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3" t="str">
        <f>_xlfn.XLOOKUP(H113,Reference_Tables!$B$2:$B$7,Reference_Tables!$C$2:$C$7,,0,1)</f>
        <v>VHR</v>
      </c>
      <c r="J113" t="str">
        <f>INDEX(Reference_Tables!$D$11:$D$36,MATCH(LoanData[[#This Row],[Branch]],Reference_Tables!$A$11:$A$36,0))</f>
        <v>Santhosh Rao</v>
      </c>
      <c r="L113" s="35"/>
    </row>
    <row r="114" spans="2:12" ht="15.6" x14ac:dyDescent="0.3">
      <c r="B114" s="15">
        <f>DATEDIF(Loan_Data!K:K,Loan_Data!L:L,"D")</f>
        <v>19</v>
      </c>
      <c r="C114" s="15">
        <f ca="1">DATEDIF(LoanData[[#This Row],[Approval_Date]],TODAY(),"M")</f>
        <v>31</v>
      </c>
      <c r="D114" s="31">
        <f>EDATE(LoanData[[#This Row],[Approval_Date]],LoanData[[#This Row],[Loan_Term_Months]])</f>
        <v>45674</v>
      </c>
      <c r="E114" t="str">
        <f t="shared" ca="1" si="1"/>
        <v>YES</v>
      </c>
      <c r="F114" s="33">
        <f>IFERROR(LoanData[[#This Row],[EMI]]/LoanData[[#This Row],[Monthly_Income]]*100," ")</f>
        <v>86.399449178964872</v>
      </c>
      <c r="G114" t="str" cm="1">
        <f t="array" ref="G114">_xlfn.IFS(F114&gt;40, "High DTI Risk",F114&gt;=25, "Moderate DTI",F114&lt;25, "Low DTI")</f>
        <v>High DTI Risk</v>
      </c>
      <c r="H114" t="str" cm="1">
        <f t="array" ref="H1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4" t="str">
        <f>_xlfn.XLOOKUP(H114,Reference_Tables!$B$2:$B$7,Reference_Tables!$C$2:$C$7,,0,1)</f>
        <v>LR</v>
      </c>
      <c r="J114" t="str">
        <f>INDEX(Reference_Tables!$D$11:$D$36,MATCH(LoanData[[#This Row],[Branch]],Reference_Tables!$A$11:$A$36,0))</f>
        <v>Puja Chatterjee</v>
      </c>
      <c r="L114" s="35"/>
    </row>
    <row r="115" spans="2:12" ht="15.6" x14ac:dyDescent="0.3">
      <c r="B115" s="15">
        <f>DATEDIF(Loan_Data!K:K,Loan_Data!L:L,"D")</f>
        <v>10</v>
      </c>
      <c r="C115" s="15">
        <f ca="1">DATEDIF(LoanData[[#This Row],[Approval_Date]],TODAY(),"M")</f>
        <v>31</v>
      </c>
      <c r="D115" s="31">
        <f>EDATE(LoanData[[#This Row],[Approval_Date]],LoanData[[#This Row],[Loan_Term_Months]])</f>
        <v>46011</v>
      </c>
      <c r="E115" t="str">
        <f t="shared" ca="1" si="1"/>
        <v>YES</v>
      </c>
      <c r="F115" s="33">
        <f>IFERROR(LoanData[[#This Row],[EMI]]/LoanData[[#This Row],[Monthly_Income]]*100," ")</f>
        <v>42.125639509766025</v>
      </c>
      <c r="G115" t="str" cm="1">
        <f t="array" ref="G115">_xlfn.IFS(F115&gt;40, "High DTI Risk",F115&gt;=25, "Moderate DTI",F115&lt;25, "Low DTI")</f>
        <v>High DTI Risk</v>
      </c>
      <c r="H115" t="str" cm="1">
        <f t="array" ref="H1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115" t="str">
        <f>_xlfn.XLOOKUP(H115,Reference_Tables!$B$2:$B$7,Reference_Tables!$C$2:$C$7,,0,1)</f>
        <v>UC</v>
      </c>
      <c r="J115" t="str">
        <f>INDEX(Reference_Tables!$D$11:$D$36,MATCH(LoanData[[#This Row],[Branch]],Reference_Tables!$A$11:$A$36,0))</f>
        <v>Jigar Mehta</v>
      </c>
      <c r="L115" s="35"/>
    </row>
    <row r="116" spans="2:12" ht="15.6" x14ac:dyDescent="0.3">
      <c r="B116" s="15">
        <f>DATEDIF(Loan_Data!K:K,Loan_Data!L:L,"D")</f>
        <v>20</v>
      </c>
      <c r="C116" s="15">
        <f ca="1">DATEDIF(LoanData[[#This Row],[Approval_Date]],TODAY(),"M")</f>
        <v>55</v>
      </c>
      <c r="D116" s="31">
        <f>EDATE(LoanData[[#This Row],[Approval_Date]],LoanData[[#This Row],[Loan_Term_Months]])</f>
        <v>45308</v>
      </c>
      <c r="E116" t="str">
        <f t="shared" ca="1" si="1"/>
        <v>YES</v>
      </c>
      <c r="F116" s="33">
        <f>IFERROR(LoanData[[#This Row],[EMI]]/LoanData[[#This Row],[Monthly_Income]]*100," ")</f>
        <v>26.251170150376772</v>
      </c>
      <c r="G116" t="str" cm="1">
        <f t="array" ref="G116">_xlfn.IFS(F116&gt;40, "High DTI Risk",F116&gt;=25, "Moderate DTI",F116&lt;25, "Low DTI")</f>
        <v>Moderate DTI</v>
      </c>
      <c r="H116" t="str" cm="1">
        <f t="array" ref="H1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6" t="str">
        <f>_xlfn.XLOOKUP(H116,Reference_Tables!$B$2:$B$7,Reference_Tables!$C$2:$C$7,,0,1)</f>
        <v>VHR</v>
      </c>
      <c r="J116" t="str">
        <f>INDEX(Reference_Tables!$D$11:$D$36,MATCH(LoanData[[#This Row],[Branch]],Reference_Tables!$A$11:$A$36,0))</f>
        <v>Sachin Deshpande</v>
      </c>
      <c r="L116" s="35"/>
    </row>
    <row r="117" spans="2:12" ht="15.6" x14ac:dyDescent="0.3">
      <c r="B117" s="15">
        <f>DATEDIF(Loan_Data!K:K,Loan_Data!L:L,"D")</f>
        <v>21</v>
      </c>
      <c r="C117" s="15">
        <f ca="1">DATEDIF(LoanData[[#This Row],[Approval_Date]],TODAY(),"M")</f>
        <v>34</v>
      </c>
      <c r="D117" s="31">
        <f>EDATE(LoanData[[#This Row],[Approval_Date]],LoanData[[#This Row],[Loan_Term_Months]])</f>
        <v>46663</v>
      </c>
      <c r="E117" t="str">
        <f t="shared" ca="1" si="1"/>
        <v>NO</v>
      </c>
      <c r="F117" s="33">
        <f>IFERROR(LoanData[[#This Row],[EMI]]/LoanData[[#This Row],[Monthly_Income]]*100," ")</f>
        <v>25.395845635485774</v>
      </c>
      <c r="G117" t="str" cm="1">
        <f t="array" ref="G117">_xlfn.IFS(F117&gt;40, "High DTI Risk",F117&gt;=25, "Moderate DTI",F117&lt;25, "Low DTI")</f>
        <v>Moderate DTI</v>
      </c>
      <c r="H117" t="str" cm="1">
        <f t="array" ref="H1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7" t="str">
        <f>_xlfn.XLOOKUP(H117,Reference_Tables!$B$2:$B$7,Reference_Tables!$C$2:$C$7,,0,1)</f>
        <v>LR</v>
      </c>
      <c r="J117" t="str">
        <f>INDEX(Reference_Tables!$D$11:$D$36,MATCH(LoanData[[#This Row],[Branch]],Reference_Tables!$A$11:$A$36,0))</f>
        <v>Deepak Nair</v>
      </c>
      <c r="L117" s="35"/>
    </row>
    <row r="118" spans="2:12" ht="15.6" x14ac:dyDescent="0.3">
      <c r="B118" s="15">
        <f>DATEDIF(Loan_Data!K:K,Loan_Data!L:L,"D")</f>
        <v>29</v>
      </c>
      <c r="C118" s="15">
        <f ca="1">DATEDIF(LoanData[[#This Row],[Approval_Date]],TODAY(),"M")</f>
        <v>34</v>
      </c>
      <c r="D118" s="31">
        <f>EDATE(LoanData[[#This Row],[Approval_Date]],LoanData[[#This Row],[Loan_Term_Months]])</f>
        <v>45936</v>
      </c>
      <c r="E118" t="str">
        <f t="shared" ca="1" si="1"/>
        <v>YES</v>
      </c>
      <c r="F118" s="33">
        <f>IFERROR(LoanData[[#This Row],[EMI]]/LoanData[[#This Row],[Monthly_Income]]*100," ")</f>
        <v>119.13842479278256</v>
      </c>
      <c r="G118" t="str" cm="1">
        <f t="array" ref="G118">_xlfn.IFS(F118&gt;40, "High DTI Risk",F118&gt;=25, "Moderate DTI",F118&lt;25, "Low DTI")</f>
        <v>High DTI Risk</v>
      </c>
      <c r="H118" t="str" cm="1">
        <f t="array" ref="H1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8" t="str">
        <f>_xlfn.XLOOKUP(H118,Reference_Tables!$B$2:$B$7,Reference_Tables!$C$2:$C$7,,0,1)</f>
        <v>VHR</v>
      </c>
      <c r="J118" t="str">
        <f>INDEX(Reference_Tables!$D$11:$D$36,MATCH(LoanData[[#This Row],[Branch]],Reference_Tables!$A$11:$A$36,0))</f>
        <v>Puja Chatterjee</v>
      </c>
      <c r="L118" s="35"/>
    </row>
    <row r="119" spans="2:12" ht="15.6" x14ac:dyDescent="0.3">
      <c r="B119" s="15">
        <f>DATEDIF(Loan_Data!K:K,Loan_Data!L:L,"D")</f>
        <v>30</v>
      </c>
      <c r="C119" s="15">
        <f ca="1">DATEDIF(LoanData[[#This Row],[Approval_Date]],TODAY(),"M")</f>
        <v>35</v>
      </c>
      <c r="D119" s="31">
        <f>EDATE(LoanData[[#This Row],[Approval_Date]],LoanData[[#This Row],[Loan_Term_Months]])</f>
        <v>46258</v>
      </c>
      <c r="E119" t="str">
        <f t="shared" ca="1" si="1"/>
        <v>NO</v>
      </c>
      <c r="F119" s="33">
        <f>IFERROR(LoanData[[#This Row],[EMI]]/LoanData[[#This Row],[Monthly_Income]]*100," ")</f>
        <v>32.736881046445077</v>
      </c>
      <c r="G119" t="str" cm="1">
        <f t="array" ref="G119">_xlfn.IFS(F119&gt;40, "High DTI Risk",F119&gt;=25, "Moderate DTI",F119&lt;25, "Low DTI")</f>
        <v>Moderate DTI</v>
      </c>
      <c r="H119" t="str" cm="1">
        <f t="array" ref="H1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9" t="str">
        <f>_xlfn.XLOOKUP(H119,Reference_Tables!$B$2:$B$7,Reference_Tables!$C$2:$C$7,,0,1)</f>
        <v>VHR</v>
      </c>
      <c r="J119" t="str">
        <f>INDEX(Reference_Tables!$D$11:$D$36,MATCH(LoanData[[#This Row],[Branch]],Reference_Tables!$A$11:$A$36,0))</f>
        <v>Amit Kumar</v>
      </c>
      <c r="L119" s="35"/>
    </row>
    <row r="120" spans="2:12" ht="15.6" x14ac:dyDescent="0.3">
      <c r="B120" s="15">
        <f>DATEDIF(Loan_Data!K:K,Loan_Data!L:L,"D")</f>
        <v>3</v>
      </c>
      <c r="C120" s="15">
        <f ca="1">DATEDIF(LoanData[[#This Row],[Approval_Date]],TODAY(),"M")</f>
        <v>56</v>
      </c>
      <c r="D120" s="31">
        <f>EDATE(LoanData[[#This Row],[Approval_Date]],LoanData[[#This Row],[Loan_Term_Months]])</f>
        <v>44893</v>
      </c>
      <c r="E120" t="str">
        <f t="shared" ca="1" si="1"/>
        <v>YES</v>
      </c>
      <c r="F120" s="33">
        <f>IFERROR(LoanData[[#This Row],[EMI]]/LoanData[[#This Row],[Monthly_Income]]*100," ")</f>
        <v>135.00751227309053</v>
      </c>
      <c r="G120" t="str" cm="1">
        <f t="array" ref="G120">_xlfn.IFS(F120&gt;40, "High DTI Risk",F120&gt;=25, "Moderate DTI",F120&lt;25, "Low DTI")</f>
        <v>High DTI Risk</v>
      </c>
      <c r="H120" t="str" cm="1">
        <f t="array" ref="H1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20" t="str">
        <f>_xlfn.XLOOKUP(H120,Reference_Tables!$B$2:$B$7,Reference_Tables!$C$2:$C$7,,0,1)</f>
        <v>VHR</v>
      </c>
      <c r="J120" t="str">
        <f>INDEX(Reference_Tables!$D$11:$D$36,MATCH(LoanData[[#This Row],[Branch]],Reference_Tables!$A$11:$A$36,0))</f>
        <v>Deepak Nair</v>
      </c>
      <c r="L120" s="35"/>
    </row>
    <row r="121" spans="2:12" ht="15.6" x14ac:dyDescent="0.3">
      <c r="B121" s="15">
        <f>DATEDIF(Loan_Data!K:K,Loan_Data!L:L,"D")</f>
        <v>9</v>
      </c>
      <c r="C121" s="15">
        <f ca="1">DATEDIF(LoanData[[#This Row],[Approval_Date]],TODAY(),"M")</f>
        <v>57</v>
      </c>
      <c r="D121" s="31">
        <f>EDATE(LoanData[[#This Row],[Approval_Date]],LoanData[[#This Row],[Loan_Term_Months]])</f>
        <v>45220</v>
      </c>
      <c r="E121" t="str">
        <f t="shared" ca="1" si="1"/>
        <v>YES</v>
      </c>
      <c r="F121" s="33">
        <f>IFERROR(LoanData[[#This Row],[EMI]]/LoanData[[#This Row],[Monthly_Income]]*100," ")</f>
        <v>14.203264406207966</v>
      </c>
      <c r="G121" t="str" cm="1">
        <f t="array" ref="G121">_xlfn.IFS(F121&gt;40, "High DTI Risk",F121&gt;=25, "Moderate DTI",F121&lt;25, "Low DTI")</f>
        <v>Low DTI</v>
      </c>
      <c r="H121" t="str" cm="1">
        <f t="array" ref="H1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21" t="str">
        <f>_xlfn.XLOOKUP(H121,Reference_Tables!$B$2:$B$7,Reference_Tables!$C$2:$C$7,,0,1)</f>
        <v>HR</v>
      </c>
      <c r="J121" t="str">
        <f>INDEX(Reference_Tables!$D$11:$D$36,MATCH(LoanData[[#This Row],[Branch]],Reference_Tables!$A$11:$A$36,0))</f>
        <v>Deepak Nair</v>
      </c>
      <c r="L121" s="35"/>
    </row>
    <row r="122" spans="2:12" ht="15.6" x14ac:dyDescent="0.3">
      <c r="B122" s="15">
        <f>DATEDIF(Loan_Data!K:K,Loan_Data!L:L,"D")</f>
        <v>8</v>
      </c>
      <c r="C122" s="15">
        <f ca="1">DATEDIF(LoanData[[#This Row],[Approval_Date]],TODAY(),"M")</f>
        <v>35</v>
      </c>
      <c r="D122" s="31">
        <f>EDATE(LoanData[[#This Row],[Approval_Date]],LoanData[[#This Row],[Loan_Term_Months]])</f>
        <v>45533</v>
      </c>
      <c r="E122" t="str">
        <f t="shared" ca="1" si="1"/>
        <v>YES</v>
      </c>
      <c r="F122" s="33">
        <f>IFERROR(LoanData[[#This Row],[EMI]]/LoanData[[#This Row],[Monthly_Income]]*100," ")</f>
        <v>90.02110300105717</v>
      </c>
      <c r="G122" t="str" cm="1">
        <f t="array" ref="G122">_xlfn.IFS(F122&gt;40, "High DTI Risk",F122&gt;=25, "Moderate DTI",F122&lt;25, "Low DTI")</f>
        <v>High DTI Risk</v>
      </c>
      <c r="H122" t="str" cm="1">
        <f t="array" ref="H1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22" t="str">
        <f>_xlfn.XLOOKUP(H122,Reference_Tables!$B$2:$B$7,Reference_Tables!$C$2:$C$7,,0,1)</f>
        <v>VHR</v>
      </c>
      <c r="J122" t="str">
        <f>INDEX(Reference_Tables!$D$11:$D$36,MATCH(LoanData[[#This Row],[Branch]],Reference_Tables!$A$11:$A$36,0))</f>
        <v>Amit Kumar</v>
      </c>
      <c r="L122" s="35"/>
    </row>
    <row r="123" spans="2:12" ht="15.6" x14ac:dyDescent="0.3">
      <c r="B123" s="15">
        <f>DATEDIF(Loan_Data!K:K,Loan_Data!L:L,"D")</f>
        <v>7</v>
      </c>
      <c r="C123" s="15">
        <f ca="1">DATEDIF(LoanData[[#This Row],[Approval_Date]],TODAY(),"M")</f>
        <v>35</v>
      </c>
      <c r="D123" s="31">
        <f>EDATE(LoanData[[#This Row],[Approval_Date]],LoanData[[#This Row],[Loan_Term_Months]])</f>
        <v>45550</v>
      </c>
      <c r="E123" t="str">
        <f t="shared" ca="1" si="1"/>
        <v>YES</v>
      </c>
      <c r="F123" s="33">
        <f>IFERROR(LoanData[[#This Row],[EMI]]/LoanData[[#This Row],[Monthly_Income]]*100," ")</f>
        <v>522.30850408935009</v>
      </c>
      <c r="G123" t="str" cm="1">
        <f t="array" ref="G123">_xlfn.IFS(F123&gt;40, "High DTI Risk",F123&gt;=25, "Moderate DTI",F123&lt;25, "Low DTI")</f>
        <v>High DTI Risk</v>
      </c>
      <c r="H123" t="str" cm="1">
        <f t="array" ref="H1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23" t="str">
        <f>_xlfn.XLOOKUP(H123,Reference_Tables!$B$2:$B$7,Reference_Tables!$C$2:$C$7,,0,1)</f>
        <v>MR</v>
      </c>
      <c r="J123" t="str">
        <f>INDEX(Reference_Tables!$D$11:$D$36,MATCH(LoanData[[#This Row],[Branch]],Reference_Tables!$A$11:$A$36,0))</f>
        <v>Sandeep Saxena</v>
      </c>
      <c r="L123" s="35"/>
    </row>
    <row r="124" spans="2:12" ht="15.6" x14ac:dyDescent="0.3">
      <c r="B124" s="15">
        <f>DATEDIF(Loan_Data!K:K,Loan_Data!L:L,"D")</f>
        <v>22</v>
      </c>
      <c r="C124" s="15">
        <f ca="1">DATEDIF(LoanData[[#This Row],[Approval_Date]],TODAY(),"M")</f>
        <v>47</v>
      </c>
      <c r="D124" s="31">
        <f>EDATE(LoanData[[#This Row],[Approval_Date]],LoanData[[#This Row],[Loan_Term_Months]])</f>
        <v>45544</v>
      </c>
      <c r="E124" t="str">
        <f t="shared" ca="1" si="1"/>
        <v>YES</v>
      </c>
      <c r="F124" s="33">
        <f>IFERROR(LoanData[[#This Row],[EMI]]/LoanData[[#This Row],[Monthly_Income]]*100," ")</f>
        <v>45.84395698924731</v>
      </c>
      <c r="G124" t="str" cm="1">
        <f t="array" ref="G124">_xlfn.IFS(F124&gt;40, "High DTI Risk",F124&gt;=25, "Moderate DTI",F124&lt;25, "Low DTI")</f>
        <v>High DTI Risk</v>
      </c>
      <c r="H124" t="str" cm="1">
        <f t="array" ref="H1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24" t="str">
        <f>_xlfn.XLOOKUP(H124,Reference_Tables!$B$2:$B$7,Reference_Tables!$C$2:$C$7,,0,1)</f>
        <v>VHR</v>
      </c>
      <c r="J124" t="str">
        <f>INDEX(Reference_Tables!$D$11:$D$36,MATCH(LoanData[[#This Row],[Branch]],Reference_Tables!$A$11:$A$36,0))</f>
        <v>Sachin Deshpande</v>
      </c>
      <c r="L124" s="35"/>
    </row>
    <row r="125" spans="2:12" ht="15.6" x14ac:dyDescent="0.3">
      <c r="B125" s="15">
        <f>DATEDIF(Loan_Data!K:K,Loan_Data!L:L,"D")</f>
        <v>7</v>
      </c>
      <c r="C125" s="15">
        <f ca="1">DATEDIF(LoanData[[#This Row],[Approval_Date]],TODAY(),"M")</f>
        <v>41</v>
      </c>
      <c r="D125" s="31">
        <f>EDATE(LoanData[[#This Row],[Approval_Date]],LoanData[[#This Row],[Loan_Term_Months]])</f>
        <v>48637</v>
      </c>
      <c r="E125" t="str">
        <f t="shared" ca="1" si="1"/>
        <v>NO</v>
      </c>
      <c r="F125" s="33" t="str">
        <f>IFERROR(LoanData[[#This Row],[EMI]]/LoanData[[#This Row],[Monthly_Income]]*100," ")</f>
        <v xml:space="preserve"> </v>
      </c>
      <c r="G125" t="str" cm="1">
        <f t="array" ref="G125">_xlfn.IFS(F125&gt;40, "High DTI Risk",F125&gt;=25, "Moderate DTI",F125&lt;25, "Low DTI")</f>
        <v>High DTI Risk</v>
      </c>
      <c r="H125" t="str" cm="1">
        <f t="array" ref="H1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25" t="str">
        <f>_xlfn.XLOOKUP(H125,Reference_Tables!$B$2:$B$7,Reference_Tables!$C$2:$C$7,,0,1)</f>
        <v>MR</v>
      </c>
      <c r="J125" t="str">
        <f>INDEX(Reference_Tables!$D$11:$D$36,MATCH(LoanData[[#This Row],[Branch]],Reference_Tables!$A$11:$A$36,0))</f>
        <v>Deepak Nair</v>
      </c>
      <c r="L125" s="35"/>
    </row>
    <row r="126" spans="2:12" ht="15.6" x14ac:dyDescent="0.3">
      <c r="B126" s="15">
        <f>DATEDIF(Loan_Data!K:K,Loan_Data!L:L,"D")</f>
        <v>12</v>
      </c>
      <c r="C126" s="15">
        <f ca="1">DATEDIF(LoanData[[#This Row],[Approval_Date]],TODAY(),"M")</f>
        <v>58</v>
      </c>
      <c r="D126" s="31">
        <f>EDATE(LoanData[[#This Row],[Approval_Date]],LoanData[[#This Row],[Loan_Term_Months]])</f>
        <v>49942</v>
      </c>
      <c r="E126" t="str">
        <f t="shared" ca="1" si="1"/>
        <v>NO</v>
      </c>
      <c r="F126" s="33">
        <f>IFERROR(LoanData[[#This Row],[EMI]]/LoanData[[#This Row],[Monthly_Income]]*100," ")</f>
        <v>48.451340059105263</v>
      </c>
      <c r="G126" t="str" cm="1">
        <f t="array" ref="G126">_xlfn.IFS(F126&gt;40, "High DTI Risk",F126&gt;=25, "Moderate DTI",F126&lt;25, "Low DTI")</f>
        <v>High DTI Risk</v>
      </c>
      <c r="H126" t="str" cm="1">
        <f t="array" ref="H1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26" t="str">
        <f>_xlfn.XLOOKUP(H126,Reference_Tables!$B$2:$B$7,Reference_Tables!$C$2:$C$7,,0,1)</f>
        <v>LR</v>
      </c>
      <c r="J126" t="str">
        <f>INDEX(Reference_Tables!$D$11:$D$36,MATCH(LoanData[[#This Row],[Branch]],Reference_Tables!$A$11:$A$36,0))</f>
        <v>Ravi Verma</v>
      </c>
      <c r="L126" s="35"/>
    </row>
    <row r="127" spans="2:12" ht="15.6" x14ac:dyDescent="0.3">
      <c r="B127" s="15">
        <f>DATEDIF(Loan_Data!K:K,Loan_Data!L:L,"D")</f>
        <v>15</v>
      </c>
      <c r="C127" s="15">
        <f ca="1">DATEDIF(LoanData[[#This Row],[Approval_Date]],TODAY(),"M")</f>
        <v>60</v>
      </c>
      <c r="D127" s="31">
        <f>EDATE(LoanData[[#This Row],[Approval_Date]],LoanData[[#This Row],[Loan_Term_Months]])</f>
        <v>49889</v>
      </c>
      <c r="E127" t="str">
        <f t="shared" ca="1" si="1"/>
        <v>NO</v>
      </c>
      <c r="F127" s="33">
        <f>IFERROR(LoanData[[#This Row],[EMI]]/LoanData[[#This Row],[Monthly_Income]]*100," ")</f>
        <v>17.664598705763147</v>
      </c>
      <c r="G127" t="str" cm="1">
        <f t="array" ref="G127">_xlfn.IFS(F127&gt;40, "High DTI Risk",F127&gt;=25, "Moderate DTI",F127&lt;25, "Low DTI")</f>
        <v>Low DTI</v>
      </c>
      <c r="H127" t="str" cm="1">
        <f t="array" ref="H1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27" t="str">
        <f>_xlfn.XLOOKUP(H127,Reference_Tables!$B$2:$B$7,Reference_Tables!$C$2:$C$7,,0,1)</f>
        <v>LR</v>
      </c>
      <c r="J127" t="str">
        <f>INDEX(Reference_Tables!$D$11:$D$36,MATCH(LoanData[[#This Row],[Branch]],Reference_Tables!$A$11:$A$36,0))</f>
        <v>Lakshmi Reddy</v>
      </c>
      <c r="L127" s="35"/>
    </row>
    <row r="128" spans="2:12" ht="15.6" x14ac:dyDescent="0.3">
      <c r="B128" s="15">
        <f>DATEDIF(Loan_Data!K:K,Loan_Data!L:L,"D")</f>
        <v>25</v>
      </c>
      <c r="C128" s="15">
        <f ca="1">DATEDIF(LoanData[[#This Row],[Approval_Date]],TODAY(),"M")</f>
        <v>34</v>
      </c>
      <c r="D128" s="31">
        <f>EDATE(LoanData[[#This Row],[Approval_Date]],LoanData[[#This Row],[Loan_Term_Months]])</f>
        <v>48867</v>
      </c>
      <c r="E128" t="str">
        <f t="shared" ca="1" si="1"/>
        <v>NO</v>
      </c>
      <c r="F128" s="33">
        <f>IFERROR(LoanData[[#This Row],[EMI]]/LoanData[[#This Row],[Monthly_Income]]*100," ")</f>
        <v>14.156897450673691</v>
      </c>
      <c r="G128" t="str" cm="1">
        <f t="array" ref="G128">_xlfn.IFS(F128&gt;40, "High DTI Risk",F128&gt;=25, "Moderate DTI",F128&lt;25, "Low DTI")</f>
        <v>Low DTI</v>
      </c>
      <c r="H128" t="str" cm="1">
        <f t="array" ref="H1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28" t="str">
        <f>_xlfn.XLOOKUP(H128,Reference_Tables!$B$2:$B$7,Reference_Tables!$C$2:$C$7,,0,1)</f>
        <v>MR</v>
      </c>
      <c r="J128" t="str">
        <f>INDEX(Reference_Tables!$D$11:$D$36,MATCH(LoanData[[#This Row],[Branch]],Reference_Tables!$A$11:$A$36,0))</f>
        <v>Meena Iyer</v>
      </c>
      <c r="L128" s="35"/>
    </row>
    <row r="129" spans="2:12" ht="15.6" x14ac:dyDescent="0.3">
      <c r="B129" s="15">
        <f>DATEDIF(Loan_Data!K:K,Loan_Data!L:L,"D")</f>
        <v>17</v>
      </c>
      <c r="C129" s="15">
        <f ca="1">DATEDIF(LoanData[[#This Row],[Approval_Date]],TODAY(),"M")</f>
        <v>54</v>
      </c>
      <c r="D129" s="31">
        <f>EDATE(LoanData[[#This Row],[Approval_Date]],LoanData[[#This Row],[Loan_Term_Months]])</f>
        <v>46414</v>
      </c>
      <c r="E129" t="str">
        <f t="shared" ca="1" si="1"/>
        <v>NO</v>
      </c>
      <c r="F129" s="33">
        <f>IFERROR(LoanData[[#This Row],[EMI]]/LoanData[[#This Row],[Monthly_Income]]*100," ")</f>
        <v>18.688738689233251</v>
      </c>
      <c r="G129" t="str" cm="1">
        <f t="array" ref="G129">_xlfn.IFS(F129&gt;40, "High DTI Risk",F129&gt;=25, "Moderate DTI",F129&lt;25, "Low DTI")</f>
        <v>Low DTI</v>
      </c>
      <c r="H129" t="str" cm="1">
        <f t="array" ref="H1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29" t="str">
        <f>_xlfn.XLOOKUP(H129,Reference_Tables!$B$2:$B$7,Reference_Tables!$C$2:$C$7,,0,1)</f>
        <v>HR</v>
      </c>
      <c r="J129" t="str">
        <f>INDEX(Reference_Tables!$D$11:$D$36,MATCH(LoanData[[#This Row],[Branch]],Reference_Tables!$A$11:$A$36,0))</f>
        <v>Priya Yadav</v>
      </c>
      <c r="L129" s="35"/>
    </row>
    <row r="130" spans="2:12" ht="15.6" x14ac:dyDescent="0.3">
      <c r="B130" s="15">
        <f>DATEDIF(Loan_Data!K:K,Loan_Data!L:L,"D")</f>
        <v>19</v>
      </c>
      <c r="C130" s="15">
        <f ca="1">DATEDIF(LoanData[[#This Row],[Approval_Date]],TODAY(),"M")</f>
        <v>45</v>
      </c>
      <c r="D130" s="31">
        <f>EDATE(LoanData[[#This Row],[Approval_Date]],LoanData[[#This Row],[Loan_Term_Months]])</f>
        <v>45978</v>
      </c>
      <c r="E130" t="str">
        <f t="shared" ref="E130:E193" ca="1" si="2">IF(D130&lt;TODAY(),"YES","NO")</f>
        <v>YES</v>
      </c>
      <c r="F130" s="33">
        <f>IFERROR(LoanData[[#This Row],[EMI]]/LoanData[[#This Row],[Monthly_Income]]*100," ")</f>
        <v>20.223413040574183</v>
      </c>
      <c r="G130" t="str" cm="1">
        <f t="array" ref="G130">_xlfn.IFS(F130&gt;40, "High DTI Risk",F130&gt;=25, "Moderate DTI",F130&lt;25, "Low DTI")</f>
        <v>Low DTI</v>
      </c>
      <c r="H130" t="str" cm="1">
        <f t="array" ref="H1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30" t="str">
        <f>_xlfn.XLOOKUP(H130,Reference_Tables!$B$2:$B$7,Reference_Tables!$C$2:$C$7,,0,1)</f>
        <v>MR</v>
      </c>
      <c r="J130" t="str">
        <f>INDEX(Reference_Tables!$D$11:$D$36,MATCH(LoanData[[#This Row],[Branch]],Reference_Tables!$A$11:$A$36,0))</f>
        <v>Meena Iyer</v>
      </c>
      <c r="L130" s="35"/>
    </row>
    <row r="131" spans="2:12" ht="15.6" x14ac:dyDescent="0.3">
      <c r="B131" s="15">
        <f>DATEDIF(Loan_Data!K:K,Loan_Data!L:L,"D")</f>
        <v>30</v>
      </c>
      <c r="C131" s="15">
        <f ca="1">DATEDIF(LoanData[[#This Row],[Approval_Date]],TODAY(),"M")</f>
        <v>50</v>
      </c>
      <c r="D131" s="31">
        <f>EDATE(LoanData[[#This Row],[Approval_Date]],LoanData[[#This Row],[Loan_Term_Months]])</f>
        <v>48370</v>
      </c>
      <c r="E131" t="str">
        <f t="shared" ca="1" si="2"/>
        <v>NO</v>
      </c>
      <c r="F131" s="33">
        <f>IFERROR(LoanData[[#This Row],[EMI]]/LoanData[[#This Row],[Monthly_Income]]*100," ")</f>
        <v>18.86137736608941</v>
      </c>
      <c r="G131" t="str" cm="1">
        <f t="array" ref="G131">_xlfn.IFS(F131&gt;40, "High DTI Risk",F131&gt;=25, "Moderate DTI",F131&lt;25, "Low DTI")</f>
        <v>Low DTI</v>
      </c>
      <c r="H131" t="str" cm="1">
        <f t="array" ref="H1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31" t="str">
        <f>_xlfn.XLOOKUP(H131,Reference_Tables!$B$2:$B$7,Reference_Tables!$C$2:$C$7,,0,1)</f>
        <v>LR</v>
      </c>
      <c r="J131" t="str">
        <f>INDEX(Reference_Tables!$D$11:$D$36,MATCH(LoanData[[#This Row],[Branch]],Reference_Tables!$A$11:$A$36,0))</f>
        <v>Rahul Kapoor</v>
      </c>
      <c r="L131" s="35"/>
    </row>
    <row r="132" spans="2:12" ht="15.6" x14ac:dyDescent="0.3">
      <c r="B132" s="15">
        <f>DATEDIF(Loan_Data!K:K,Loan_Data!L:L,"D")</f>
        <v>28</v>
      </c>
      <c r="C132" s="15">
        <f ca="1">DATEDIF(LoanData[[#This Row],[Approval_Date]],TODAY(),"M")</f>
        <v>59</v>
      </c>
      <c r="D132" s="31">
        <f>EDATE(LoanData[[#This Row],[Approval_Date]],LoanData[[#This Row],[Loan_Term_Months]])</f>
        <v>45900</v>
      </c>
      <c r="E132" t="str">
        <f t="shared" ca="1" si="2"/>
        <v>YES</v>
      </c>
      <c r="F132" s="33">
        <f>IFERROR(LoanData[[#This Row],[EMI]]/LoanData[[#This Row],[Monthly_Income]]*100," ")</f>
        <v>45.188671076610184</v>
      </c>
      <c r="G132" t="str" cm="1">
        <f t="array" ref="G132">_xlfn.IFS(F132&gt;40, "High DTI Risk",F132&gt;=25, "Moderate DTI",F132&lt;25, "Low DTI")</f>
        <v>High DTI Risk</v>
      </c>
      <c r="H132" t="str" cm="1">
        <f t="array" ref="H1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32" t="str">
        <f>_xlfn.XLOOKUP(H132,Reference_Tables!$B$2:$B$7,Reference_Tables!$C$2:$C$7,,0,1)</f>
        <v>VHR</v>
      </c>
      <c r="J132" t="str">
        <f>INDEX(Reference_Tables!$D$11:$D$36,MATCH(LoanData[[#This Row],[Branch]],Reference_Tables!$A$11:$A$36,0))</f>
        <v>Priya Yadav</v>
      </c>
      <c r="L132" s="35"/>
    </row>
    <row r="133" spans="2:12" ht="15.6" x14ac:dyDescent="0.3">
      <c r="B133" s="15">
        <f>DATEDIF(Loan_Data!K:K,Loan_Data!L:L,"D")</f>
        <v>13</v>
      </c>
      <c r="C133" s="15">
        <f ca="1">DATEDIF(LoanData[[#This Row],[Approval_Date]],TODAY(),"M")</f>
        <v>34</v>
      </c>
      <c r="D133" s="31">
        <f>EDATE(LoanData[[#This Row],[Approval_Date]],LoanData[[#This Row],[Loan_Term_Months]])</f>
        <v>45582</v>
      </c>
      <c r="E133" t="str">
        <f t="shared" ca="1" si="2"/>
        <v>YES</v>
      </c>
      <c r="F133" s="33">
        <f>IFERROR(LoanData[[#This Row],[EMI]]/LoanData[[#This Row],[Monthly_Income]]*100," ")</f>
        <v>26.17137368996335</v>
      </c>
      <c r="G133" t="str" cm="1">
        <f t="array" ref="G133">_xlfn.IFS(F133&gt;40, "High DTI Risk",F133&gt;=25, "Moderate DTI",F133&lt;25, "Low DTI")</f>
        <v>Moderate DTI</v>
      </c>
      <c r="H133" t="str" cm="1">
        <f t="array" ref="H1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33" t="str">
        <f>_xlfn.XLOOKUP(H133,Reference_Tables!$B$2:$B$7,Reference_Tables!$C$2:$C$7,,0,1)</f>
        <v>LR</v>
      </c>
      <c r="J133" t="str">
        <f>INDEX(Reference_Tables!$D$11:$D$36,MATCH(LoanData[[#This Row],[Branch]],Reference_Tables!$A$11:$A$36,0))</f>
        <v>Hetal Patel</v>
      </c>
      <c r="L133" s="35"/>
    </row>
    <row r="134" spans="2:12" ht="15.6" x14ac:dyDescent="0.3">
      <c r="B134" s="15">
        <f>DATEDIF(Loan_Data!K:K,Loan_Data!L:L,"D")</f>
        <v>6</v>
      </c>
      <c r="C134" s="15">
        <f ca="1">DATEDIF(LoanData[[#This Row],[Approval_Date]],TODAY(),"M")</f>
        <v>32</v>
      </c>
      <c r="D134" s="31">
        <f>EDATE(LoanData[[#This Row],[Approval_Date]],LoanData[[#This Row],[Loan_Term_Months]])</f>
        <v>46710</v>
      </c>
      <c r="E134" t="str">
        <f t="shared" ca="1" si="2"/>
        <v>NO</v>
      </c>
      <c r="F134" s="33">
        <f>IFERROR(LoanData[[#This Row],[EMI]]/LoanData[[#This Row],[Monthly_Income]]*100," ")</f>
        <v>60.097905640506056</v>
      </c>
      <c r="G134" t="str" cm="1">
        <f t="array" ref="G134">_xlfn.IFS(F134&gt;40, "High DTI Risk",F134&gt;=25, "Moderate DTI",F134&lt;25, "Low DTI")</f>
        <v>High DTI Risk</v>
      </c>
      <c r="H134" t="str" cm="1">
        <f t="array" ref="H1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34" t="str">
        <f>_xlfn.XLOOKUP(H134,Reference_Tables!$B$2:$B$7,Reference_Tables!$C$2:$C$7,,0,1)</f>
        <v>LR</v>
      </c>
      <c r="J134" t="str">
        <f>INDEX(Reference_Tables!$D$11:$D$36,MATCH(LoanData[[#This Row],[Branch]],Reference_Tables!$A$11:$A$36,0))</f>
        <v>Priya Yadav</v>
      </c>
      <c r="L134" s="35"/>
    </row>
    <row r="135" spans="2:12" ht="15.6" x14ac:dyDescent="0.3">
      <c r="B135" s="15">
        <f>DATEDIF(Loan_Data!K:K,Loan_Data!L:L,"D")</f>
        <v>22</v>
      </c>
      <c r="C135" s="15">
        <f ca="1">DATEDIF(LoanData[[#This Row],[Approval_Date]],TODAY(),"M")</f>
        <v>60</v>
      </c>
      <c r="D135" s="31">
        <f>EDATE(LoanData[[#This Row],[Approval_Date]],LoanData[[#This Row],[Loan_Term_Months]])</f>
        <v>46972</v>
      </c>
      <c r="E135" t="str">
        <f t="shared" ca="1" si="2"/>
        <v>NO</v>
      </c>
      <c r="F135" s="33">
        <f>IFERROR(LoanData[[#This Row],[EMI]]/LoanData[[#This Row],[Monthly_Income]]*100," ")</f>
        <v>104.59682881773401</v>
      </c>
      <c r="G135" t="str" cm="1">
        <f t="array" ref="G135">_xlfn.IFS(F135&gt;40, "High DTI Risk",F135&gt;=25, "Moderate DTI",F135&lt;25, "Low DTI")</f>
        <v>High DTI Risk</v>
      </c>
      <c r="H135" t="str" cm="1">
        <f t="array" ref="H1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35" t="str">
        <f>_xlfn.XLOOKUP(H135,Reference_Tables!$B$2:$B$7,Reference_Tables!$C$2:$C$7,,0,1)</f>
        <v>VHR</v>
      </c>
      <c r="J135" t="str">
        <f>INDEX(Reference_Tables!$D$11:$D$36,MATCH(LoanData[[#This Row],[Branch]],Reference_Tables!$A$11:$A$36,0))</f>
        <v>Amit Kumar</v>
      </c>
      <c r="L135" s="35"/>
    </row>
    <row r="136" spans="2:12" ht="15.6" x14ac:dyDescent="0.3">
      <c r="B136" s="15">
        <f>DATEDIF(Loan_Data!K:K,Loan_Data!L:L,"D")</f>
        <v>17</v>
      </c>
      <c r="C136" s="15">
        <f ca="1">DATEDIF(LoanData[[#This Row],[Approval_Date]],TODAY(),"M")</f>
        <v>48</v>
      </c>
      <c r="D136" s="31">
        <f>EDATE(LoanData[[#This Row],[Approval_Date]],LoanData[[#This Row],[Loan_Term_Months]])</f>
        <v>45502</v>
      </c>
      <c r="E136" t="str">
        <f t="shared" ca="1" si="2"/>
        <v>YES</v>
      </c>
      <c r="F136" s="33">
        <f>IFERROR(LoanData[[#This Row],[EMI]]/LoanData[[#This Row],[Monthly_Income]]*100," ")</f>
        <v>17.510601805691493</v>
      </c>
      <c r="G136" t="str" cm="1">
        <f t="array" ref="G136">_xlfn.IFS(F136&gt;40, "High DTI Risk",F136&gt;=25, "Moderate DTI",F136&lt;25, "Low DTI")</f>
        <v>Low DTI</v>
      </c>
      <c r="H136" t="str" cm="1">
        <f t="array" ref="H1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36" t="str">
        <f>_xlfn.XLOOKUP(H136,Reference_Tables!$B$2:$B$7,Reference_Tables!$C$2:$C$7,,0,1)</f>
        <v>VHR</v>
      </c>
      <c r="J136" t="str">
        <f>INDEX(Reference_Tables!$D$11:$D$36,MATCH(LoanData[[#This Row],[Branch]],Reference_Tables!$A$11:$A$36,0))</f>
        <v>Ravi Verma</v>
      </c>
      <c r="L136" s="35"/>
    </row>
    <row r="137" spans="2:12" ht="15.6" x14ac:dyDescent="0.3">
      <c r="B137" s="15">
        <f>DATEDIF(Loan_Data!K:K,Loan_Data!L:L,"D")</f>
        <v>13</v>
      </c>
      <c r="C137" s="15">
        <f ca="1">DATEDIF(LoanData[[#This Row],[Approval_Date]],TODAY(),"M")</f>
        <v>54</v>
      </c>
      <c r="D137" s="31">
        <f>EDATE(LoanData[[#This Row],[Approval_Date]],LoanData[[#This Row],[Loan_Term_Months]])</f>
        <v>46069</v>
      </c>
      <c r="E137" t="str">
        <f t="shared" ca="1" si="2"/>
        <v>YES</v>
      </c>
      <c r="F137" s="33">
        <f>IFERROR(LoanData[[#This Row],[EMI]]/LoanData[[#This Row],[Monthly_Income]]*100," ")</f>
        <v>14.89614201221811</v>
      </c>
      <c r="G137" t="str" cm="1">
        <f t="array" ref="G137">_xlfn.IFS(F137&gt;40, "High DTI Risk",F137&gt;=25, "Moderate DTI",F137&lt;25, "Low DTI")</f>
        <v>Low DTI</v>
      </c>
      <c r="H137" t="str" cm="1">
        <f t="array" ref="H1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37" t="str">
        <f>_xlfn.XLOOKUP(H137,Reference_Tables!$B$2:$B$7,Reference_Tables!$C$2:$C$7,,0,1)</f>
        <v>LR</v>
      </c>
      <c r="J137" t="str">
        <f>INDEX(Reference_Tables!$D$11:$D$36,MATCH(LoanData[[#This Row],[Branch]],Reference_Tables!$A$11:$A$36,0))</f>
        <v>Sachin Deshpande</v>
      </c>
      <c r="L137" s="35"/>
    </row>
    <row r="138" spans="2:12" ht="15.6" x14ac:dyDescent="0.3">
      <c r="B138" s="15">
        <f>DATEDIF(Loan_Data!K:K,Loan_Data!L:L,"D")</f>
        <v>15</v>
      </c>
      <c r="C138" s="15">
        <f ca="1">DATEDIF(LoanData[[#This Row],[Approval_Date]],TODAY(),"M")</f>
        <v>42</v>
      </c>
      <c r="D138" s="31">
        <f>EDATE(LoanData[[#This Row],[Approval_Date]],LoanData[[#This Row],[Loan_Term_Months]])</f>
        <v>45316</v>
      </c>
      <c r="E138" t="str">
        <f t="shared" ca="1" si="2"/>
        <v>YES</v>
      </c>
      <c r="F138" s="33" t="str">
        <f>IFERROR(LoanData[[#This Row],[EMI]]/LoanData[[#This Row],[Monthly_Income]]*100," ")</f>
        <v xml:space="preserve"> </v>
      </c>
      <c r="G138" t="str" cm="1">
        <f t="array" ref="G138">_xlfn.IFS(F138&gt;40, "High DTI Risk",F138&gt;=25, "Moderate DTI",F138&lt;25, "Low DTI")</f>
        <v>High DTI Risk</v>
      </c>
      <c r="H138" t="str" cm="1">
        <f t="array" ref="H1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38" t="str">
        <f>_xlfn.XLOOKUP(H138,Reference_Tables!$B$2:$B$7,Reference_Tables!$C$2:$C$7,,0,1)</f>
        <v>VHR</v>
      </c>
      <c r="J138" t="str">
        <f>INDEX(Reference_Tables!$D$11:$D$36,MATCH(LoanData[[#This Row],[Branch]],Reference_Tables!$A$11:$A$36,0))</f>
        <v>Rahul Kapoor</v>
      </c>
      <c r="L138" s="35"/>
    </row>
    <row r="139" spans="2:12" ht="15.6" x14ac:dyDescent="0.3">
      <c r="B139" s="15">
        <f>DATEDIF(Loan_Data!K:K,Loan_Data!L:L,"D")</f>
        <v>4</v>
      </c>
      <c r="C139" s="15">
        <f ca="1">DATEDIF(LoanData[[#This Row],[Approval_Date]],TODAY(),"M")</f>
        <v>46</v>
      </c>
      <c r="D139" s="31">
        <f>EDATE(LoanData[[#This Row],[Approval_Date]],LoanData[[#This Row],[Loan_Term_Months]])</f>
        <v>47400</v>
      </c>
      <c r="E139" t="str">
        <f t="shared" ca="1" si="2"/>
        <v>NO</v>
      </c>
      <c r="F139" s="33">
        <f>IFERROR(LoanData[[#This Row],[EMI]]/LoanData[[#This Row],[Monthly_Income]]*100," ")</f>
        <v>10.547624765838897</v>
      </c>
      <c r="G139" t="str" cm="1">
        <f t="array" ref="G139">_xlfn.IFS(F139&gt;40, "High DTI Risk",F139&gt;=25, "Moderate DTI",F139&lt;25, "Low DTI")</f>
        <v>Low DTI</v>
      </c>
      <c r="H139" t="str" cm="1">
        <f t="array" ref="H1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39" t="str">
        <f>_xlfn.XLOOKUP(H139,Reference_Tables!$B$2:$B$7,Reference_Tables!$C$2:$C$7,,0,1)</f>
        <v>VHR</v>
      </c>
      <c r="J139" t="str">
        <f>INDEX(Reference_Tables!$D$11:$D$36,MATCH(LoanData[[#This Row],[Branch]],Reference_Tables!$A$11:$A$36,0))</f>
        <v>Priya Yadav</v>
      </c>
      <c r="L139" s="35"/>
    </row>
    <row r="140" spans="2:12" ht="15.6" x14ac:dyDescent="0.3">
      <c r="B140" s="15">
        <f>DATEDIF(Loan_Data!K:K,Loan_Data!L:L,"D")</f>
        <v>5</v>
      </c>
      <c r="C140" s="15">
        <f ca="1">DATEDIF(LoanData[[#This Row],[Approval_Date]],TODAY(),"M")</f>
        <v>47</v>
      </c>
      <c r="D140" s="31">
        <f>EDATE(LoanData[[#This Row],[Approval_Date]],LoanData[[#This Row],[Loan_Term_Months]])</f>
        <v>45549</v>
      </c>
      <c r="E140" t="str">
        <f t="shared" ca="1" si="2"/>
        <v>YES</v>
      </c>
      <c r="F140" s="33">
        <f>IFERROR(LoanData[[#This Row],[EMI]]/LoanData[[#This Row],[Monthly_Income]]*100," ")</f>
        <v>21.327215850758577</v>
      </c>
      <c r="G140" t="str" cm="1">
        <f t="array" ref="G140">_xlfn.IFS(F140&gt;40, "High DTI Risk",F140&gt;=25, "Moderate DTI",F140&lt;25, "Low DTI")</f>
        <v>Low DTI</v>
      </c>
      <c r="H140" t="str" cm="1">
        <f t="array" ref="H1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40" t="str">
        <f>_xlfn.XLOOKUP(H140,Reference_Tables!$B$2:$B$7,Reference_Tables!$C$2:$C$7,,0,1)</f>
        <v>LR</v>
      </c>
      <c r="J140" t="str">
        <f>INDEX(Reference_Tables!$D$11:$D$36,MATCH(LoanData[[#This Row],[Branch]],Reference_Tables!$A$11:$A$36,0))</f>
        <v>Nilesh Shah</v>
      </c>
      <c r="L140" s="35"/>
    </row>
    <row r="141" spans="2:12" ht="15.6" x14ac:dyDescent="0.3">
      <c r="B141" s="15">
        <f>DATEDIF(Loan_Data!K:K,Loan_Data!L:L,"D")</f>
        <v>25</v>
      </c>
      <c r="C141" s="15">
        <f ca="1">DATEDIF(LoanData[[#This Row],[Approval_Date]],TODAY(),"M")</f>
        <v>66</v>
      </c>
      <c r="D141" s="31">
        <f>EDATE(LoanData[[#This Row],[Approval_Date]],LoanData[[#This Row],[Loan_Term_Months]])</f>
        <v>51528</v>
      </c>
      <c r="E141" t="str">
        <f t="shared" ca="1" si="2"/>
        <v>NO</v>
      </c>
      <c r="F141" s="33">
        <f>IFERROR(LoanData[[#This Row],[EMI]]/LoanData[[#This Row],[Monthly_Income]]*100," ")</f>
        <v>52.427954226996732</v>
      </c>
      <c r="G141" t="str" cm="1">
        <f t="array" ref="G141">_xlfn.IFS(F141&gt;40, "High DTI Risk",F141&gt;=25, "Moderate DTI",F141&lt;25, "Low DTI")</f>
        <v>High DTI Risk</v>
      </c>
      <c r="H141" t="str" cm="1">
        <f t="array" ref="H1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41" t="str">
        <f>_xlfn.XLOOKUP(H141,Reference_Tables!$B$2:$B$7,Reference_Tables!$C$2:$C$7,,0,1)</f>
        <v>HR</v>
      </c>
      <c r="J141" t="str">
        <f>INDEX(Reference_Tables!$D$11:$D$36,MATCH(LoanData[[#This Row],[Branch]],Reference_Tables!$A$11:$A$36,0))</f>
        <v>Priyanka Gupta</v>
      </c>
      <c r="L141" s="35"/>
    </row>
    <row r="142" spans="2:12" ht="15.6" x14ac:dyDescent="0.3">
      <c r="B142" s="15">
        <f>DATEDIF(Loan_Data!K:K,Loan_Data!L:L,"D")</f>
        <v>30</v>
      </c>
      <c r="C142" s="15">
        <f ca="1">DATEDIF(LoanData[[#This Row],[Approval_Date]],TODAY(),"M")</f>
        <v>54</v>
      </c>
      <c r="D142" s="31">
        <f>EDATE(LoanData[[#This Row],[Approval_Date]],LoanData[[#This Row],[Loan_Term_Months]])</f>
        <v>51894</v>
      </c>
      <c r="E142" t="str">
        <f t="shared" ca="1" si="2"/>
        <v>NO</v>
      </c>
      <c r="F142" s="33">
        <f>IFERROR(LoanData[[#This Row],[EMI]]/LoanData[[#This Row],[Monthly_Income]]*100," ")</f>
        <v>17.651738539727265</v>
      </c>
      <c r="G142" t="str" cm="1">
        <f t="array" ref="G142">_xlfn.IFS(F142&gt;40, "High DTI Risk",F142&gt;=25, "Moderate DTI",F142&lt;25, "Low DTI")</f>
        <v>Low DTI</v>
      </c>
      <c r="H142" t="str" cm="1">
        <f t="array" ref="H1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42" t="str">
        <f>_xlfn.XLOOKUP(H142,Reference_Tables!$B$2:$B$7,Reference_Tables!$C$2:$C$7,,0,1)</f>
        <v>MR</v>
      </c>
      <c r="J142" t="str">
        <f>INDEX(Reference_Tables!$D$11:$D$36,MATCH(LoanData[[#This Row],[Branch]],Reference_Tables!$A$11:$A$36,0))</f>
        <v>Deepak Nair</v>
      </c>
      <c r="L142" s="35"/>
    </row>
    <row r="143" spans="2:12" ht="15.6" x14ac:dyDescent="0.3">
      <c r="B143" s="15">
        <f>DATEDIF(Loan_Data!K:K,Loan_Data!L:L,"D")</f>
        <v>9</v>
      </c>
      <c r="C143" s="15">
        <f ca="1">DATEDIF(LoanData[[#This Row],[Approval_Date]],TODAY(),"M")</f>
        <v>66</v>
      </c>
      <c r="D143" s="31">
        <f>EDATE(LoanData[[#This Row],[Approval_Date]],LoanData[[#This Row],[Loan_Term_Months]])</f>
        <v>49712</v>
      </c>
      <c r="E143" t="str">
        <f t="shared" ca="1" si="2"/>
        <v>NO</v>
      </c>
      <c r="F143" s="33">
        <f>IFERROR(LoanData[[#This Row],[EMI]]/LoanData[[#This Row],[Monthly_Income]]*100," ")</f>
        <v>4.9150342952481001</v>
      </c>
      <c r="G143" t="str" cm="1">
        <f t="array" ref="G143">_xlfn.IFS(F143&gt;40, "High DTI Risk",F143&gt;=25, "Moderate DTI",F143&lt;25, "Low DTI")</f>
        <v>Low DTI</v>
      </c>
      <c r="H143" t="str" cm="1">
        <f t="array" ref="H1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43" t="str">
        <f>_xlfn.XLOOKUP(H143,Reference_Tables!$B$2:$B$7,Reference_Tables!$C$2:$C$7,,0,1)</f>
        <v>MR</v>
      </c>
      <c r="J143" t="str">
        <f>INDEX(Reference_Tables!$D$11:$D$36,MATCH(LoanData[[#This Row],[Branch]],Reference_Tables!$A$11:$A$36,0))</f>
        <v>Debashis Das</v>
      </c>
      <c r="L143" s="35"/>
    </row>
    <row r="144" spans="2:12" ht="15.6" x14ac:dyDescent="0.3">
      <c r="B144" s="15">
        <f>DATEDIF(Loan_Data!K:K,Loan_Data!L:L,"D")</f>
        <v>13</v>
      </c>
      <c r="C144" s="15">
        <f ca="1">DATEDIF(LoanData[[#This Row],[Approval_Date]],TODAY(),"M")</f>
        <v>57</v>
      </c>
      <c r="D144" s="31">
        <f>EDATE(LoanData[[#This Row],[Approval_Date]],LoanData[[#This Row],[Loan_Term_Months]])</f>
        <v>45952</v>
      </c>
      <c r="E144" t="str">
        <f t="shared" ca="1" si="2"/>
        <v>YES</v>
      </c>
      <c r="F144" s="33">
        <f>IFERROR(LoanData[[#This Row],[EMI]]/LoanData[[#This Row],[Monthly_Income]]*100," ")</f>
        <v>8.2218594375005569</v>
      </c>
      <c r="G144" t="str" cm="1">
        <f t="array" ref="G144">_xlfn.IFS(F144&gt;40, "High DTI Risk",F144&gt;=25, "Moderate DTI",F144&lt;25, "Low DTI")</f>
        <v>Low DTI</v>
      </c>
      <c r="H144" t="str" cm="1">
        <f t="array" ref="H1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44" t="str">
        <f>_xlfn.XLOOKUP(H144,Reference_Tables!$B$2:$B$7,Reference_Tables!$C$2:$C$7,,0,1)</f>
        <v>MR</v>
      </c>
      <c r="J144" t="str">
        <f>INDEX(Reference_Tables!$D$11:$D$36,MATCH(LoanData[[#This Row],[Branch]],Reference_Tables!$A$11:$A$36,0))</f>
        <v>Amit Kumar</v>
      </c>
      <c r="L144" s="35"/>
    </row>
    <row r="145" spans="2:12" ht="15.6" x14ac:dyDescent="0.3">
      <c r="B145" s="15">
        <f>DATEDIF(Loan_Data!K:K,Loan_Data!L:L,"D")</f>
        <v>14</v>
      </c>
      <c r="C145" s="15">
        <f ca="1">DATEDIF(LoanData[[#This Row],[Approval_Date]],TODAY(),"M")</f>
        <v>43</v>
      </c>
      <c r="D145" s="31">
        <f>EDATE(LoanData[[#This Row],[Approval_Date]],LoanData[[#This Row],[Loan_Term_Months]])</f>
        <v>50402</v>
      </c>
      <c r="E145" t="str">
        <f t="shared" ca="1" si="2"/>
        <v>NO</v>
      </c>
      <c r="F145" s="33">
        <f>IFERROR(LoanData[[#This Row],[EMI]]/LoanData[[#This Row],[Monthly_Income]]*100," ")</f>
        <v>16.829505574521928</v>
      </c>
      <c r="G145" t="str" cm="1">
        <f t="array" ref="G145">_xlfn.IFS(F145&gt;40, "High DTI Risk",F145&gt;=25, "Moderate DTI",F145&lt;25, "Low DTI")</f>
        <v>Low DTI</v>
      </c>
      <c r="H145" t="str" cm="1">
        <f t="array" ref="H1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45" t="str">
        <f>_xlfn.XLOOKUP(H145,Reference_Tables!$B$2:$B$7,Reference_Tables!$C$2:$C$7,,0,1)</f>
        <v>MR</v>
      </c>
      <c r="J145" t="str">
        <f>INDEX(Reference_Tables!$D$11:$D$36,MATCH(LoanData[[#This Row],[Branch]],Reference_Tables!$A$11:$A$36,0))</f>
        <v>Priya Yadav</v>
      </c>
      <c r="L145" s="35"/>
    </row>
    <row r="146" spans="2:12" ht="15.6" x14ac:dyDescent="0.3">
      <c r="B146" s="15">
        <f>DATEDIF(Loan_Data!K:K,Loan_Data!L:L,"D")</f>
        <v>22</v>
      </c>
      <c r="C146" s="15">
        <f ca="1">DATEDIF(LoanData[[#This Row],[Approval_Date]],TODAY(),"M")</f>
        <v>47</v>
      </c>
      <c r="D146" s="31">
        <f>EDATE(LoanData[[#This Row],[Approval_Date]],LoanData[[#This Row],[Loan_Term_Months]])</f>
        <v>52113</v>
      </c>
      <c r="E146" t="str">
        <f t="shared" ca="1" si="2"/>
        <v>NO</v>
      </c>
      <c r="F146" s="33">
        <f>IFERROR(LoanData[[#This Row],[EMI]]/LoanData[[#This Row],[Monthly_Income]]*100," ")</f>
        <v>33.305276177456626</v>
      </c>
      <c r="G146" t="str" cm="1">
        <f t="array" ref="G146">_xlfn.IFS(F146&gt;40, "High DTI Risk",F146&gt;=25, "Moderate DTI",F146&lt;25, "Low DTI")</f>
        <v>Moderate DTI</v>
      </c>
      <c r="H146" t="str" cm="1">
        <f t="array" ref="H1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46" t="str">
        <f>_xlfn.XLOOKUP(H146,Reference_Tables!$B$2:$B$7,Reference_Tables!$C$2:$C$7,,0,1)</f>
        <v>MR</v>
      </c>
      <c r="J146" t="str">
        <f>INDEX(Reference_Tables!$D$11:$D$36,MATCH(LoanData[[#This Row],[Branch]],Reference_Tables!$A$11:$A$36,0))</f>
        <v>Amit Kumar</v>
      </c>
      <c r="L146" s="35"/>
    </row>
    <row r="147" spans="2:12" ht="15.6" x14ac:dyDescent="0.3">
      <c r="B147" s="15">
        <f>DATEDIF(Loan_Data!K:K,Loan_Data!L:L,"D")</f>
        <v>13</v>
      </c>
      <c r="C147" s="15">
        <f ca="1">DATEDIF(LoanData[[#This Row],[Approval_Date]],TODAY(),"M")</f>
        <v>60</v>
      </c>
      <c r="D147" s="31">
        <f>EDATE(LoanData[[#This Row],[Approval_Date]],LoanData[[#This Row],[Loan_Term_Months]])</f>
        <v>49896</v>
      </c>
      <c r="E147" t="str">
        <f t="shared" ca="1" si="2"/>
        <v>NO</v>
      </c>
      <c r="F147" s="33">
        <f>IFERROR(LoanData[[#This Row],[EMI]]/LoanData[[#This Row],[Monthly_Income]]*100," ")</f>
        <v>11.51390564817407</v>
      </c>
      <c r="G147" t="str" cm="1">
        <f t="array" ref="G147">_xlfn.IFS(F147&gt;40, "High DTI Risk",F147&gt;=25, "Moderate DTI",F147&lt;25, "Low DTI")</f>
        <v>Low DTI</v>
      </c>
      <c r="H147" t="str" cm="1">
        <f t="array" ref="H1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47" t="str">
        <f>_xlfn.XLOOKUP(H147,Reference_Tables!$B$2:$B$7,Reference_Tables!$C$2:$C$7,,0,1)</f>
        <v>VHR</v>
      </c>
      <c r="J147" t="str">
        <f>INDEX(Reference_Tables!$D$11:$D$36,MATCH(LoanData[[#This Row],[Branch]],Reference_Tables!$A$11:$A$36,0))</f>
        <v>Priya Yadav</v>
      </c>
      <c r="L147" s="35"/>
    </row>
    <row r="148" spans="2:12" ht="15.6" x14ac:dyDescent="0.3">
      <c r="B148" s="15">
        <f>DATEDIF(Loan_Data!K:K,Loan_Data!L:L,"D")</f>
        <v>17</v>
      </c>
      <c r="C148" s="15">
        <f ca="1">DATEDIF(LoanData[[#This Row],[Approval_Date]],TODAY(),"M")</f>
        <v>42</v>
      </c>
      <c r="D148" s="31">
        <f>EDATE(LoanData[[#This Row],[Approval_Date]],LoanData[[#This Row],[Loan_Term_Months]])</f>
        <v>46049</v>
      </c>
      <c r="E148" t="str">
        <f t="shared" ca="1" si="2"/>
        <v>YES</v>
      </c>
      <c r="F148" s="33">
        <f>IFERROR(LoanData[[#This Row],[EMI]]/LoanData[[#This Row],[Monthly_Income]]*100," ")</f>
        <v>40.275257006998622</v>
      </c>
      <c r="G148" t="str" cm="1">
        <f t="array" ref="G148">_xlfn.IFS(F148&gt;40, "High DTI Risk",F148&gt;=25, "Moderate DTI",F148&lt;25, "Low DTI")</f>
        <v>High DTI Risk</v>
      </c>
      <c r="H148" t="str" cm="1">
        <f t="array" ref="H1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48" t="str">
        <f>_xlfn.XLOOKUP(H148,Reference_Tables!$B$2:$B$7,Reference_Tables!$C$2:$C$7,,0,1)</f>
        <v>VHR</v>
      </c>
      <c r="J148" t="str">
        <f>INDEX(Reference_Tables!$D$11:$D$36,MATCH(LoanData[[#This Row],[Branch]],Reference_Tables!$A$11:$A$36,0))</f>
        <v>Rituparna Bora</v>
      </c>
      <c r="L148" s="35"/>
    </row>
    <row r="149" spans="2:12" ht="15.6" x14ac:dyDescent="0.3">
      <c r="B149" s="15">
        <f>DATEDIF(Loan_Data!K:K,Loan_Data!L:L,"D")</f>
        <v>3</v>
      </c>
      <c r="C149" s="15">
        <f ca="1">DATEDIF(LoanData[[#This Row],[Approval_Date]],TODAY(),"M")</f>
        <v>61</v>
      </c>
      <c r="D149" s="31">
        <f>EDATE(LoanData[[#This Row],[Approval_Date]],LoanData[[#This Row],[Loan_Term_Months]])</f>
        <v>48043</v>
      </c>
      <c r="E149" t="str">
        <f t="shared" ca="1" si="2"/>
        <v>NO</v>
      </c>
      <c r="F149" s="33">
        <f>IFERROR(LoanData[[#This Row],[EMI]]/LoanData[[#This Row],[Monthly_Income]]*100," ")</f>
        <v>7.9517914118585482</v>
      </c>
      <c r="G149" t="str" cm="1">
        <f t="array" ref="G149">_xlfn.IFS(F149&gt;40, "High DTI Risk",F149&gt;=25, "Moderate DTI",F149&lt;25, "Low DTI")</f>
        <v>Low DTI</v>
      </c>
      <c r="H149" t="str" cm="1">
        <f t="array" ref="H1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49" t="str">
        <f>_xlfn.XLOOKUP(H149,Reference_Tables!$B$2:$B$7,Reference_Tables!$C$2:$C$7,,0,1)</f>
        <v>LR</v>
      </c>
      <c r="J149" t="str">
        <f>INDEX(Reference_Tables!$D$11:$D$36,MATCH(LoanData[[#This Row],[Branch]],Reference_Tables!$A$11:$A$36,0))</f>
        <v>Arvind Pillai</v>
      </c>
      <c r="L149" s="35"/>
    </row>
    <row r="150" spans="2:12" ht="15.6" x14ac:dyDescent="0.3">
      <c r="B150" s="15">
        <f>DATEDIF(Loan_Data!K:K,Loan_Data!L:L,"D")</f>
        <v>7</v>
      </c>
      <c r="C150" s="15">
        <f ca="1">DATEDIF(LoanData[[#This Row],[Approval_Date]],TODAY(),"M")</f>
        <v>56</v>
      </c>
      <c r="D150" s="31">
        <f>EDATE(LoanData[[#This Row],[Approval_Date]],LoanData[[#This Row],[Loan_Term_Months]])</f>
        <v>50012</v>
      </c>
      <c r="E150" t="str">
        <f t="shared" ca="1" si="2"/>
        <v>NO</v>
      </c>
      <c r="F150" s="33">
        <f>IFERROR(LoanData[[#This Row],[EMI]]/LoanData[[#This Row],[Monthly_Income]]*100," ")</f>
        <v>9.6448954158582705</v>
      </c>
      <c r="G150" t="str" cm="1">
        <f t="array" ref="G150">_xlfn.IFS(F150&gt;40, "High DTI Risk",F150&gt;=25, "Moderate DTI",F150&lt;25, "Low DTI")</f>
        <v>Low DTI</v>
      </c>
      <c r="H150" t="str" cm="1">
        <f t="array" ref="H1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50" t="str">
        <f>_xlfn.XLOOKUP(H150,Reference_Tables!$B$2:$B$7,Reference_Tables!$C$2:$C$7,,0,1)</f>
        <v>MR</v>
      </c>
      <c r="J150" t="str">
        <f>INDEX(Reference_Tables!$D$11:$D$36,MATCH(LoanData[[#This Row],[Branch]],Reference_Tables!$A$11:$A$36,0))</f>
        <v>Vikram Malhotra</v>
      </c>
      <c r="L150" s="35"/>
    </row>
    <row r="151" spans="2:12" ht="15.6" x14ac:dyDescent="0.3">
      <c r="B151" s="15">
        <f>DATEDIF(Loan_Data!K:K,Loan_Data!L:L,"D")</f>
        <v>22</v>
      </c>
      <c r="C151" s="15">
        <f ca="1">DATEDIF(LoanData[[#This Row],[Approval_Date]],TODAY(),"M")</f>
        <v>47</v>
      </c>
      <c r="D151" s="31">
        <f>EDATE(LoanData[[#This Row],[Approval_Date]],LoanData[[#This Row],[Loan_Term_Months]])</f>
        <v>46627</v>
      </c>
      <c r="E151" t="str">
        <f t="shared" ca="1" si="2"/>
        <v>NO</v>
      </c>
      <c r="F151" s="33">
        <f>IFERROR(LoanData[[#This Row],[EMI]]/LoanData[[#This Row],[Monthly_Income]]*100," ")</f>
        <v>7.1575166183739549</v>
      </c>
      <c r="G151" t="str" cm="1">
        <f t="array" ref="G151">_xlfn.IFS(F151&gt;40, "High DTI Risk",F151&gt;=25, "Moderate DTI",F151&lt;25, "Low DTI")</f>
        <v>Low DTI</v>
      </c>
      <c r="H151" t="str" cm="1">
        <f t="array" ref="H1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51" t="str">
        <f>_xlfn.XLOOKUP(H151,Reference_Tables!$B$2:$B$7,Reference_Tables!$C$2:$C$7,,0,1)</f>
        <v>VHR</v>
      </c>
      <c r="J151" t="str">
        <f>INDEX(Reference_Tables!$D$11:$D$36,MATCH(LoanData[[#This Row],[Branch]],Reference_Tables!$A$11:$A$36,0))</f>
        <v>Rahul Kapoor</v>
      </c>
      <c r="L151" s="35"/>
    </row>
    <row r="152" spans="2:12" ht="15.6" x14ac:dyDescent="0.3">
      <c r="B152" s="15">
        <f>DATEDIF(Loan_Data!K:K,Loan_Data!L:L,"D")</f>
        <v>27</v>
      </c>
      <c r="C152" s="15">
        <f ca="1">DATEDIF(LoanData[[#This Row],[Approval_Date]],TODAY(),"M")</f>
        <v>56</v>
      </c>
      <c r="D152" s="31">
        <f>EDATE(LoanData[[#This Row],[Approval_Date]],LoanData[[#This Row],[Loan_Term_Months]])</f>
        <v>46004</v>
      </c>
      <c r="E152" t="str">
        <f t="shared" ca="1" si="2"/>
        <v>YES</v>
      </c>
      <c r="F152" s="33">
        <f>IFERROR(LoanData[[#This Row],[EMI]]/LoanData[[#This Row],[Monthly_Income]]*100," ")</f>
        <v>59.771846879203835</v>
      </c>
      <c r="G152" t="str" cm="1">
        <f t="array" ref="G152">_xlfn.IFS(F152&gt;40, "High DTI Risk",F152&gt;=25, "Moderate DTI",F152&lt;25, "Low DTI")</f>
        <v>High DTI Risk</v>
      </c>
      <c r="H152" t="str" cm="1">
        <f t="array" ref="H1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52" t="str">
        <f>_xlfn.XLOOKUP(H152,Reference_Tables!$B$2:$B$7,Reference_Tables!$C$2:$C$7,,0,1)</f>
        <v>VHR</v>
      </c>
      <c r="J152" t="str">
        <f>INDEX(Reference_Tables!$D$11:$D$36,MATCH(LoanData[[#This Row],[Branch]],Reference_Tables!$A$11:$A$36,0))</f>
        <v>Meena Iyer</v>
      </c>
      <c r="L152" s="35"/>
    </row>
    <row r="153" spans="2:12" ht="15.6" x14ac:dyDescent="0.3">
      <c r="B153" s="15">
        <f>DATEDIF(Loan_Data!K:K,Loan_Data!L:L,"D")</f>
        <v>7</v>
      </c>
      <c r="C153" s="15">
        <f ca="1">DATEDIF(LoanData[[#This Row],[Approval_Date]],TODAY(),"M")</f>
        <v>35</v>
      </c>
      <c r="D153" s="31">
        <f>EDATE(LoanData[[#This Row],[Approval_Date]],LoanData[[#This Row],[Loan_Term_Months]])</f>
        <v>46635</v>
      </c>
      <c r="E153" t="str">
        <f t="shared" ca="1" si="2"/>
        <v>NO</v>
      </c>
      <c r="F153" s="33">
        <f>IFERROR(LoanData[[#This Row],[EMI]]/LoanData[[#This Row],[Monthly_Income]]*100," ")</f>
        <v>20.04762122619282</v>
      </c>
      <c r="G153" t="str" cm="1">
        <f t="array" ref="G153">_xlfn.IFS(F153&gt;40, "High DTI Risk",F153&gt;=25, "Moderate DTI",F153&lt;25, "Low DTI")</f>
        <v>Low DTI</v>
      </c>
      <c r="H153" t="str" cm="1">
        <f t="array" ref="H1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53" t="str">
        <f>_xlfn.XLOOKUP(H153,Reference_Tables!$B$2:$B$7,Reference_Tables!$C$2:$C$7,,0,1)</f>
        <v>MR</v>
      </c>
      <c r="J153" t="str">
        <f>INDEX(Reference_Tables!$D$11:$D$36,MATCH(LoanData[[#This Row],[Branch]],Reference_Tables!$A$11:$A$36,0))</f>
        <v>Vikram Malhotra</v>
      </c>
      <c r="L153" s="35"/>
    </row>
    <row r="154" spans="2:12" ht="15.6" x14ac:dyDescent="0.3">
      <c r="B154" s="15">
        <f>DATEDIF(Loan_Data!K:K,Loan_Data!L:L,"D")</f>
        <v>23</v>
      </c>
      <c r="C154" s="15">
        <f ca="1">DATEDIF(LoanData[[#This Row],[Approval_Date]],TODAY(),"M")</f>
        <v>63</v>
      </c>
      <c r="D154" s="31">
        <f>EDATE(LoanData[[#This Row],[Approval_Date]],LoanData[[#This Row],[Loan_Term_Months]])</f>
        <v>45790</v>
      </c>
      <c r="E154" t="str">
        <f t="shared" ca="1" si="2"/>
        <v>YES</v>
      </c>
      <c r="F154" s="33">
        <f>IFERROR(LoanData[[#This Row],[EMI]]/LoanData[[#This Row],[Monthly_Income]]*100," ")</f>
        <v>24.204410623741193</v>
      </c>
      <c r="G154" t="str" cm="1">
        <f t="array" ref="G154">_xlfn.IFS(F154&gt;40, "High DTI Risk",F154&gt;=25, "Moderate DTI",F154&lt;25, "Low DTI")</f>
        <v>Low DTI</v>
      </c>
      <c r="H154" t="str" cm="1">
        <f t="array" ref="H1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54" t="str">
        <f>_xlfn.XLOOKUP(H154,Reference_Tables!$B$2:$B$7,Reference_Tables!$C$2:$C$7,,0,1)</f>
        <v>LR</v>
      </c>
      <c r="J154" t="str">
        <f>INDEX(Reference_Tables!$D$11:$D$36,MATCH(LoanData[[#This Row],[Branch]],Reference_Tables!$A$11:$A$36,0))</f>
        <v>Puja Chatterjee</v>
      </c>
      <c r="L154" s="35"/>
    </row>
    <row r="155" spans="2:12" ht="15.6" x14ac:dyDescent="0.3">
      <c r="B155" s="15">
        <f>DATEDIF(Loan_Data!K:K,Loan_Data!L:L,"D")</f>
        <v>25</v>
      </c>
      <c r="C155" s="15">
        <f ca="1">DATEDIF(LoanData[[#This Row],[Approval_Date]],TODAY(),"M")</f>
        <v>41</v>
      </c>
      <c r="D155" s="31">
        <f>EDATE(LoanData[[#This Row],[Approval_Date]],LoanData[[#This Row],[Loan_Term_Months]])</f>
        <v>45717</v>
      </c>
      <c r="E155" t="str">
        <f t="shared" ca="1" si="2"/>
        <v>YES</v>
      </c>
      <c r="F155" s="33">
        <f>IFERROR(LoanData[[#This Row],[EMI]]/LoanData[[#This Row],[Monthly_Income]]*100," ")</f>
        <v>21.110413838928231</v>
      </c>
      <c r="G155" t="str" cm="1">
        <f t="array" ref="G155">_xlfn.IFS(F155&gt;40, "High DTI Risk",F155&gt;=25, "Moderate DTI",F155&lt;25, "Low DTI")</f>
        <v>Low DTI</v>
      </c>
      <c r="H155" t="str" cm="1">
        <f t="array" ref="H1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55" t="str">
        <f>_xlfn.XLOOKUP(H155,Reference_Tables!$B$2:$B$7,Reference_Tables!$C$2:$C$7,,0,1)</f>
        <v>VHR</v>
      </c>
      <c r="J155" t="str">
        <f>INDEX(Reference_Tables!$D$11:$D$36,MATCH(LoanData[[#This Row],[Branch]],Reference_Tables!$A$11:$A$36,0))</f>
        <v>Arvind Pillai</v>
      </c>
      <c r="L155" s="35"/>
    </row>
    <row r="156" spans="2:12" ht="15.6" x14ac:dyDescent="0.3">
      <c r="B156" s="15">
        <f>DATEDIF(Loan_Data!K:K,Loan_Data!L:L,"D")</f>
        <v>28</v>
      </c>
      <c r="C156" s="15">
        <f ca="1">DATEDIF(LoanData[[#This Row],[Approval_Date]],TODAY(),"M")</f>
        <v>58</v>
      </c>
      <c r="D156" s="31">
        <f>EDATE(LoanData[[#This Row],[Approval_Date]],LoanData[[#This Row],[Loan_Term_Months]])</f>
        <v>44826</v>
      </c>
      <c r="E156" t="str">
        <f t="shared" ca="1" si="2"/>
        <v>YES</v>
      </c>
      <c r="F156" s="33">
        <f>IFERROR(LoanData[[#This Row],[EMI]]/LoanData[[#This Row],[Monthly_Income]]*100," ")</f>
        <v>84.993486442149958</v>
      </c>
      <c r="G156" t="str" cm="1">
        <f t="array" ref="G156">_xlfn.IFS(F156&gt;40, "High DTI Risk",F156&gt;=25, "Moderate DTI",F156&lt;25, "Low DTI")</f>
        <v>High DTI Risk</v>
      </c>
      <c r="H156" t="str" cm="1">
        <f t="array" ref="H1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56" t="str">
        <f>_xlfn.XLOOKUP(H156,Reference_Tables!$B$2:$B$7,Reference_Tables!$C$2:$C$7,,0,1)</f>
        <v>MR</v>
      </c>
      <c r="J156" t="str">
        <f>INDEX(Reference_Tables!$D$11:$D$36,MATCH(LoanData[[#This Row],[Branch]],Reference_Tables!$A$11:$A$36,0))</f>
        <v>Priya Yadav</v>
      </c>
      <c r="L156" s="35"/>
    </row>
    <row r="157" spans="2:12" ht="15.6" x14ac:dyDescent="0.3">
      <c r="B157" s="15">
        <f>DATEDIF(Loan_Data!K:K,Loan_Data!L:L,"D")</f>
        <v>18</v>
      </c>
      <c r="C157" s="15">
        <f ca="1">DATEDIF(LoanData[[#This Row],[Approval_Date]],TODAY(),"M")</f>
        <v>47</v>
      </c>
      <c r="D157" s="31">
        <f>EDATE(LoanData[[#This Row],[Approval_Date]],LoanData[[#This Row],[Loan_Term_Months]])</f>
        <v>45916</v>
      </c>
      <c r="E157" t="str">
        <f t="shared" ca="1" si="2"/>
        <v>YES</v>
      </c>
      <c r="F157" s="33">
        <f>IFERROR(LoanData[[#This Row],[EMI]]/LoanData[[#This Row],[Monthly_Income]]*100," ")</f>
        <v>51.807379436536706</v>
      </c>
      <c r="G157" t="str" cm="1">
        <f t="array" ref="G157">_xlfn.IFS(F157&gt;40, "High DTI Risk",F157&gt;=25, "Moderate DTI",F157&lt;25, "Low DTI")</f>
        <v>High DTI Risk</v>
      </c>
      <c r="H157" t="str" cm="1">
        <f t="array" ref="H1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57" t="str">
        <f>_xlfn.XLOOKUP(H157,Reference_Tables!$B$2:$B$7,Reference_Tables!$C$2:$C$7,,0,1)</f>
        <v>VHR</v>
      </c>
      <c r="J157" t="str">
        <f>INDEX(Reference_Tables!$D$11:$D$36,MATCH(LoanData[[#This Row],[Branch]],Reference_Tables!$A$11:$A$36,0))</f>
        <v>Deepak Nair</v>
      </c>
      <c r="L157" s="35"/>
    </row>
    <row r="158" spans="2:12" ht="15.6" x14ac:dyDescent="0.3">
      <c r="B158" s="15">
        <f>DATEDIF(Loan_Data!K:K,Loan_Data!L:L,"D")</f>
        <v>13</v>
      </c>
      <c r="C158" s="15">
        <f ca="1">DATEDIF(LoanData[[#This Row],[Approval_Date]],TODAY(),"M")</f>
        <v>62</v>
      </c>
      <c r="D158" s="31">
        <f>EDATE(LoanData[[#This Row],[Approval_Date]],LoanData[[#This Row],[Loan_Term_Months]])</f>
        <v>45440</v>
      </c>
      <c r="E158" t="str">
        <f t="shared" ca="1" si="2"/>
        <v>YES</v>
      </c>
      <c r="F158" s="33">
        <f>IFERROR(LoanData[[#This Row],[EMI]]/LoanData[[#This Row],[Monthly_Income]]*100," ")</f>
        <v>43.615936619181838</v>
      </c>
      <c r="G158" t="str" cm="1">
        <f t="array" ref="G158">_xlfn.IFS(F158&gt;40, "High DTI Risk",F158&gt;=25, "Moderate DTI",F158&lt;25, "Low DTI")</f>
        <v>High DTI Risk</v>
      </c>
      <c r="H158" t="str" cm="1">
        <f t="array" ref="H1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58" t="str">
        <f>_xlfn.XLOOKUP(H158,Reference_Tables!$B$2:$B$7,Reference_Tables!$C$2:$C$7,,0,1)</f>
        <v>LR</v>
      </c>
      <c r="J158" t="str">
        <f>INDEX(Reference_Tables!$D$11:$D$36,MATCH(LoanData[[#This Row],[Branch]],Reference_Tables!$A$11:$A$36,0))</f>
        <v>Priya Yadav</v>
      </c>
      <c r="L158" s="35"/>
    </row>
    <row r="159" spans="2:12" ht="15.6" x14ac:dyDescent="0.3">
      <c r="B159" s="15">
        <f>DATEDIF(Loan_Data!K:K,Loan_Data!L:L,"D")</f>
        <v>27</v>
      </c>
      <c r="C159" s="15">
        <f ca="1">DATEDIF(LoanData[[#This Row],[Approval_Date]],TODAY(),"M")</f>
        <v>52</v>
      </c>
      <c r="D159" s="31">
        <f>EDATE(LoanData[[#This Row],[Approval_Date]],LoanData[[#This Row],[Loan_Term_Months]])</f>
        <v>45033</v>
      </c>
      <c r="E159" t="str">
        <f t="shared" ca="1" si="2"/>
        <v>YES</v>
      </c>
      <c r="F159" s="33">
        <f>IFERROR(LoanData[[#This Row],[EMI]]/LoanData[[#This Row],[Monthly_Income]]*100," ")</f>
        <v>162.43998648942073</v>
      </c>
      <c r="G159" t="str" cm="1">
        <f t="array" ref="G159">_xlfn.IFS(F159&gt;40, "High DTI Risk",F159&gt;=25, "Moderate DTI",F159&lt;25, "Low DTI")</f>
        <v>High DTI Risk</v>
      </c>
      <c r="H159" t="str" cm="1">
        <f t="array" ref="H1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59" t="str">
        <f>_xlfn.XLOOKUP(H159,Reference_Tables!$B$2:$B$7,Reference_Tables!$C$2:$C$7,,0,1)</f>
        <v>HR</v>
      </c>
      <c r="J159" t="str">
        <f>INDEX(Reference_Tables!$D$11:$D$36,MATCH(LoanData[[#This Row],[Branch]],Reference_Tables!$A$11:$A$36,0))</f>
        <v>Rahul Kapoor</v>
      </c>
      <c r="L159" s="35"/>
    </row>
    <row r="160" spans="2:12" ht="15.6" x14ac:dyDescent="0.3">
      <c r="B160" s="15">
        <f>DATEDIF(Loan_Data!K:K,Loan_Data!L:L,"D")</f>
        <v>15</v>
      </c>
      <c r="C160" s="15">
        <f ca="1">DATEDIF(LoanData[[#This Row],[Approval_Date]],TODAY(),"M")</f>
        <v>63</v>
      </c>
      <c r="D160" s="31">
        <f>EDATE(LoanData[[#This Row],[Approval_Date]],LoanData[[#This Row],[Loan_Term_Months]])</f>
        <v>44692</v>
      </c>
      <c r="E160" t="str">
        <f t="shared" ca="1" si="2"/>
        <v>YES</v>
      </c>
      <c r="F160" s="33">
        <f>IFERROR(LoanData[[#This Row],[EMI]]/LoanData[[#This Row],[Monthly_Income]]*100," ")</f>
        <v>264.16830374008316</v>
      </c>
      <c r="G160" t="str" cm="1">
        <f t="array" ref="G160">_xlfn.IFS(F160&gt;40, "High DTI Risk",F160&gt;=25, "Moderate DTI",F160&lt;25, "Low DTI")</f>
        <v>High DTI Risk</v>
      </c>
      <c r="H160" t="str" cm="1">
        <f t="array" ref="H1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60" t="str">
        <f>_xlfn.XLOOKUP(H160,Reference_Tables!$B$2:$B$7,Reference_Tables!$C$2:$C$7,,0,1)</f>
        <v>HR</v>
      </c>
      <c r="J160" t="str">
        <f>INDEX(Reference_Tables!$D$11:$D$36,MATCH(LoanData[[#This Row],[Branch]],Reference_Tables!$A$11:$A$36,0))</f>
        <v>Arvind Pillai</v>
      </c>
      <c r="L160" s="35"/>
    </row>
    <row r="161" spans="2:12" ht="15.6" x14ac:dyDescent="0.3">
      <c r="B161" s="15">
        <f>DATEDIF(Loan_Data!K:K,Loan_Data!L:L,"D")</f>
        <v>9</v>
      </c>
      <c r="C161" s="15">
        <f ca="1">DATEDIF(LoanData[[#This Row],[Approval_Date]],TODAY(),"M")</f>
        <v>58</v>
      </c>
      <c r="D161" s="31">
        <f>EDATE(LoanData[[#This Row],[Approval_Date]],LoanData[[#This Row],[Loan_Term_Months]])</f>
        <v>46296</v>
      </c>
      <c r="E161" t="str">
        <f t="shared" ca="1" si="2"/>
        <v>NO</v>
      </c>
      <c r="F161" s="33">
        <f>IFERROR(LoanData[[#This Row],[EMI]]/LoanData[[#This Row],[Monthly_Income]]*100," ")</f>
        <v>18.191752408096875</v>
      </c>
      <c r="G161" t="str" cm="1">
        <f t="array" ref="G161">_xlfn.IFS(F161&gt;40, "High DTI Risk",F161&gt;=25, "Moderate DTI",F161&lt;25, "Low DTI")</f>
        <v>Low DTI</v>
      </c>
      <c r="H161" t="str" cm="1">
        <f t="array" ref="H1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61" t="str">
        <f>_xlfn.XLOOKUP(H161,Reference_Tables!$B$2:$B$7,Reference_Tables!$C$2:$C$7,,0,1)</f>
        <v>HR</v>
      </c>
      <c r="J161" t="str">
        <f>INDEX(Reference_Tables!$D$11:$D$36,MATCH(LoanData[[#This Row],[Branch]],Reference_Tables!$A$11:$A$36,0))</f>
        <v>Deepak Nair</v>
      </c>
      <c r="L161" s="35"/>
    </row>
    <row r="162" spans="2:12" ht="15.6" x14ac:dyDescent="0.3">
      <c r="B162" s="15">
        <f>DATEDIF(Loan_Data!K:K,Loan_Data!L:L,"D")</f>
        <v>9</v>
      </c>
      <c r="C162" s="15">
        <f ca="1">DATEDIF(LoanData[[#This Row],[Approval_Date]],TODAY(),"M")</f>
        <v>63</v>
      </c>
      <c r="D162" s="31">
        <f>EDATE(LoanData[[#This Row],[Approval_Date]],LoanData[[#This Row],[Loan_Term_Months]])</f>
        <v>44681</v>
      </c>
      <c r="E162" t="str">
        <f t="shared" ca="1" si="2"/>
        <v>YES</v>
      </c>
      <c r="F162" s="33">
        <f>IFERROR(LoanData[[#This Row],[EMI]]/LoanData[[#This Row],[Monthly_Income]]*100," ")</f>
        <v>70.885763379996973</v>
      </c>
      <c r="G162" t="str" cm="1">
        <f t="array" ref="G162">_xlfn.IFS(F162&gt;40, "High DTI Risk",F162&gt;=25, "Moderate DTI",F162&lt;25, "Low DTI")</f>
        <v>High DTI Risk</v>
      </c>
      <c r="H162" t="str" cm="1">
        <f t="array" ref="H1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62" t="str">
        <f>_xlfn.XLOOKUP(H162,Reference_Tables!$B$2:$B$7,Reference_Tables!$C$2:$C$7,,0,1)</f>
        <v>VHR</v>
      </c>
      <c r="J162" t="str">
        <f>INDEX(Reference_Tables!$D$11:$D$36,MATCH(LoanData[[#This Row],[Branch]],Reference_Tables!$A$11:$A$36,0))</f>
        <v>Amit Kumar</v>
      </c>
      <c r="L162" s="35"/>
    </row>
    <row r="163" spans="2:12" ht="15.6" x14ac:dyDescent="0.3">
      <c r="B163" s="15">
        <f>DATEDIF(Loan_Data!K:K,Loan_Data!L:L,"D")</f>
        <v>6</v>
      </c>
      <c r="C163" s="15">
        <f ca="1">DATEDIF(LoanData[[#This Row],[Approval_Date]],TODAY(),"M")</f>
        <v>38</v>
      </c>
      <c r="D163" s="31">
        <f>EDATE(LoanData[[#This Row],[Approval_Date]],LoanData[[#This Row],[Loan_Term_Months]])</f>
        <v>45804</v>
      </c>
      <c r="E163" t="str">
        <f t="shared" ca="1" si="2"/>
        <v>YES</v>
      </c>
      <c r="F163" s="33">
        <f>IFERROR(LoanData[[#This Row],[EMI]]/LoanData[[#This Row],[Monthly_Income]]*100," ")</f>
        <v>78.537815878416183</v>
      </c>
      <c r="G163" t="str" cm="1">
        <f t="array" ref="G163">_xlfn.IFS(F163&gt;40, "High DTI Risk",F163&gt;=25, "Moderate DTI",F163&lt;25, "Low DTI")</f>
        <v>High DTI Risk</v>
      </c>
      <c r="H163" t="str" cm="1">
        <f t="array" ref="H1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63" t="str">
        <f>_xlfn.XLOOKUP(H163,Reference_Tables!$B$2:$B$7,Reference_Tables!$C$2:$C$7,,0,1)</f>
        <v>LR</v>
      </c>
      <c r="J163" t="str">
        <f>INDEX(Reference_Tables!$D$11:$D$36,MATCH(LoanData[[#This Row],[Branch]],Reference_Tables!$A$11:$A$36,0))</f>
        <v>Rahul Kapoor</v>
      </c>
      <c r="L163" s="35"/>
    </row>
    <row r="164" spans="2:12" ht="15.6" x14ac:dyDescent="0.3">
      <c r="B164" s="15">
        <f>DATEDIF(Loan_Data!K:K,Loan_Data!L:L,"D")</f>
        <v>16</v>
      </c>
      <c r="C164" s="15">
        <f ca="1">DATEDIF(LoanData[[#This Row],[Approval_Date]],TODAY(),"M")</f>
        <v>54</v>
      </c>
      <c r="D164" s="31">
        <f>EDATE(LoanData[[#This Row],[Approval_Date]],LoanData[[#This Row],[Loan_Term_Months]])</f>
        <v>47162</v>
      </c>
      <c r="E164" t="str">
        <f t="shared" ca="1" si="2"/>
        <v>NO</v>
      </c>
      <c r="F164" s="33">
        <f>IFERROR(LoanData[[#This Row],[EMI]]/LoanData[[#This Row],[Monthly_Income]]*100," ")</f>
        <v>8.331623305240015</v>
      </c>
      <c r="G164" t="str" cm="1">
        <f t="array" ref="G164">_xlfn.IFS(F164&gt;40, "High DTI Risk",F164&gt;=25, "Moderate DTI",F164&lt;25, "Low DTI")</f>
        <v>Low DTI</v>
      </c>
      <c r="H164" t="str" cm="1">
        <f t="array" ref="H1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64" t="str">
        <f>_xlfn.XLOOKUP(H164,Reference_Tables!$B$2:$B$7,Reference_Tables!$C$2:$C$7,,0,1)</f>
        <v>VHR</v>
      </c>
      <c r="J164" t="str">
        <f>INDEX(Reference_Tables!$D$11:$D$36,MATCH(LoanData[[#This Row],[Branch]],Reference_Tables!$A$11:$A$36,0))</f>
        <v>Suman Tiwari</v>
      </c>
      <c r="L164" s="35"/>
    </row>
    <row r="165" spans="2:12" ht="15.6" x14ac:dyDescent="0.3">
      <c r="B165" s="15">
        <f>DATEDIF(Loan_Data!K:K,Loan_Data!L:L,"D")</f>
        <v>16</v>
      </c>
      <c r="C165" s="15">
        <f ca="1">DATEDIF(LoanData[[#This Row],[Approval_Date]],TODAY(),"M")</f>
        <v>41</v>
      </c>
      <c r="D165" s="31">
        <f>EDATE(LoanData[[#This Row],[Approval_Date]],LoanData[[#This Row],[Loan_Term_Months]])</f>
        <v>45714</v>
      </c>
      <c r="E165" t="str">
        <f t="shared" ca="1" si="2"/>
        <v>YES</v>
      </c>
      <c r="F165" s="33">
        <f>IFERROR(LoanData[[#This Row],[EMI]]/LoanData[[#This Row],[Monthly_Income]]*100," ")</f>
        <v>20.524896156781413</v>
      </c>
      <c r="G165" t="str" cm="1">
        <f t="array" ref="G165">_xlfn.IFS(F165&gt;40, "High DTI Risk",F165&gt;=25, "Moderate DTI",F165&lt;25, "Low DTI")</f>
        <v>Low DTI</v>
      </c>
      <c r="H165" t="str" cm="1">
        <f t="array" ref="H1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65" t="str">
        <f>_xlfn.XLOOKUP(H165,Reference_Tables!$B$2:$B$7,Reference_Tables!$C$2:$C$7,,0,1)</f>
        <v>VHR</v>
      </c>
      <c r="J165" t="str">
        <f>INDEX(Reference_Tables!$D$11:$D$36,MATCH(LoanData[[#This Row],[Branch]],Reference_Tables!$A$11:$A$36,0))</f>
        <v>Sandeep Saxena</v>
      </c>
      <c r="L165" s="35"/>
    </row>
    <row r="166" spans="2:12" ht="15.6" x14ac:dyDescent="0.3">
      <c r="B166" s="15">
        <f>DATEDIF(Loan_Data!K:K,Loan_Data!L:L,"D")</f>
        <v>10</v>
      </c>
      <c r="C166" s="15">
        <f ca="1">DATEDIF(LoanData[[#This Row],[Approval_Date]],TODAY(),"M")</f>
        <v>45</v>
      </c>
      <c r="D166" s="31">
        <f>EDATE(LoanData[[#This Row],[Approval_Date]],LoanData[[#This Row],[Loan_Term_Months]])</f>
        <v>45979</v>
      </c>
      <c r="E166" t="str">
        <f t="shared" ca="1" si="2"/>
        <v>YES</v>
      </c>
      <c r="F166" s="33">
        <f>IFERROR(LoanData[[#This Row],[EMI]]/LoanData[[#This Row],[Monthly_Income]]*100," ")</f>
        <v>44.654561939674373</v>
      </c>
      <c r="G166" t="str" cm="1">
        <f t="array" ref="G166">_xlfn.IFS(F166&gt;40, "High DTI Risk",F166&gt;=25, "Moderate DTI",F166&lt;25, "Low DTI")</f>
        <v>High DTI Risk</v>
      </c>
      <c r="H166" t="str" cm="1">
        <f t="array" ref="H1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66" t="str">
        <f>_xlfn.XLOOKUP(H166,Reference_Tables!$B$2:$B$7,Reference_Tables!$C$2:$C$7,,0,1)</f>
        <v>LR</v>
      </c>
      <c r="J166" t="str">
        <f>INDEX(Reference_Tables!$D$11:$D$36,MATCH(LoanData[[#This Row],[Branch]],Reference_Tables!$A$11:$A$36,0))</f>
        <v>Rituparna Bora</v>
      </c>
      <c r="L166" s="35"/>
    </row>
    <row r="167" spans="2:12" ht="15.6" x14ac:dyDescent="0.3">
      <c r="B167" s="15">
        <f>DATEDIF(Loan_Data!K:K,Loan_Data!L:L,"D")</f>
        <v>24</v>
      </c>
      <c r="C167" s="15">
        <f ca="1">DATEDIF(LoanData[[#This Row],[Approval_Date]],TODAY(),"M")</f>
        <v>60</v>
      </c>
      <c r="D167" s="31">
        <f>EDATE(LoanData[[#This Row],[Approval_Date]],LoanData[[#This Row],[Loan_Term_Months]])</f>
        <v>48049</v>
      </c>
      <c r="E167" t="str">
        <f t="shared" ca="1" si="2"/>
        <v>NO</v>
      </c>
      <c r="F167" s="33">
        <f>IFERROR(LoanData[[#This Row],[EMI]]/LoanData[[#This Row],[Monthly_Income]]*100," ")</f>
        <v>14.870511616991317</v>
      </c>
      <c r="G167" t="str" cm="1">
        <f t="array" ref="G167">_xlfn.IFS(F167&gt;40, "High DTI Risk",F167&gt;=25, "Moderate DTI",F167&lt;25, "Low DTI")</f>
        <v>Low DTI</v>
      </c>
      <c r="H167" t="str" cm="1">
        <f t="array" ref="H1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67" t="str">
        <f>_xlfn.XLOOKUP(H167,Reference_Tables!$B$2:$B$7,Reference_Tables!$C$2:$C$7,,0,1)</f>
        <v>LR</v>
      </c>
      <c r="J167" t="str">
        <f>INDEX(Reference_Tables!$D$11:$D$36,MATCH(LoanData[[#This Row],[Branch]],Reference_Tables!$A$11:$A$36,0))</f>
        <v>Suresh Menon</v>
      </c>
      <c r="L167" s="35"/>
    </row>
    <row r="168" spans="2:12" ht="15.6" x14ac:dyDescent="0.3">
      <c r="B168" s="15">
        <f>DATEDIF(Loan_Data!K:K,Loan_Data!L:L,"D")</f>
        <v>15</v>
      </c>
      <c r="C168" s="15">
        <f ca="1">DATEDIF(LoanData[[#This Row],[Approval_Date]],TODAY(),"M")</f>
        <v>56</v>
      </c>
      <c r="D168" s="31">
        <f>EDATE(LoanData[[#This Row],[Approval_Date]],LoanData[[#This Row],[Loan_Term_Months]])</f>
        <v>44904</v>
      </c>
      <c r="E168" t="str">
        <f t="shared" ca="1" si="2"/>
        <v>YES</v>
      </c>
      <c r="F168" s="33">
        <f>IFERROR(LoanData[[#This Row],[EMI]]/LoanData[[#This Row],[Monthly_Income]]*100," ")</f>
        <v>32.463601289003861</v>
      </c>
      <c r="G168" t="str" cm="1">
        <f t="array" ref="G168">_xlfn.IFS(F168&gt;40, "High DTI Risk",F168&gt;=25, "Moderate DTI",F168&lt;25, "Low DTI")</f>
        <v>Moderate DTI</v>
      </c>
      <c r="H168" t="str" cm="1">
        <f t="array" ref="H1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68" t="str">
        <f>_xlfn.XLOOKUP(H168,Reference_Tables!$B$2:$B$7,Reference_Tables!$C$2:$C$7,,0,1)</f>
        <v>VHR</v>
      </c>
      <c r="J168" t="str">
        <f>INDEX(Reference_Tables!$D$11:$D$36,MATCH(LoanData[[#This Row],[Branch]],Reference_Tables!$A$11:$A$36,0))</f>
        <v>Ananya Sharma</v>
      </c>
      <c r="L168" s="35"/>
    </row>
    <row r="169" spans="2:12" ht="15.6" x14ac:dyDescent="0.3">
      <c r="B169" s="15">
        <f>DATEDIF(Loan_Data!K:K,Loan_Data!L:L,"D")</f>
        <v>27</v>
      </c>
      <c r="C169" s="15">
        <f ca="1">DATEDIF(LoanData[[#This Row],[Approval_Date]],TODAY(),"M")</f>
        <v>61</v>
      </c>
      <c r="D169" s="31">
        <f>EDATE(LoanData[[#This Row],[Approval_Date]],LoanData[[#This Row],[Loan_Term_Months]])</f>
        <v>45110</v>
      </c>
      <c r="E169" t="str">
        <f t="shared" ca="1" si="2"/>
        <v>YES</v>
      </c>
      <c r="F169" s="33">
        <f>IFERROR(LoanData[[#This Row],[EMI]]/LoanData[[#This Row],[Monthly_Income]]*100," ")</f>
        <v>54.351311778139589</v>
      </c>
      <c r="G169" t="str" cm="1">
        <f t="array" ref="G169">_xlfn.IFS(F169&gt;40, "High DTI Risk",F169&gt;=25, "Moderate DTI",F169&lt;25, "Low DTI")</f>
        <v>High DTI Risk</v>
      </c>
      <c r="H169" t="str" cm="1">
        <f t="array" ref="H1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69" t="str">
        <f>_xlfn.XLOOKUP(H169,Reference_Tables!$B$2:$B$7,Reference_Tables!$C$2:$C$7,,0,1)</f>
        <v>LR</v>
      </c>
      <c r="J169" t="str">
        <f>INDEX(Reference_Tables!$D$11:$D$36,MATCH(LoanData[[#This Row],[Branch]],Reference_Tables!$A$11:$A$36,0))</f>
        <v>Jigar Mehta</v>
      </c>
      <c r="L169" s="35"/>
    </row>
    <row r="170" spans="2:12" ht="15.6" x14ac:dyDescent="0.3">
      <c r="B170" s="15">
        <f>DATEDIF(Loan_Data!K:K,Loan_Data!L:L,"D")</f>
        <v>30</v>
      </c>
      <c r="C170" s="15">
        <f ca="1">DATEDIF(LoanData[[#This Row],[Approval_Date]],TODAY(),"M")</f>
        <v>45</v>
      </c>
      <c r="D170" s="31">
        <f>EDATE(LoanData[[#This Row],[Approval_Date]],LoanData[[#This Row],[Loan_Term_Months]])</f>
        <v>45974</v>
      </c>
      <c r="E170" t="str">
        <f t="shared" ca="1" si="2"/>
        <v>YES</v>
      </c>
      <c r="F170" s="33">
        <f>IFERROR(LoanData[[#This Row],[EMI]]/LoanData[[#This Row],[Monthly_Income]]*100," ")</f>
        <v>11.063262058051288</v>
      </c>
      <c r="G170" t="str" cm="1">
        <f t="array" ref="G170">_xlfn.IFS(F170&gt;40, "High DTI Risk",F170&gt;=25, "Moderate DTI",F170&lt;25, "Low DTI")</f>
        <v>Low DTI</v>
      </c>
      <c r="H170" t="str" cm="1">
        <f t="array" ref="H1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70" t="str">
        <f>_xlfn.XLOOKUP(H170,Reference_Tables!$B$2:$B$7,Reference_Tables!$C$2:$C$7,,0,1)</f>
        <v>HR</v>
      </c>
      <c r="J170" t="str">
        <f>INDEX(Reference_Tables!$D$11:$D$36,MATCH(LoanData[[#This Row],[Branch]],Reference_Tables!$A$11:$A$36,0))</f>
        <v>Kavita Joshi</v>
      </c>
      <c r="L170" s="35"/>
    </row>
    <row r="171" spans="2:12" ht="15.6" x14ac:dyDescent="0.3">
      <c r="B171" s="15">
        <f>DATEDIF(Loan_Data!K:K,Loan_Data!L:L,"D")</f>
        <v>12</v>
      </c>
      <c r="C171" s="15">
        <f ca="1">DATEDIF(LoanData[[#This Row],[Approval_Date]],TODAY(),"M")</f>
        <v>32</v>
      </c>
      <c r="D171" s="31">
        <f>EDATE(LoanData[[#This Row],[Approval_Date]],LoanData[[#This Row],[Loan_Term_Months]])</f>
        <v>52575</v>
      </c>
      <c r="E171" t="str">
        <f t="shared" ca="1" si="2"/>
        <v>NO</v>
      </c>
      <c r="F171" s="33">
        <f>IFERROR(LoanData[[#This Row],[EMI]]/LoanData[[#This Row],[Monthly_Income]]*100," ")</f>
        <v>6.1199338437142998</v>
      </c>
      <c r="G171" t="str" cm="1">
        <f t="array" ref="G171">_xlfn.IFS(F171&gt;40, "High DTI Risk",F171&gt;=25, "Moderate DTI",F171&lt;25, "Low DTI")</f>
        <v>Low DTI</v>
      </c>
      <c r="H171" t="str" cm="1">
        <f t="array" ref="H1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71" t="str">
        <f>_xlfn.XLOOKUP(H171,Reference_Tables!$B$2:$B$7,Reference_Tables!$C$2:$C$7,,0,1)</f>
        <v>VHR</v>
      </c>
      <c r="J171" t="str">
        <f>INDEX(Reference_Tables!$D$11:$D$36,MATCH(LoanData[[#This Row],[Branch]],Reference_Tables!$A$11:$A$36,0))</f>
        <v>Hetal Patel</v>
      </c>
      <c r="L171" s="35"/>
    </row>
    <row r="172" spans="2:12" ht="15.6" x14ac:dyDescent="0.3">
      <c r="B172" s="15">
        <f>DATEDIF(Loan_Data!K:K,Loan_Data!L:L,"D")</f>
        <v>21</v>
      </c>
      <c r="C172" s="15">
        <f ca="1">DATEDIF(LoanData[[#This Row],[Approval_Date]],TODAY(),"M")</f>
        <v>63</v>
      </c>
      <c r="D172" s="31">
        <f>EDATE(LoanData[[#This Row],[Approval_Date]],LoanData[[#This Row],[Loan_Term_Months]])</f>
        <v>46149</v>
      </c>
      <c r="E172" t="str">
        <f t="shared" ca="1" si="2"/>
        <v>YES</v>
      </c>
      <c r="F172" s="33">
        <f>IFERROR(LoanData[[#This Row],[EMI]]/LoanData[[#This Row],[Monthly_Income]]*100," ")</f>
        <v>15.682083531277929</v>
      </c>
      <c r="G172" t="str" cm="1">
        <f t="array" ref="G172">_xlfn.IFS(F172&gt;40, "High DTI Risk",F172&gt;=25, "Moderate DTI",F172&lt;25, "Low DTI")</f>
        <v>Low DTI</v>
      </c>
      <c r="H172" t="str" cm="1">
        <f t="array" ref="H1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72" t="str">
        <f>_xlfn.XLOOKUP(H172,Reference_Tables!$B$2:$B$7,Reference_Tables!$C$2:$C$7,,0,1)</f>
        <v>LR</v>
      </c>
      <c r="J172" t="str">
        <f>INDEX(Reference_Tables!$D$11:$D$36,MATCH(LoanData[[#This Row],[Branch]],Reference_Tables!$A$11:$A$36,0))</f>
        <v>Rituparna Bora</v>
      </c>
      <c r="L172" s="35"/>
    </row>
    <row r="173" spans="2:12" ht="15.6" x14ac:dyDescent="0.3">
      <c r="B173" s="15">
        <f>DATEDIF(Loan_Data!K:K,Loan_Data!L:L,"D")</f>
        <v>4</v>
      </c>
      <c r="C173" s="15">
        <f ca="1">DATEDIF(LoanData[[#This Row],[Approval_Date]],TODAY(),"M")</f>
        <v>37</v>
      </c>
      <c r="D173" s="31">
        <f>EDATE(LoanData[[#This Row],[Approval_Date]],LoanData[[#This Row],[Loan_Term_Months]])</f>
        <v>46192</v>
      </c>
      <c r="E173" t="str">
        <f t="shared" ca="1" si="2"/>
        <v>YES</v>
      </c>
      <c r="F173" s="33">
        <f>IFERROR(LoanData[[#This Row],[EMI]]/LoanData[[#This Row],[Monthly_Income]]*100," ")</f>
        <v>13.550870317483479</v>
      </c>
      <c r="G173" t="str" cm="1">
        <f t="array" ref="G173">_xlfn.IFS(F173&gt;40, "High DTI Risk",F173&gt;=25, "Moderate DTI",F173&lt;25, "Low DTI")</f>
        <v>Low DTI</v>
      </c>
      <c r="H173" t="str" cm="1">
        <f t="array" ref="H1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73" t="str">
        <f>_xlfn.XLOOKUP(H173,Reference_Tables!$B$2:$B$7,Reference_Tables!$C$2:$C$7,,0,1)</f>
        <v>VHR</v>
      </c>
      <c r="J173" t="str">
        <f>INDEX(Reference_Tables!$D$11:$D$36,MATCH(LoanData[[#This Row],[Branch]],Reference_Tables!$A$11:$A$36,0))</f>
        <v>Lakshmi Reddy</v>
      </c>
      <c r="L173" s="35"/>
    </row>
    <row r="174" spans="2:12" ht="15.6" x14ac:dyDescent="0.3">
      <c r="B174" s="15">
        <f>DATEDIF(Loan_Data!K:K,Loan_Data!L:L,"D")</f>
        <v>7</v>
      </c>
      <c r="C174" s="15">
        <f ca="1">DATEDIF(LoanData[[#This Row],[Approval_Date]],TODAY(),"M")</f>
        <v>40</v>
      </c>
      <c r="D174" s="31">
        <f>EDATE(LoanData[[#This Row],[Approval_Date]],LoanData[[#This Row],[Loan_Term_Months]])</f>
        <v>45745</v>
      </c>
      <c r="E174" t="str">
        <f t="shared" ca="1" si="2"/>
        <v>YES</v>
      </c>
      <c r="F174" s="33">
        <f>IFERROR(LoanData[[#This Row],[EMI]]/LoanData[[#This Row],[Monthly_Income]]*100," ")</f>
        <v>141.08517585962704</v>
      </c>
      <c r="G174" t="str" cm="1">
        <f t="array" ref="G174">_xlfn.IFS(F174&gt;40, "High DTI Risk",F174&gt;=25, "Moderate DTI",F174&lt;25, "Low DTI")</f>
        <v>High DTI Risk</v>
      </c>
      <c r="H174" t="str" cm="1">
        <f t="array" ref="H1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74" t="str">
        <f>_xlfn.XLOOKUP(H174,Reference_Tables!$B$2:$B$7,Reference_Tables!$C$2:$C$7,,0,1)</f>
        <v>HR</v>
      </c>
      <c r="J174" t="str">
        <f>INDEX(Reference_Tables!$D$11:$D$36,MATCH(LoanData[[#This Row],[Branch]],Reference_Tables!$A$11:$A$36,0))</f>
        <v>Arvind Pillai</v>
      </c>
      <c r="L174" s="35"/>
    </row>
    <row r="175" spans="2:12" ht="15.6" x14ac:dyDescent="0.3">
      <c r="B175" s="15">
        <f>DATEDIF(Loan_Data!K:K,Loan_Data!L:L,"D")</f>
        <v>3</v>
      </c>
      <c r="C175" s="15">
        <f ca="1">DATEDIF(LoanData[[#This Row],[Approval_Date]],TODAY(),"M")</f>
        <v>39</v>
      </c>
      <c r="D175" s="31">
        <f>EDATE(LoanData[[#This Row],[Approval_Date]],LoanData[[#This Row],[Loan_Term_Months]])</f>
        <v>46881</v>
      </c>
      <c r="E175" t="str">
        <f t="shared" ca="1" si="2"/>
        <v>NO</v>
      </c>
      <c r="F175" s="33">
        <f>IFERROR(LoanData[[#This Row],[EMI]]/LoanData[[#This Row],[Monthly_Income]]*100," ")</f>
        <v>24.870639745609541</v>
      </c>
      <c r="G175" t="str" cm="1">
        <f t="array" ref="G175">_xlfn.IFS(F175&gt;40, "High DTI Risk",F175&gt;=25, "Moderate DTI",F175&lt;25, "Low DTI")</f>
        <v>Low DTI</v>
      </c>
      <c r="H175" t="str" cm="1">
        <f t="array" ref="H1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75" t="str">
        <f>_xlfn.XLOOKUP(H175,Reference_Tables!$B$2:$B$7,Reference_Tables!$C$2:$C$7,,0,1)</f>
        <v>LR</v>
      </c>
      <c r="J175" t="str">
        <f>INDEX(Reference_Tables!$D$11:$D$36,MATCH(LoanData[[#This Row],[Branch]],Reference_Tables!$A$11:$A$36,0))</f>
        <v>Puja Chatterjee</v>
      </c>
      <c r="L175" s="35"/>
    </row>
    <row r="176" spans="2:12" ht="15.6" x14ac:dyDescent="0.3">
      <c r="B176" s="15">
        <f>DATEDIF(Loan_Data!K:K,Loan_Data!L:L,"D")</f>
        <v>19</v>
      </c>
      <c r="C176" s="15">
        <f ca="1">DATEDIF(LoanData[[#This Row],[Approval_Date]],TODAY(),"M")</f>
        <v>33</v>
      </c>
      <c r="D176" s="31">
        <f>EDATE(LoanData[[#This Row],[Approval_Date]],LoanData[[#This Row],[Loan_Term_Months]])</f>
        <v>47065</v>
      </c>
      <c r="E176" t="str">
        <f t="shared" ca="1" si="2"/>
        <v>NO</v>
      </c>
      <c r="F176" s="33">
        <f>IFERROR(LoanData[[#This Row],[EMI]]/LoanData[[#This Row],[Monthly_Income]]*100," ")</f>
        <v>51.053051911009696</v>
      </c>
      <c r="G176" t="str" cm="1">
        <f t="array" ref="G176">_xlfn.IFS(F176&gt;40, "High DTI Risk",F176&gt;=25, "Moderate DTI",F176&lt;25, "Low DTI")</f>
        <v>High DTI Risk</v>
      </c>
      <c r="H176" t="str" cm="1">
        <f t="array" ref="H1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76" t="str">
        <f>_xlfn.XLOOKUP(H176,Reference_Tables!$B$2:$B$7,Reference_Tables!$C$2:$C$7,,0,1)</f>
        <v>MR</v>
      </c>
      <c r="J176" t="str">
        <f>INDEX(Reference_Tables!$D$11:$D$36,MATCH(LoanData[[#This Row],[Branch]],Reference_Tables!$A$11:$A$36,0))</f>
        <v>Anil Mishra</v>
      </c>
      <c r="L176" s="35"/>
    </row>
    <row r="177" spans="2:12" ht="15.6" x14ac:dyDescent="0.3">
      <c r="B177" s="15">
        <f>DATEDIF(Loan_Data!K:K,Loan_Data!L:L,"D")</f>
        <v>9</v>
      </c>
      <c r="C177" s="15">
        <f ca="1">DATEDIF(LoanData[[#This Row],[Approval_Date]],TODAY(),"M")</f>
        <v>35</v>
      </c>
      <c r="D177" s="31">
        <f>EDATE(LoanData[[#This Row],[Approval_Date]],LoanData[[#This Row],[Loan_Term_Months]])</f>
        <v>46630</v>
      </c>
      <c r="E177" t="str">
        <f t="shared" ca="1" si="2"/>
        <v>NO</v>
      </c>
      <c r="F177" s="33">
        <f>IFERROR(LoanData[[#This Row],[EMI]]/LoanData[[#This Row],[Monthly_Income]]*100," ")</f>
        <v>7.2807084667545681</v>
      </c>
      <c r="G177" t="str" cm="1">
        <f t="array" ref="G177">_xlfn.IFS(F177&gt;40, "High DTI Risk",F177&gt;=25, "Moderate DTI",F177&lt;25, "Low DTI")</f>
        <v>Low DTI</v>
      </c>
      <c r="H177" t="str" cm="1">
        <f t="array" ref="H1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77" t="str">
        <f>_xlfn.XLOOKUP(H177,Reference_Tables!$B$2:$B$7,Reference_Tables!$C$2:$C$7,,0,1)</f>
        <v>VHR</v>
      </c>
      <c r="J177" t="str">
        <f>INDEX(Reference_Tables!$D$11:$D$36,MATCH(LoanData[[#This Row],[Branch]],Reference_Tables!$A$11:$A$36,0))</f>
        <v>Ravi Verma</v>
      </c>
      <c r="L177" s="35"/>
    </row>
    <row r="178" spans="2:12" ht="15.6" x14ac:dyDescent="0.3">
      <c r="B178" s="15">
        <f>DATEDIF(Loan_Data!K:K,Loan_Data!L:L,"D")</f>
        <v>27</v>
      </c>
      <c r="C178" s="15">
        <f ca="1">DATEDIF(LoanData[[#This Row],[Approval_Date]],TODAY(),"M")</f>
        <v>39</v>
      </c>
      <c r="D178" s="31">
        <f>EDATE(LoanData[[#This Row],[Approval_Date]],LoanData[[#This Row],[Loan_Term_Months]])</f>
        <v>46514</v>
      </c>
      <c r="E178" t="str">
        <f t="shared" ca="1" si="2"/>
        <v>NO</v>
      </c>
      <c r="F178" s="33">
        <f>IFERROR(LoanData[[#This Row],[EMI]]/LoanData[[#This Row],[Monthly_Income]]*100," ")</f>
        <v>5.2285158135195138</v>
      </c>
      <c r="G178" t="str" cm="1">
        <f t="array" ref="G178">_xlfn.IFS(F178&gt;40, "High DTI Risk",F178&gt;=25, "Moderate DTI",F178&lt;25, "Low DTI")</f>
        <v>Low DTI</v>
      </c>
      <c r="H178" t="str" cm="1">
        <f t="array" ref="H1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78" t="str">
        <f>_xlfn.XLOOKUP(H178,Reference_Tables!$B$2:$B$7,Reference_Tables!$C$2:$C$7,,0,1)</f>
        <v>VHR</v>
      </c>
      <c r="J178" t="str">
        <f>INDEX(Reference_Tables!$D$11:$D$36,MATCH(LoanData[[#This Row],[Branch]],Reference_Tables!$A$11:$A$36,0))</f>
        <v>Deepak Nair</v>
      </c>
      <c r="L178" s="35"/>
    </row>
    <row r="179" spans="2:12" ht="15.6" x14ac:dyDescent="0.3">
      <c r="B179" s="15">
        <f>DATEDIF(Loan_Data!K:K,Loan_Data!L:L,"D")</f>
        <v>5</v>
      </c>
      <c r="C179" s="15">
        <f ca="1">DATEDIF(LoanData[[#This Row],[Approval_Date]],TODAY(),"M")</f>
        <v>36</v>
      </c>
      <c r="D179" s="31">
        <f>EDATE(LoanData[[#This Row],[Approval_Date]],LoanData[[#This Row],[Loan_Term_Months]])</f>
        <v>46604</v>
      </c>
      <c r="E179" t="str">
        <f t="shared" ca="1" si="2"/>
        <v>NO</v>
      </c>
      <c r="F179" s="33">
        <f>IFERROR(LoanData[[#This Row],[EMI]]/LoanData[[#This Row],[Monthly_Income]]*100," ")</f>
        <v>12.08006523123076</v>
      </c>
      <c r="G179" t="str" cm="1">
        <f t="array" ref="G179">_xlfn.IFS(F179&gt;40, "High DTI Risk",F179&gt;=25, "Moderate DTI",F179&lt;25, "Low DTI")</f>
        <v>Low DTI</v>
      </c>
      <c r="H179" t="str" cm="1">
        <f t="array" ref="H1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79" t="str">
        <f>_xlfn.XLOOKUP(H179,Reference_Tables!$B$2:$B$7,Reference_Tables!$C$2:$C$7,,0,1)</f>
        <v>VHR</v>
      </c>
      <c r="J179" t="str">
        <f>INDEX(Reference_Tables!$D$11:$D$36,MATCH(LoanData[[#This Row],[Branch]],Reference_Tables!$A$11:$A$36,0))</f>
        <v>Nilesh Shah</v>
      </c>
      <c r="L179" s="35"/>
    </row>
    <row r="180" spans="2:12" ht="15.6" x14ac:dyDescent="0.3">
      <c r="B180" s="15">
        <f>DATEDIF(Loan_Data!K:K,Loan_Data!L:L,"D")</f>
        <v>7</v>
      </c>
      <c r="C180" s="15">
        <f ca="1">DATEDIF(LoanData[[#This Row],[Approval_Date]],TODAY(),"M")</f>
        <v>57</v>
      </c>
      <c r="D180" s="31">
        <f>EDATE(LoanData[[#This Row],[Approval_Date]],LoanData[[#This Row],[Loan_Term_Months]])</f>
        <v>45592</v>
      </c>
      <c r="E180" t="str">
        <f t="shared" ca="1" si="2"/>
        <v>YES</v>
      </c>
      <c r="F180" s="33">
        <f>IFERROR(LoanData[[#This Row],[EMI]]/LoanData[[#This Row],[Monthly_Income]]*100," ")</f>
        <v>62.399859149418987</v>
      </c>
      <c r="G180" t="str" cm="1">
        <f t="array" ref="G180">_xlfn.IFS(F180&gt;40, "High DTI Risk",F180&gt;=25, "Moderate DTI",F180&lt;25, "Low DTI")</f>
        <v>High DTI Risk</v>
      </c>
      <c r="H180" t="str" cm="1">
        <f t="array" ref="H1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80" t="str">
        <f>_xlfn.XLOOKUP(H180,Reference_Tables!$B$2:$B$7,Reference_Tables!$C$2:$C$7,,0,1)</f>
        <v>MR</v>
      </c>
      <c r="J180" t="str">
        <f>INDEX(Reference_Tables!$D$11:$D$36,MATCH(LoanData[[#This Row],[Branch]],Reference_Tables!$A$11:$A$36,0))</f>
        <v>Tapan Panda</v>
      </c>
      <c r="L180" s="35"/>
    </row>
    <row r="181" spans="2:12" ht="15.6" x14ac:dyDescent="0.3">
      <c r="B181" s="15">
        <f>DATEDIF(Loan_Data!K:K,Loan_Data!L:L,"D")</f>
        <v>30</v>
      </c>
      <c r="C181" s="15">
        <f ca="1">DATEDIF(LoanData[[#This Row],[Approval_Date]],TODAY(),"M")</f>
        <v>31</v>
      </c>
      <c r="D181" s="31">
        <f>EDATE(LoanData[[#This Row],[Approval_Date]],LoanData[[#This Row],[Loan_Term_Months]])</f>
        <v>46403</v>
      </c>
      <c r="E181" t="str">
        <f t="shared" ca="1" si="2"/>
        <v>NO</v>
      </c>
      <c r="F181" s="33">
        <f>IFERROR(LoanData[[#This Row],[EMI]]/LoanData[[#This Row],[Monthly_Income]]*100," ")</f>
        <v>44.035920556826227</v>
      </c>
      <c r="G181" t="str" cm="1">
        <f t="array" ref="G181">_xlfn.IFS(F181&gt;40, "High DTI Risk",F181&gt;=25, "Moderate DTI",F181&lt;25, "Low DTI")</f>
        <v>High DTI Risk</v>
      </c>
      <c r="H181" t="str" cm="1">
        <f t="array" ref="H1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81" t="str">
        <f>_xlfn.XLOOKUP(H181,Reference_Tables!$B$2:$B$7,Reference_Tables!$C$2:$C$7,,0,1)</f>
        <v>VHR</v>
      </c>
      <c r="J181" t="str">
        <f>INDEX(Reference_Tables!$D$11:$D$36,MATCH(LoanData[[#This Row],[Branch]],Reference_Tables!$A$11:$A$36,0))</f>
        <v>Puja Chatterjee</v>
      </c>
      <c r="L181" s="35"/>
    </row>
    <row r="182" spans="2:12" ht="15.6" x14ac:dyDescent="0.3">
      <c r="B182" s="15">
        <f>DATEDIF(Loan_Data!K:K,Loan_Data!L:L,"D")</f>
        <v>26</v>
      </c>
      <c r="C182" s="15">
        <f ca="1">DATEDIF(LoanData[[#This Row],[Approval_Date]],TODAY(),"M")</f>
        <v>46</v>
      </c>
      <c r="D182" s="31">
        <f>EDATE(LoanData[[#This Row],[Approval_Date]],LoanData[[#This Row],[Loan_Term_Months]])</f>
        <v>45558</v>
      </c>
      <c r="E182" t="str">
        <f t="shared" ca="1" si="2"/>
        <v>YES</v>
      </c>
      <c r="F182" s="33">
        <f>IFERROR(LoanData[[#This Row],[EMI]]/LoanData[[#This Row],[Monthly_Income]]*100," ")</f>
        <v>31.064561942982227</v>
      </c>
      <c r="G182" t="str" cm="1">
        <f t="array" ref="G182">_xlfn.IFS(F182&gt;40, "High DTI Risk",F182&gt;=25, "Moderate DTI",F182&lt;25, "Low DTI")</f>
        <v>Moderate DTI</v>
      </c>
      <c r="H182" t="str" cm="1">
        <f t="array" ref="H1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82" t="str">
        <f>_xlfn.XLOOKUP(H182,Reference_Tables!$B$2:$B$7,Reference_Tables!$C$2:$C$7,,0,1)</f>
        <v>VHR</v>
      </c>
      <c r="J182" t="str">
        <f>INDEX(Reference_Tables!$D$11:$D$36,MATCH(LoanData[[#This Row],[Branch]],Reference_Tables!$A$11:$A$36,0))</f>
        <v>Vikram Malhotra</v>
      </c>
      <c r="L182" s="35"/>
    </row>
    <row r="183" spans="2:12" ht="15.6" x14ac:dyDescent="0.3">
      <c r="B183" s="15">
        <f>DATEDIF(Loan_Data!K:K,Loan_Data!L:L,"D")</f>
        <v>23</v>
      </c>
      <c r="C183" s="15">
        <f ca="1">DATEDIF(LoanData[[#This Row],[Approval_Date]],TODAY(),"M")</f>
        <v>46</v>
      </c>
      <c r="D183" s="31">
        <f>EDATE(LoanData[[#This Row],[Approval_Date]],LoanData[[#This Row],[Loan_Term_Months]])</f>
        <v>46653</v>
      </c>
      <c r="E183" t="str">
        <f t="shared" ca="1" si="2"/>
        <v>NO</v>
      </c>
      <c r="F183" s="33">
        <f>IFERROR(LoanData[[#This Row],[EMI]]/LoanData[[#This Row],[Monthly_Income]]*100," ")</f>
        <v>12.283444561953734</v>
      </c>
      <c r="G183" t="str" cm="1">
        <f t="array" ref="G183">_xlfn.IFS(F183&gt;40, "High DTI Risk",F183&gt;=25, "Moderate DTI",F183&lt;25, "Low DTI")</f>
        <v>Low DTI</v>
      </c>
      <c r="H183" t="str" cm="1">
        <f t="array" ref="H1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183" t="str">
        <f>_xlfn.XLOOKUP(H183,Reference_Tables!$B$2:$B$7,Reference_Tables!$C$2:$C$7,,0,1)</f>
        <v>UC</v>
      </c>
      <c r="J183" t="str">
        <f>INDEX(Reference_Tables!$D$11:$D$36,MATCH(LoanData[[#This Row],[Branch]],Reference_Tables!$A$11:$A$36,0))</f>
        <v>Priya Yadav</v>
      </c>
      <c r="L183" s="35"/>
    </row>
    <row r="184" spans="2:12" ht="15.6" x14ac:dyDescent="0.3">
      <c r="B184" s="15">
        <f>DATEDIF(Loan_Data!K:K,Loan_Data!L:L,"D")</f>
        <v>17</v>
      </c>
      <c r="C184" s="15">
        <f ca="1">DATEDIF(LoanData[[#This Row],[Approval_Date]],TODAY(),"M")</f>
        <v>47</v>
      </c>
      <c r="D184" s="31">
        <f>EDATE(LoanData[[#This Row],[Approval_Date]],LoanData[[#This Row],[Loan_Term_Months]])</f>
        <v>50295</v>
      </c>
      <c r="E184" t="str">
        <f t="shared" ca="1" si="2"/>
        <v>NO</v>
      </c>
      <c r="F184" s="33">
        <f>IFERROR(LoanData[[#This Row],[EMI]]/LoanData[[#This Row],[Monthly_Income]]*100," ")</f>
        <v>19.379916252054301</v>
      </c>
      <c r="G184" t="str" cm="1">
        <f t="array" ref="G184">_xlfn.IFS(F184&gt;40, "High DTI Risk",F184&gt;=25, "Moderate DTI",F184&lt;25, "Low DTI")</f>
        <v>Low DTI</v>
      </c>
      <c r="H184" t="str" cm="1">
        <f t="array" ref="H1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84" t="str">
        <f>_xlfn.XLOOKUP(H184,Reference_Tables!$B$2:$B$7,Reference_Tables!$C$2:$C$7,,0,1)</f>
        <v>LR</v>
      </c>
      <c r="J184" t="str">
        <f>INDEX(Reference_Tables!$D$11:$D$36,MATCH(LoanData[[#This Row],[Branch]],Reference_Tables!$A$11:$A$36,0))</f>
        <v>Suman Tiwari</v>
      </c>
      <c r="L184" s="35"/>
    </row>
    <row r="185" spans="2:12" ht="15.6" x14ac:dyDescent="0.3">
      <c r="B185" s="15">
        <f>DATEDIF(Loan_Data!K:K,Loan_Data!L:L,"D")</f>
        <v>28</v>
      </c>
      <c r="C185" s="15">
        <f ca="1">DATEDIF(LoanData[[#This Row],[Approval_Date]],TODAY(),"M")</f>
        <v>31</v>
      </c>
      <c r="D185" s="31">
        <f>EDATE(LoanData[[#This Row],[Approval_Date]],LoanData[[#This Row],[Loan_Term_Months]])</f>
        <v>47115</v>
      </c>
      <c r="E185" t="str">
        <f t="shared" ca="1" si="2"/>
        <v>NO</v>
      </c>
      <c r="F185" s="33">
        <f>IFERROR(LoanData[[#This Row],[EMI]]/LoanData[[#This Row],[Monthly_Income]]*100," ")</f>
        <v>23.730421655169522</v>
      </c>
      <c r="G185" t="str" cm="1">
        <f t="array" ref="G185">_xlfn.IFS(F185&gt;40, "High DTI Risk",F185&gt;=25, "Moderate DTI",F185&lt;25, "Low DTI")</f>
        <v>Low DTI</v>
      </c>
      <c r="H185" t="str" cm="1">
        <f t="array" ref="H1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85" t="str">
        <f>_xlfn.XLOOKUP(H185,Reference_Tables!$B$2:$B$7,Reference_Tables!$C$2:$C$7,,0,1)</f>
        <v>MR</v>
      </c>
      <c r="J185" t="str">
        <f>INDEX(Reference_Tables!$D$11:$D$36,MATCH(LoanData[[#This Row],[Branch]],Reference_Tables!$A$11:$A$36,0))</f>
        <v>Vikram Malhotra</v>
      </c>
      <c r="L185" s="35"/>
    </row>
    <row r="186" spans="2:12" ht="15.6" x14ac:dyDescent="0.3">
      <c r="B186" s="15">
        <f>DATEDIF(Loan_Data!K:K,Loan_Data!L:L,"D")</f>
        <v>9</v>
      </c>
      <c r="C186" s="15">
        <f ca="1">DATEDIF(LoanData[[#This Row],[Approval_Date]],TODAY(),"M")</f>
        <v>51</v>
      </c>
      <c r="D186" s="31">
        <f>EDATE(LoanData[[#This Row],[Approval_Date]],LoanData[[#This Row],[Loan_Term_Months]])</f>
        <v>46507</v>
      </c>
      <c r="E186" t="str">
        <f t="shared" ca="1" si="2"/>
        <v>NO</v>
      </c>
      <c r="F186" s="33">
        <f>IFERROR(LoanData[[#This Row],[EMI]]/LoanData[[#This Row],[Monthly_Income]]*100," ")</f>
        <v>10.407302723680246</v>
      </c>
      <c r="G186" t="str" cm="1">
        <f t="array" ref="G186">_xlfn.IFS(F186&gt;40, "High DTI Risk",F186&gt;=25, "Moderate DTI",F186&lt;25, "Low DTI")</f>
        <v>Low DTI</v>
      </c>
      <c r="H186" t="str" cm="1">
        <f t="array" ref="H1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86" t="str">
        <f>_xlfn.XLOOKUP(H186,Reference_Tables!$B$2:$B$7,Reference_Tables!$C$2:$C$7,,0,1)</f>
        <v>LR</v>
      </c>
      <c r="J186" t="str">
        <f>INDEX(Reference_Tables!$D$11:$D$36,MATCH(LoanData[[#This Row],[Branch]],Reference_Tables!$A$11:$A$36,0))</f>
        <v>Nilesh Shah</v>
      </c>
      <c r="L186" s="35"/>
    </row>
    <row r="187" spans="2:12" ht="15.6" x14ac:dyDescent="0.3">
      <c r="B187" s="15">
        <f>DATEDIF(Loan_Data!K:K,Loan_Data!L:L,"D")</f>
        <v>4</v>
      </c>
      <c r="C187" s="15">
        <f ca="1">DATEDIF(LoanData[[#This Row],[Approval_Date]],TODAY(),"M")</f>
        <v>63</v>
      </c>
      <c r="D187" s="31">
        <f>EDATE(LoanData[[#This Row],[Approval_Date]],LoanData[[#This Row],[Loan_Term_Months]])</f>
        <v>51638</v>
      </c>
      <c r="E187" t="str">
        <f t="shared" ca="1" si="2"/>
        <v>NO</v>
      </c>
      <c r="F187" s="33">
        <f>IFERROR(LoanData[[#This Row],[EMI]]/LoanData[[#This Row],[Monthly_Income]]*100," ")</f>
        <v>5.4497300925149128</v>
      </c>
      <c r="G187" t="str" cm="1">
        <f t="array" ref="G187">_xlfn.IFS(F187&gt;40, "High DTI Risk",F187&gt;=25, "Moderate DTI",F187&lt;25, "Low DTI")</f>
        <v>Low DTI</v>
      </c>
      <c r="H187" t="str" cm="1">
        <f t="array" ref="H1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87" t="str">
        <f>_xlfn.XLOOKUP(H187,Reference_Tables!$B$2:$B$7,Reference_Tables!$C$2:$C$7,,0,1)</f>
        <v>VHR</v>
      </c>
      <c r="J187" t="str">
        <f>INDEX(Reference_Tables!$D$11:$D$36,MATCH(LoanData[[#This Row],[Branch]],Reference_Tables!$A$11:$A$36,0))</f>
        <v>Sandeep Saxena</v>
      </c>
      <c r="L187" s="35"/>
    </row>
    <row r="188" spans="2:12" ht="15.6" x14ac:dyDescent="0.3">
      <c r="B188" s="15">
        <f>DATEDIF(Loan_Data!K:K,Loan_Data!L:L,"D")</f>
        <v>20</v>
      </c>
      <c r="C188" s="15">
        <f ca="1">DATEDIF(LoanData[[#This Row],[Approval_Date]],TODAY(),"M")</f>
        <v>60</v>
      </c>
      <c r="D188" s="31">
        <f>EDATE(LoanData[[#This Row],[Approval_Date]],LoanData[[#This Row],[Loan_Term_Months]])</f>
        <v>48068</v>
      </c>
      <c r="E188" t="str">
        <f t="shared" ca="1" si="2"/>
        <v>NO</v>
      </c>
      <c r="F188" s="33">
        <f>IFERROR(LoanData[[#This Row],[EMI]]/LoanData[[#This Row],[Monthly_Income]]*100," ")</f>
        <v>11.271536286522149</v>
      </c>
      <c r="G188" t="str" cm="1">
        <f t="array" ref="G188">_xlfn.IFS(F188&gt;40, "High DTI Risk",F188&gt;=25, "Moderate DTI",F188&lt;25, "Low DTI")</f>
        <v>Low DTI</v>
      </c>
      <c r="H188" t="str" cm="1">
        <f t="array" ref="H1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88" t="str">
        <f>_xlfn.XLOOKUP(H188,Reference_Tables!$B$2:$B$7,Reference_Tables!$C$2:$C$7,,0,1)</f>
        <v>MR</v>
      </c>
      <c r="J188" t="str">
        <f>INDEX(Reference_Tables!$D$11:$D$36,MATCH(LoanData[[#This Row],[Branch]],Reference_Tables!$A$11:$A$36,0))</f>
        <v>Rituparna Bora</v>
      </c>
      <c r="L188" s="35"/>
    </row>
    <row r="189" spans="2:12" ht="15.6" x14ac:dyDescent="0.3">
      <c r="B189" s="15">
        <f>DATEDIF(Loan_Data!K:K,Loan_Data!L:L,"D")</f>
        <v>27</v>
      </c>
      <c r="C189" s="15">
        <f ca="1">DATEDIF(LoanData[[#This Row],[Approval_Date]],TODAY(),"M")</f>
        <v>64</v>
      </c>
      <c r="D189" s="31">
        <f>EDATE(LoanData[[#This Row],[Approval_Date]],LoanData[[#This Row],[Loan_Term_Months]])</f>
        <v>45738</v>
      </c>
      <c r="E189" t="str">
        <f t="shared" ca="1" si="2"/>
        <v>YES</v>
      </c>
      <c r="F189" s="33">
        <f>IFERROR(LoanData[[#This Row],[EMI]]/LoanData[[#This Row],[Monthly_Income]]*100," ")</f>
        <v>9.9252784493625104</v>
      </c>
      <c r="G189" t="str" cm="1">
        <f t="array" ref="G189">_xlfn.IFS(F189&gt;40, "High DTI Risk",F189&gt;=25, "Moderate DTI",F189&lt;25, "Low DTI")</f>
        <v>Low DTI</v>
      </c>
      <c r="H189" t="str" cm="1">
        <f t="array" ref="H1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89" t="str">
        <f>_xlfn.XLOOKUP(H189,Reference_Tables!$B$2:$B$7,Reference_Tables!$C$2:$C$7,,0,1)</f>
        <v>LR</v>
      </c>
      <c r="J189" t="str">
        <f>INDEX(Reference_Tables!$D$11:$D$36,MATCH(LoanData[[#This Row],[Branch]],Reference_Tables!$A$11:$A$36,0))</f>
        <v>Puja Chatterjee</v>
      </c>
      <c r="L189" s="35"/>
    </row>
    <row r="190" spans="2:12" ht="15.6" x14ac:dyDescent="0.3">
      <c r="B190" s="15">
        <f>DATEDIF(Loan_Data!K:K,Loan_Data!L:L,"D")</f>
        <v>18</v>
      </c>
      <c r="C190" s="15">
        <f ca="1">DATEDIF(LoanData[[#This Row],[Approval_Date]],TODAY(),"M")</f>
        <v>51</v>
      </c>
      <c r="D190" s="31">
        <f>EDATE(LoanData[[#This Row],[Approval_Date]],LoanData[[#This Row],[Loan_Term_Months]])</f>
        <v>45038</v>
      </c>
      <c r="E190" t="str">
        <f t="shared" ca="1" si="2"/>
        <v>YES</v>
      </c>
      <c r="F190" s="33">
        <f>IFERROR(LoanData[[#This Row],[EMI]]/LoanData[[#This Row],[Monthly_Income]]*100," ")</f>
        <v>75.865180921052627</v>
      </c>
      <c r="G190" t="str" cm="1">
        <f t="array" ref="G190">_xlfn.IFS(F190&gt;40, "High DTI Risk",F190&gt;=25, "Moderate DTI",F190&lt;25, "Low DTI")</f>
        <v>High DTI Risk</v>
      </c>
      <c r="H190" t="str" cm="1">
        <f t="array" ref="H1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90" t="str">
        <f>_xlfn.XLOOKUP(H190,Reference_Tables!$B$2:$B$7,Reference_Tables!$C$2:$C$7,,0,1)</f>
        <v>MR</v>
      </c>
      <c r="J190" t="str">
        <f>INDEX(Reference_Tables!$D$11:$D$36,MATCH(LoanData[[#This Row],[Branch]],Reference_Tables!$A$11:$A$36,0))</f>
        <v>Deepak Nair</v>
      </c>
      <c r="L190" s="35"/>
    </row>
    <row r="191" spans="2:12" ht="15.6" x14ac:dyDescent="0.3">
      <c r="B191" s="15">
        <f>DATEDIF(Loan_Data!K:K,Loan_Data!L:L,"D")</f>
        <v>22</v>
      </c>
      <c r="C191" s="15">
        <f ca="1">DATEDIF(LoanData[[#This Row],[Approval_Date]],TODAY(),"M")</f>
        <v>60</v>
      </c>
      <c r="D191" s="31">
        <f>EDATE(LoanData[[#This Row],[Approval_Date]],LoanData[[#This Row],[Loan_Term_Months]])</f>
        <v>45133</v>
      </c>
      <c r="E191" t="str">
        <f t="shared" ca="1" si="2"/>
        <v>YES</v>
      </c>
      <c r="F191" s="33">
        <f>IFERROR(LoanData[[#This Row],[EMI]]/LoanData[[#This Row],[Monthly_Income]]*100," ")</f>
        <v>21.943836880821191</v>
      </c>
      <c r="G191" t="str" cm="1">
        <f t="array" ref="G191">_xlfn.IFS(F191&gt;40, "High DTI Risk",F191&gt;=25, "Moderate DTI",F191&lt;25, "Low DTI")</f>
        <v>Low DTI</v>
      </c>
      <c r="H191" t="str" cm="1">
        <f t="array" ref="H1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91" t="str">
        <f>_xlfn.XLOOKUP(H191,Reference_Tables!$B$2:$B$7,Reference_Tables!$C$2:$C$7,,0,1)</f>
        <v>VHR</v>
      </c>
      <c r="J191" t="str">
        <f>INDEX(Reference_Tables!$D$11:$D$36,MATCH(LoanData[[#This Row],[Branch]],Reference_Tables!$A$11:$A$36,0))</f>
        <v>Priyanka Gupta</v>
      </c>
      <c r="L191" s="35"/>
    </row>
    <row r="192" spans="2:12" ht="15.6" x14ac:dyDescent="0.3">
      <c r="B192" s="15">
        <f>DATEDIF(Loan_Data!K:K,Loan_Data!L:L,"D")</f>
        <v>3</v>
      </c>
      <c r="C192" s="15">
        <f ca="1">DATEDIF(LoanData[[#This Row],[Approval_Date]],TODAY(),"M")</f>
        <v>59</v>
      </c>
      <c r="D192" s="31">
        <f>EDATE(LoanData[[#This Row],[Approval_Date]],LoanData[[#This Row],[Loan_Term_Months]])</f>
        <v>44810</v>
      </c>
      <c r="E192" t="str">
        <f t="shared" ca="1" si="2"/>
        <v>YES</v>
      </c>
      <c r="F192" s="33">
        <f>IFERROR(LoanData[[#This Row],[EMI]]/LoanData[[#This Row],[Monthly_Income]]*100," ")</f>
        <v>54.888639716730601</v>
      </c>
      <c r="G192" t="str" cm="1">
        <f t="array" ref="G192">_xlfn.IFS(F192&gt;40, "High DTI Risk",F192&gt;=25, "Moderate DTI",F192&lt;25, "Low DTI")</f>
        <v>High DTI Risk</v>
      </c>
      <c r="H192" t="str" cm="1">
        <f t="array" ref="H1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92" t="str">
        <f>_xlfn.XLOOKUP(H192,Reference_Tables!$B$2:$B$7,Reference_Tables!$C$2:$C$7,,0,1)</f>
        <v>VHR</v>
      </c>
      <c r="J192" t="str">
        <f>INDEX(Reference_Tables!$D$11:$D$36,MATCH(LoanData[[#This Row],[Branch]],Reference_Tables!$A$11:$A$36,0))</f>
        <v>Arvind Pillai</v>
      </c>
      <c r="L192" s="35"/>
    </row>
    <row r="193" spans="2:12" ht="15.6" x14ac:dyDescent="0.3">
      <c r="B193" s="15">
        <f>DATEDIF(Loan_Data!K:K,Loan_Data!L:L,"D")</f>
        <v>16</v>
      </c>
      <c r="C193" s="15">
        <f ca="1">DATEDIF(LoanData[[#This Row],[Approval_Date]],TODAY(),"M")</f>
        <v>46</v>
      </c>
      <c r="D193" s="31">
        <f>EDATE(LoanData[[#This Row],[Approval_Date]],LoanData[[#This Row],[Loan_Term_Months]])</f>
        <v>48486</v>
      </c>
      <c r="E193" t="str">
        <f t="shared" ca="1" si="2"/>
        <v>NO</v>
      </c>
      <c r="F193" s="33">
        <f>IFERROR(LoanData[[#This Row],[EMI]]/LoanData[[#This Row],[Monthly_Income]]*100," ")</f>
        <v>5.3323473126912928</v>
      </c>
      <c r="G193" t="str" cm="1">
        <f t="array" ref="G193">_xlfn.IFS(F193&gt;40, "High DTI Risk",F193&gt;=25, "Moderate DTI",F193&lt;25, "Low DTI")</f>
        <v>Low DTI</v>
      </c>
      <c r="H193" t="str" cm="1">
        <f t="array" ref="H1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93" t="str">
        <f>_xlfn.XLOOKUP(H193,Reference_Tables!$B$2:$B$7,Reference_Tables!$C$2:$C$7,,0,1)</f>
        <v>LR</v>
      </c>
      <c r="J193" t="str">
        <f>INDEX(Reference_Tables!$D$11:$D$36,MATCH(LoanData[[#This Row],[Branch]],Reference_Tables!$A$11:$A$36,0))</f>
        <v>Hetal Patel</v>
      </c>
      <c r="L193" s="35"/>
    </row>
    <row r="194" spans="2:12" ht="15.6" x14ac:dyDescent="0.3">
      <c r="B194" s="15">
        <f>DATEDIF(Loan_Data!K:K,Loan_Data!L:L,"D")</f>
        <v>25</v>
      </c>
      <c r="C194" s="15">
        <f ca="1">DATEDIF(LoanData[[#This Row],[Approval_Date]],TODAY(),"M")</f>
        <v>33</v>
      </c>
      <c r="D194" s="31">
        <f>EDATE(LoanData[[#This Row],[Approval_Date]],LoanData[[#This Row],[Loan_Term_Months]])</f>
        <v>47058</v>
      </c>
      <c r="E194" t="str">
        <f t="shared" ref="E194:E257" ca="1" si="3">IF(D194&lt;TODAY(),"YES","NO")</f>
        <v>NO</v>
      </c>
      <c r="F194" s="33">
        <f>IFERROR(LoanData[[#This Row],[EMI]]/LoanData[[#This Row],[Monthly_Income]]*100," ")</f>
        <v>8.5361446046213043</v>
      </c>
      <c r="G194" t="str" cm="1">
        <f t="array" ref="G194">_xlfn.IFS(F194&gt;40, "High DTI Risk",F194&gt;=25, "Moderate DTI",F194&lt;25, "Low DTI")</f>
        <v>Low DTI</v>
      </c>
      <c r="H194" t="str" cm="1">
        <f t="array" ref="H1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94" t="str">
        <f>_xlfn.XLOOKUP(H194,Reference_Tables!$B$2:$B$7,Reference_Tables!$C$2:$C$7,,0,1)</f>
        <v>VHR</v>
      </c>
      <c r="J194" t="str">
        <f>INDEX(Reference_Tables!$D$11:$D$36,MATCH(LoanData[[#This Row],[Branch]],Reference_Tables!$A$11:$A$36,0))</f>
        <v>Sachin Deshpande</v>
      </c>
      <c r="L194" s="35"/>
    </row>
    <row r="195" spans="2:12" ht="15.6" x14ac:dyDescent="0.3">
      <c r="B195" s="15">
        <f>DATEDIF(Loan_Data!K:K,Loan_Data!L:L,"D")</f>
        <v>8</v>
      </c>
      <c r="C195" s="15">
        <f ca="1">DATEDIF(LoanData[[#This Row],[Approval_Date]],TODAY(),"M")</f>
        <v>40</v>
      </c>
      <c r="D195" s="31">
        <f>EDATE(LoanData[[#This Row],[Approval_Date]],LoanData[[#This Row],[Loan_Term_Months]])</f>
        <v>46832</v>
      </c>
      <c r="E195" t="str">
        <f t="shared" ca="1" si="3"/>
        <v>NO</v>
      </c>
      <c r="F195" s="33">
        <f>IFERROR(LoanData[[#This Row],[EMI]]/LoanData[[#This Row],[Monthly_Income]]*100," ")</f>
        <v>6.0405831526756355</v>
      </c>
      <c r="G195" t="str" cm="1">
        <f t="array" ref="G195">_xlfn.IFS(F195&gt;40, "High DTI Risk",F195&gt;=25, "Moderate DTI",F195&lt;25, "Low DTI")</f>
        <v>Low DTI</v>
      </c>
      <c r="H195" t="str" cm="1">
        <f t="array" ref="H1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95" t="str">
        <f>_xlfn.XLOOKUP(H195,Reference_Tables!$B$2:$B$7,Reference_Tables!$C$2:$C$7,,0,1)</f>
        <v>VHR</v>
      </c>
      <c r="J195" t="str">
        <f>INDEX(Reference_Tables!$D$11:$D$36,MATCH(LoanData[[#This Row],[Branch]],Reference_Tables!$A$11:$A$36,0))</f>
        <v>Lakshmi Reddy</v>
      </c>
      <c r="L195" s="35"/>
    </row>
    <row r="196" spans="2:12" ht="15.6" x14ac:dyDescent="0.3">
      <c r="B196" s="15">
        <f>DATEDIF(Loan_Data!K:K,Loan_Data!L:L,"D")</f>
        <v>19</v>
      </c>
      <c r="C196" s="15">
        <f ca="1">DATEDIF(LoanData[[#This Row],[Approval_Date]],TODAY(),"M")</f>
        <v>57</v>
      </c>
      <c r="D196" s="31">
        <f>EDATE(LoanData[[#This Row],[Approval_Date]],LoanData[[#This Row],[Loan_Term_Months]])</f>
        <v>44854</v>
      </c>
      <c r="E196" t="str">
        <f t="shared" ca="1" si="3"/>
        <v>YES</v>
      </c>
      <c r="F196" s="33">
        <f>IFERROR(LoanData[[#This Row],[EMI]]/LoanData[[#This Row],[Monthly_Income]]*100," ")</f>
        <v>35.074164033634204</v>
      </c>
      <c r="G196" t="str" cm="1">
        <f t="array" ref="G196">_xlfn.IFS(F196&gt;40, "High DTI Risk",F196&gt;=25, "Moderate DTI",F196&lt;25, "Low DTI")</f>
        <v>Moderate DTI</v>
      </c>
      <c r="H196" t="str" cm="1">
        <f t="array" ref="H1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96" t="str">
        <f>_xlfn.XLOOKUP(H196,Reference_Tables!$B$2:$B$7,Reference_Tables!$C$2:$C$7,,0,1)</f>
        <v>LR</v>
      </c>
      <c r="J196" t="str">
        <f>INDEX(Reference_Tables!$D$11:$D$36,MATCH(LoanData[[#This Row],[Branch]],Reference_Tables!$A$11:$A$36,0))</f>
        <v>Meena Iyer</v>
      </c>
      <c r="L196" s="35"/>
    </row>
    <row r="197" spans="2:12" ht="15.6" x14ac:dyDescent="0.3">
      <c r="B197" s="15">
        <f>DATEDIF(Loan_Data!K:K,Loan_Data!L:L,"D")</f>
        <v>6</v>
      </c>
      <c r="C197" s="15">
        <f ca="1">DATEDIF(LoanData[[#This Row],[Approval_Date]],TODAY(),"M")</f>
        <v>53</v>
      </c>
      <c r="D197" s="31">
        <f>EDATE(LoanData[[#This Row],[Approval_Date]],LoanData[[#This Row],[Loan_Term_Months]])</f>
        <v>44987</v>
      </c>
      <c r="E197" t="str">
        <f t="shared" ca="1" si="3"/>
        <v>YES</v>
      </c>
      <c r="F197" s="33">
        <f>IFERROR(LoanData[[#This Row],[EMI]]/LoanData[[#This Row],[Monthly_Income]]*100," ")</f>
        <v>71.326917977194</v>
      </c>
      <c r="G197" t="str" cm="1">
        <f t="array" ref="G197">_xlfn.IFS(F197&gt;40, "High DTI Risk",F197&gt;=25, "Moderate DTI",F197&lt;25, "Low DTI")</f>
        <v>High DTI Risk</v>
      </c>
      <c r="H197" t="str" cm="1">
        <f t="array" ref="H1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97" t="str">
        <f>_xlfn.XLOOKUP(H197,Reference_Tables!$B$2:$B$7,Reference_Tables!$C$2:$C$7,,0,1)</f>
        <v>VHR</v>
      </c>
      <c r="J197" t="str">
        <f>INDEX(Reference_Tables!$D$11:$D$36,MATCH(LoanData[[#This Row],[Branch]],Reference_Tables!$A$11:$A$36,0))</f>
        <v>Puja Chatterjee</v>
      </c>
      <c r="L197" s="35"/>
    </row>
    <row r="198" spans="2:12" ht="15.6" x14ac:dyDescent="0.3">
      <c r="B198" s="15">
        <f>DATEDIF(Loan_Data!K:K,Loan_Data!L:L,"D")</f>
        <v>13</v>
      </c>
      <c r="C198" s="15">
        <f ca="1">DATEDIF(LoanData[[#This Row],[Approval_Date]],TODAY(),"M")</f>
        <v>57</v>
      </c>
      <c r="D198" s="31">
        <f>EDATE(LoanData[[#This Row],[Approval_Date]],LoanData[[#This Row],[Loan_Term_Months]])</f>
        <v>44869</v>
      </c>
      <c r="E198" t="str">
        <f t="shared" ca="1" si="3"/>
        <v>YES</v>
      </c>
      <c r="F198" s="33">
        <f>IFERROR(LoanData[[#This Row],[EMI]]/LoanData[[#This Row],[Monthly_Income]]*100," ")</f>
        <v>385.96902927129418</v>
      </c>
      <c r="G198" t="str" cm="1">
        <f t="array" ref="G198">_xlfn.IFS(F198&gt;40, "High DTI Risk",F198&gt;=25, "Moderate DTI",F198&lt;25, "Low DTI")</f>
        <v>High DTI Risk</v>
      </c>
      <c r="H198" t="str" cm="1">
        <f t="array" ref="H1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98" t="str">
        <f>_xlfn.XLOOKUP(H198,Reference_Tables!$B$2:$B$7,Reference_Tables!$C$2:$C$7,,0,1)</f>
        <v>LR</v>
      </c>
      <c r="J198" t="str">
        <f>INDEX(Reference_Tables!$D$11:$D$36,MATCH(LoanData[[#This Row],[Branch]],Reference_Tables!$A$11:$A$36,0))</f>
        <v>Kavita Joshi</v>
      </c>
      <c r="L198" s="35"/>
    </row>
    <row r="199" spans="2:12" ht="15.6" x14ac:dyDescent="0.3">
      <c r="B199" s="15">
        <f>DATEDIF(Loan_Data!K:K,Loan_Data!L:L,"D")</f>
        <v>19</v>
      </c>
      <c r="C199" s="15">
        <f ca="1">DATEDIF(LoanData[[#This Row],[Approval_Date]],TODAY(),"M")</f>
        <v>62</v>
      </c>
      <c r="D199" s="31">
        <f>EDATE(LoanData[[#This Row],[Approval_Date]],LoanData[[#This Row],[Loan_Term_Months]])</f>
        <v>49815</v>
      </c>
      <c r="E199" t="str">
        <f t="shared" ca="1" si="3"/>
        <v>NO</v>
      </c>
      <c r="F199" s="33">
        <f>IFERROR(LoanData[[#This Row],[EMI]]/LoanData[[#This Row],[Monthly_Income]]*100," ")</f>
        <v>6.5657771306845945</v>
      </c>
      <c r="G199" t="str" cm="1">
        <f t="array" ref="G199">_xlfn.IFS(F199&gt;40, "High DTI Risk",F199&gt;=25, "Moderate DTI",F199&lt;25, "Low DTI")</f>
        <v>Low DTI</v>
      </c>
      <c r="H199" t="str" cm="1">
        <f t="array" ref="H1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99" t="str">
        <f>_xlfn.XLOOKUP(H199,Reference_Tables!$B$2:$B$7,Reference_Tables!$C$2:$C$7,,0,1)</f>
        <v>VHR</v>
      </c>
      <c r="J199" t="str">
        <f>INDEX(Reference_Tables!$D$11:$D$36,MATCH(LoanData[[#This Row],[Branch]],Reference_Tables!$A$11:$A$36,0))</f>
        <v>Suresh Menon</v>
      </c>
      <c r="L199" s="35"/>
    </row>
    <row r="200" spans="2:12" ht="15.6" x14ac:dyDescent="0.3">
      <c r="B200" s="15">
        <f>DATEDIF(Loan_Data!K:K,Loan_Data!L:L,"D")</f>
        <v>8</v>
      </c>
      <c r="C200" s="15">
        <f ca="1">DATEDIF(LoanData[[#This Row],[Approval_Date]],TODAY(),"M")</f>
        <v>64</v>
      </c>
      <c r="D200" s="31">
        <f>EDATE(LoanData[[#This Row],[Approval_Date]],LoanData[[#This Row],[Loan_Term_Months]])</f>
        <v>46124</v>
      </c>
      <c r="E200" t="str">
        <f t="shared" ca="1" si="3"/>
        <v>YES</v>
      </c>
      <c r="F200" s="33">
        <f>IFERROR(LoanData[[#This Row],[EMI]]/LoanData[[#This Row],[Monthly_Income]]*100," ")</f>
        <v>22.774744933290243</v>
      </c>
      <c r="G200" t="str" cm="1">
        <f t="array" ref="G200">_xlfn.IFS(F200&gt;40, "High DTI Risk",F200&gt;=25, "Moderate DTI",F200&lt;25, "Low DTI")</f>
        <v>Low DTI</v>
      </c>
      <c r="H200" t="str" cm="1">
        <f t="array" ref="H2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00" t="str">
        <f>_xlfn.XLOOKUP(H200,Reference_Tables!$B$2:$B$7,Reference_Tables!$C$2:$C$7,,0,1)</f>
        <v>MR</v>
      </c>
      <c r="J200" t="str">
        <f>INDEX(Reference_Tables!$D$11:$D$36,MATCH(LoanData[[#This Row],[Branch]],Reference_Tables!$A$11:$A$36,0))</f>
        <v>Suresh Menon</v>
      </c>
      <c r="L200" s="35"/>
    </row>
    <row r="201" spans="2:12" ht="15.6" x14ac:dyDescent="0.3">
      <c r="B201" s="15">
        <f>DATEDIF(Loan_Data!K:K,Loan_Data!L:L,"D")</f>
        <v>21</v>
      </c>
      <c r="C201" s="15">
        <f ca="1">DATEDIF(LoanData[[#This Row],[Approval_Date]],TODAY(),"M")</f>
        <v>53</v>
      </c>
      <c r="D201" s="31">
        <f>EDATE(LoanData[[#This Row],[Approval_Date]],LoanData[[#This Row],[Loan_Term_Months]])</f>
        <v>47171</v>
      </c>
      <c r="E201" t="str">
        <f t="shared" ca="1" si="3"/>
        <v>NO</v>
      </c>
      <c r="F201" s="33">
        <f>IFERROR(LoanData[[#This Row],[EMI]]/LoanData[[#This Row],[Monthly_Income]]*100," ")</f>
        <v>7.4136444010057216</v>
      </c>
      <c r="G201" t="str" cm="1">
        <f t="array" ref="G201">_xlfn.IFS(F201&gt;40, "High DTI Risk",F201&gt;=25, "Moderate DTI",F201&lt;25, "Low DTI")</f>
        <v>Low DTI</v>
      </c>
      <c r="H201" t="str" cm="1">
        <f t="array" ref="H2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01" t="str">
        <f>_xlfn.XLOOKUP(H201,Reference_Tables!$B$2:$B$7,Reference_Tables!$C$2:$C$7,,0,1)</f>
        <v>VHR</v>
      </c>
      <c r="J201" t="str">
        <f>INDEX(Reference_Tables!$D$11:$D$36,MATCH(LoanData[[#This Row],[Branch]],Reference_Tables!$A$11:$A$36,0))</f>
        <v>Deepak Nair</v>
      </c>
      <c r="L201" s="35"/>
    </row>
    <row r="202" spans="2:12" ht="15.6" x14ac:dyDescent="0.3">
      <c r="B202" s="15">
        <f>DATEDIF(Loan_Data!K:K,Loan_Data!L:L,"D")</f>
        <v>4</v>
      </c>
      <c r="C202" s="15">
        <f ca="1">DATEDIF(LoanData[[#This Row],[Approval_Date]],TODAY(),"M")</f>
        <v>60</v>
      </c>
      <c r="D202" s="31">
        <f>EDATE(LoanData[[#This Row],[Approval_Date]],LoanData[[#This Row],[Loan_Term_Months]])</f>
        <v>44790</v>
      </c>
      <c r="E202" t="str">
        <f t="shared" ca="1" si="3"/>
        <v>YES</v>
      </c>
      <c r="F202" s="33">
        <f>IFERROR(LoanData[[#This Row],[EMI]]/LoanData[[#This Row],[Monthly_Income]]*100," ")</f>
        <v>151.92777052582252</v>
      </c>
      <c r="G202" t="str" cm="1">
        <f t="array" ref="G202">_xlfn.IFS(F202&gt;40, "High DTI Risk",F202&gt;=25, "Moderate DTI",F202&lt;25, "Low DTI")</f>
        <v>High DTI Risk</v>
      </c>
      <c r="H202" t="str" cm="1">
        <f t="array" ref="H2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02" t="str">
        <f>_xlfn.XLOOKUP(H202,Reference_Tables!$B$2:$B$7,Reference_Tables!$C$2:$C$7,,0,1)</f>
        <v>LR</v>
      </c>
      <c r="J202" t="str">
        <f>INDEX(Reference_Tables!$D$11:$D$36,MATCH(LoanData[[#This Row],[Branch]],Reference_Tables!$A$11:$A$36,0))</f>
        <v>Rahul Kapoor</v>
      </c>
      <c r="L202" s="35"/>
    </row>
    <row r="203" spans="2:12" ht="15.6" x14ac:dyDescent="0.3">
      <c r="B203" s="15">
        <f>DATEDIF(Loan_Data!K:K,Loan_Data!L:L,"D")</f>
        <v>29</v>
      </c>
      <c r="C203" s="15">
        <f ca="1">DATEDIF(LoanData[[#This Row],[Approval_Date]],TODAY(),"M")</f>
        <v>59</v>
      </c>
      <c r="D203" s="31">
        <f>EDATE(LoanData[[#This Row],[Approval_Date]],LoanData[[#This Row],[Loan_Term_Months]])</f>
        <v>46260</v>
      </c>
      <c r="E203" t="str">
        <f t="shared" ca="1" si="3"/>
        <v>NO</v>
      </c>
      <c r="F203" s="33">
        <f>IFERROR(LoanData[[#This Row],[EMI]]/LoanData[[#This Row],[Monthly_Income]]*100," ")</f>
        <v>6.1724172910662825</v>
      </c>
      <c r="G203" t="str" cm="1">
        <f t="array" ref="G203">_xlfn.IFS(F203&gt;40, "High DTI Risk",F203&gt;=25, "Moderate DTI",F203&lt;25, "Low DTI")</f>
        <v>Low DTI</v>
      </c>
      <c r="H203" t="str" cm="1">
        <f t="array" ref="H2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03" t="str">
        <f>_xlfn.XLOOKUP(H203,Reference_Tables!$B$2:$B$7,Reference_Tables!$C$2:$C$7,,0,1)</f>
        <v>VHR</v>
      </c>
      <c r="J203" t="str">
        <f>INDEX(Reference_Tables!$D$11:$D$36,MATCH(LoanData[[#This Row],[Branch]],Reference_Tables!$A$11:$A$36,0))</f>
        <v>Hetal Patel</v>
      </c>
      <c r="L203" s="35"/>
    </row>
    <row r="204" spans="2:12" ht="15.6" x14ac:dyDescent="0.3">
      <c r="B204" s="15">
        <f>DATEDIF(Loan_Data!K:K,Loan_Data!L:L,"D")</f>
        <v>11</v>
      </c>
      <c r="C204" s="15">
        <f ca="1">DATEDIF(LoanData[[#This Row],[Approval_Date]],TODAY(),"M")</f>
        <v>32</v>
      </c>
      <c r="D204" s="31">
        <f>EDATE(LoanData[[#This Row],[Approval_Date]],LoanData[[#This Row],[Loan_Term_Months]])</f>
        <v>47082</v>
      </c>
      <c r="E204" t="str">
        <f t="shared" ca="1" si="3"/>
        <v>NO</v>
      </c>
      <c r="F204" s="33">
        <f>IFERROR(LoanData[[#This Row],[EMI]]/LoanData[[#This Row],[Monthly_Income]]*100," ")</f>
        <v>17.854351901694727</v>
      </c>
      <c r="G204" t="str" cm="1">
        <f t="array" ref="G204">_xlfn.IFS(F204&gt;40, "High DTI Risk",F204&gt;=25, "Moderate DTI",F204&lt;25, "Low DTI")</f>
        <v>Low DTI</v>
      </c>
      <c r="H204" t="str" cm="1">
        <f t="array" ref="H2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04" t="str">
        <f>_xlfn.XLOOKUP(H204,Reference_Tables!$B$2:$B$7,Reference_Tables!$C$2:$C$7,,0,1)</f>
        <v>MR</v>
      </c>
      <c r="J204" t="str">
        <f>INDEX(Reference_Tables!$D$11:$D$36,MATCH(LoanData[[#This Row],[Branch]],Reference_Tables!$A$11:$A$36,0))</f>
        <v>Jigar Mehta</v>
      </c>
      <c r="L204" s="35"/>
    </row>
    <row r="205" spans="2:12" ht="15.6" x14ac:dyDescent="0.3">
      <c r="B205" s="15">
        <f>DATEDIF(Loan_Data!K:K,Loan_Data!L:L,"D")</f>
        <v>27</v>
      </c>
      <c r="C205" s="15">
        <f ca="1">DATEDIF(LoanData[[#This Row],[Approval_Date]],TODAY(),"M")</f>
        <v>44</v>
      </c>
      <c r="D205" s="31">
        <f>EDATE(LoanData[[#This Row],[Approval_Date]],LoanData[[#This Row],[Loan_Term_Months]])</f>
        <v>47445</v>
      </c>
      <c r="E205" t="str">
        <f t="shared" ca="1" si="3"/>
        <v>NO</v>
      </c>
      <c r="F205" s="33">
        <f>IFERROR(LoanData[[#This Row],[EMI]]/LoanData[[#This Row],[Monthly_Income]]*100," ")</f>
        <v>10.677998695099756</v>
      </c>
      <c r="G205" t="str" cm="1">
        <f t="array" ref="G205">_xlfn.IFS(F205&gt;40, "High DTI Risk",F205&gt;=25, "Moderate DTI",F205&lt;25, "Low DTI")</f>
        <v>Low DTI</v>
      </c>
      <c r="H205" t="str" cm="1">
        <f t="array" ref="H2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05" t="str">
        <f>_xlfn.XLOOKUP(H205,Reference_Tables!$B$2:$B$7,Reference_Tables!$C$2:$C$7,,0,1)</f>
        <v>VHR</v>
      </c>
      <c r="J205" t="str">
        <f>INDEX(Reference_Tables!$D$11:$D$36,MATCH(LoanData[[#This Row],[Branch]],Reference_Tables!$A$11:$A$36,0))</f>
        <v>Kavita Joshi</v>
      </c>
      <c r="L205" s="35"/>
    </row>
    <row r="206" spans="2:12" ht="15.6" x14ac:dyDescent="0.3">
      <c r="B206" s="15">
        <f>DATEDIF(Loan_Data!K:K,Loan_Data!L:L,"D")</f>
        <v>15</v>
      </c>
      <c r="C206" s="15">
        <f ca="1">DATEDIF(LoanData[[#This Row],[Approval_Date]],TODAY(),"M")</f>
        <v>51</v>
      </c>
      <c r="D206" s="31">
        <f>EDATE(LoanData[[#This Row],[Approval_Date]],LoanData[[#This Row],[Loan_Term_Months]])</f>
        <v>50159</v>
      </c>
      <c r="E206" t="str">
        <f t="shared" ca="1" si="3"/>
        <v>NO</v>
      </c>
      <c r="F206" s="33">
        <f>IFERROR(LoanData[[#This Row],[EMI]]/LoanData[[#This Row],[Monthly_Income]]*100," ")</f>
        <v>6.2886370366382209</v>
      </c>
      <c r="G206" t="str" cm="1">
        <f t="array" ref="G206">_xlfn.IFS(F206&gt;40, "High DTI Risk",F206&gt;=25, "Moderate DTI",F206&lt;25, "Low DTI")</f>
        <v>Low DTI</v>
      </c>
      <c r="H206" t="str" cm="1">
        <f t="array" ref="H2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06" t="str">
        <f>_xlfn.XLOOKUP(H206,Reference_Tables!$B$2:$B$7,Reference_Tables!$C$2:$C$7,,0,1)</f>
        <v>VHR</v>
      </c>
      <c r="J206" t="str">
        <f>INDEX(Reference_Tables!$D$11:$D$36,MATCH(LoanData[[#This Row],[Branch]],Reference_Tables!$A$11:$A$36,0))</f>
        <v>Kavita Joshi</v>
      </c>
      <c r="L206" s="35"/>
    </row>
    <row r="207" spans="2:12" ht="15.6" x14ac:dyDescent="0.3">
      <c r="B207" s="15">
        <f>DATEDIF(Loan_Data!K:K,Loan_Data!L:L,"D")</f>
        <v>16</v>
      </c>
      <c r="C207" s="15">
        <f ca="1">DATEDIF(LoanData[[#This Row],[Approval_Date]],TODAY(),"M")</f>
        <v>44</v>
      </c>
      <c r="D207" s="31">
        <f>EDATE(LoanData[[#This Row],[Approval_Date]],LoanData[[#This Row],[Loan_Term_Months]])</f>
        <v>45278</v>
      </c>
      <c r="E207" t="str">
        <f t="shared" ca="1" si="3"/>
        <v>YES</v>
      </c>
      <c r="F207" s="33">
        <f>IFERROR(LoanData[[#This Row],[EMI]]/LoanData[[#This Row],[Monthly_Income]]*100," ")</f>
        <v>404.83643337415378</v>
      </c>
      <c r="G207" t="str" cm="1">
        <f t="array" ref="G207">_xlfn.IFS(F207&gt;40, "High DTI Risk",F207&gt;=25, "Moderate DTI",F207&lt;25, "Low DTI")</f>
        <v>High DTI Risk</v>
      </c>
      <c r="H207" t="str" cm="1">
        <f t="array" ref="H2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07" t="str">
        <f>_xlfn.XLOOKUP(H207,Reference_Tables!$B$2:$B$7,Reference_Tables!$C$2:$C$7,,0,1)</f>
        <v>LR</v>
      </c>
      <c r="J207" t="str">
        <f>INDEX(Reference_Tables!$D$11:$D$36,MATCH(LoanData[[#This Row],[Branch]],Reference_Tables!$A$11:$A$36,0))</f>
        <v>Vikram Malhotra</v>
      </c>
      <c r="L207" s="35"/>
    </row>
    <row r="208" spans="2:12" ht="15.6" x14ac:dyDescent="0.3">
      <c r="B208" s="15">
        <f>DATEDIF(Loan_Data!K:K,Loan_Data!L:L,"D")</f>
        <v>12</v>
      </c>
      <c r="C208" s="15">
        <f ca="1">DATEDIF(LoanData[[#This Row],[Approval_Date]],TODAY(),"M")</f>
        <v>38</v>
      </c>
      <c r="D208" s="31">
        <f>EDATE(LoanData[[#This Row],[Approval_Date]],LoanData[[#This Row],[Loan_Term_Months]])</f>
        <v>45440</v>
      </c>
      <c r="E208" t="str">
        <f t="shared" ca="1" si="3"/>
        <v>YES</v>
      </c>
      <c r="F208" s="33">
        <f>IFERROR(LoanData[[#This Row],[EMI]]/LoanData[[#This Row],[Monthly_Income]]*100," ")</f>
        <v>37.764555485011236</v>
      </c>
      <c r="G208" t="str" cm="1">
        <f t="array" ref="G208">_xlfn.IFS(F208&gt;40, "High DTI Risk",F208&gt;=25, "Moderate DTI",F208&lt;25, "Low DTI")</f>
        <v>Moderate DTI</v>
      </c>
      <c r="H208" t="str" cm="1">
        <f t="array" ref="H2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08" t="str">
        <f>_xlfn.XLOOKUP(H208,Reference_Tables!$B$2:$B$7,Reference_Tables!$C$2:$C$7,,0,1)</f>
        <v>MR</v>
      </c>
      <c r="J208" t="str">
        <f>INDEX(Reference_Tables!$D$11:$D$36,MATCH(LoanData[[#This Row],[Branch]],Reference_Tables!$A$11:$A$36,0))</f>
        <v>Tapan Panda</v>
      </c>
      <c r="L208" s="35"/>
    </row>
    <row r="209" spans="2:12" ht="15.6" x14ac:dyDescent="0.3">
      <c r="B209" s="15">
        <f>DATEDIF(Loan_Data!K:K,Loan_Data!L:L,"D")</f>
        <v>7</v>
      </c>
      <c r="C209" s="15">
        <f ca="1">DATEDIF(LoanData[[#This Row],[Approval_Date]],TODAY(),"M")</f>
        <v>50</v>
      </c>
      <c r="D209" s="31">
        <f>EDATE(LoanData[[#This Row],[Approval_Date]],LoanData[[#This Row],[Loan_Term_Months]])</f>
        <v>45446</v>
      </c>
      <c r="E209" t="str">
        <f t="shared" ca="1" si="3"/>
        <v>YES</v>
      </c>
      <c r="F209" s="33">
        <f>IFERROR(LoanData[[#This Row],[EMI]]/LoanData[[#This Row],[Monthly_Income]]*100," ")</f>
        <v>26.974377659199362</v>
      </c>
      <c r="G209" t="str" cm="1">
        <f t="array" ref="G209">_xlfn.IFS(F209&gt;40, "High DTI Risk",F209&gt;=25, "Moderate DTI",F209&lt;25, "Low DTI")</f>
        <v>Moderate DTI</v>
      </c>
      <c r="H209" t="str" cm="1">
        <f t="array" ref="H2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09" t="str">
        <f>_xlfn.XLOOKUP(H209,Reference_Tables!$B$2:$B$7,Reference_Tables!$C$2:$C$7,,0,1)</f>
        <v>VHR</v>
      </c>
      <c r="J209" t="str">
        <f>INDEX(Reference_Tables!$D$11:$D$36,MATCH(LoanData[[#This Row],[Branch]],Reference_Tables!$A$11:$A$36,0))</f>
        <v>Puja Chatterjee</v>
      </c>
      <c r="L209" s="35"/>
    </row>
    <row r="210" spans="2:12" ht="15.6" x14ac:dyDescent="0.3">
      <c r="B210" s="15">
        <f>DATEDIF(Loan_Data!K:K,Loan_Data!L:L,"D")</f>
        <v>21</v>
      </c>
      <c r="C210" s="15">
        <f ca="1">DATEDIF(LoanData[[#This Row],[Approval_Date]],TODAY(),"M")</f>
        <v>50</v>
      </c>
      <c r="D210" s="31">
        <f>EDATE(LoanData[[#This Row],[Approval_Date]],LoanData[[#This Row],[Loan_Term_Months]])</f>
        <v>45067</v>
      </c>
      <c r="E210" t="str">
        <f t="shared" ca="1" si="3"/>
        <v>YES</v>
      </c>
      <c r="F210" s="33">
        <f>IFERROR(LoanData[[#This Row],[EMI]]/LoanData[[#This Row],[Monthly_Income]]*100," ")</f>
        <v>54.176038082669564</v>
      </c>
      <c r="G210" t="str" cm="1">
        <f t="array" ref="G210">_xlfn.IFS(F210&gt;40, "High DTI Risk",F210&gt;=25, "Moderate DTI",F210&lt;25, "Low DTI")</f>
        <v>High DTI Risk</v>
      </c>
      <c r="H210" t="str" cm="1">
        <f t="array" ref="H2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10" t="str">
        <f>_xlfn.XLOOKUP(H210,Reference_Tables!$B$2:$B$7,Reference_Tables!$C$2:$C$7,,0,1)</f>
        <v>LR</v>
      </c>
      <c r="J210" t="str">
        <f>INDEX(Reference_Tables!$D$11:$D$36,MATCH(LoanData[[#This Row],[Branch]],Reference_Tables!$A$11:$A$36,0))</f>
        <v>Sachin Deshpande</v>
      </c>
      <c r="L210" s="35"/>
    </row>
    <row r="211" spans="2:12" ht="15.6" x14ac:dyDescent="0.3">
      <c r="B211" s="15">
        <f>DATEDIF(Loan_Data!K:K,Loan_Data!L:L,"D")</f>
        <v>13</v>
      </c>
      <c r="C211" s="15">
        <f ca="1">DATEDIF(LoanData[[#This Row],[Approval_Date]],TODAY(),"M")</f>
        <v>39</v>
      </c>
      <c r="D211" s="31">
        <f>EDATE(LoanData[[#This Row],[Approval_Date]],LoanData[[#This Row],[Loan_Term_Months]])</f>
        <v>46151</v>
      </c>
      <c r="E211" t="str">
        <f t="shared" ca="1" si="3"/>
        <v>YES</v>
      </c>
      <c r="F211" s="33">
        <f>IFERROR(LoanData[[#This Row],[EMI]]/LoanData[[#This Row],[Monthly_Income]]*100," ")</f>
        <v>45.14034206434637</v>
      </c>
      <c r="G211" t="str" cm="1">
        <f t="array" ref="G211">_xlfn.IFS(F211&gt;40, "High DTI Risk",F211&gt;=25, "Moderate DTI",F211&lt;25, "Low DTI")</f>
        <v>High DTI Risk</v>
      </c>
      <c r="H211" t="str" cm="1">
        <f t="array" ref="H2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11" t="str">
        <f>_xlfn.XLOOKUP(H211,Reference_Tables!$B$2:$B$7,Reference_Tables!$C$2:$C$7,,0,1)</f>
        <v>VHR</v>
      </c>
      <c r="J211" t="str">
        <f>INDEX(Reference_Tables!$D$11:$D$36,MATCH(LoanData[[#This Row],[Branch]],Reference_Tables!$A$11:$A$36,0))</f>
        <v>Tapan Panda</v>
      </c>
      <c r="L211" s="35"/>
    </row>
    <row r="212" spans="2:12" ht="15.6" x14ac:dyDescent="0.3">
      <c r="B212" s="15">
        <f>DATEDIF(Loan_Data!K:K,Loan_Data!L:L,"D")</f>
        <v>4</v>
      </c>
      <c r="C212" s="15">
        <f ca="1">DATEDIF(LoanData[[#This Row],[Approval_Date]],TODAY(),"M")</f>
        <v>49</v>
      </c>
      <c r="D212" s="31">
        <f>EDATE(LoanData[[#This Row],[Approval_Date]],LoanData[[#This Row],[Loan_Term_Months]])</f>
        <v>47291</v>
      </c>
      <c r="E212" t="str">
        <f t="shared" ca="1" si="3"/>
        <v>NO</v>
      </c>
      <c r="F212" s="33">
        <f>IFERROR(LoanData[[#This Row],[EMI]]/LoanData[[#This Row],[Monthly_Income]]*100," ")</f>
        <v>21.276041923247448</v>
      </c>
      <c r="G212" t="str" cm="1">
        <f t="array" ref="G212">_xlfn.IFS(F212&gt;40, "High DTI Risk",F212&gt;=25, "Moderate DTI",F212&lt;25, "Low DTI")</f>
        <v>Low DTI</v>
      </c>
      <c r="H212" t="str" cm="1">
        <f t="array" ref="H2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12" t="str">
        <f>_xlfn.XLOOKUP(H212,Reference_Tables!$B$2:$B$7,Reference_Tables!$C$2:$C$7,,0,1)</f>
        <v>MR</v>
      </c>
      <c r="J212" t="str">
        <f>INDEX(Reference_Tables!$D$11:$D$36,MATCH(LoanData[[#This Row],[Branch]],Reference_Tables!$A$11:$A$36,0))</f>
        <v>Hetal Patel</v>
      </c>
      <c r="L212" s="35"/>
    </row>
    <row r="213" spans="2:12" ht="15.6" x14ac:dyDescent="0.3">
      <c r="B213" s="15">
        <f>DATEDIF(Loan_Data!K:K,Loan_Data!L:L,"D")</f>
        <v>20</v>
      </c>
      <c r="C213" s="15">
        <f ca="1">DATEDIF(LoanData[[#This Row],[Approval_Date]],TODAY(),"M")</f>
        <v>48</v>
      </c>
      <c r="D213" s="31">
        <f>EDATE(LoanData[[#This Row],[Approval_Date]],LoanData[[#This Row],[Loan_Term_Months]])</f>
        <v>45503</v>
      </c>
      <c r="E213" t="str">
        <f t="shared" ca="1" si="3"/>
        <v>YES</v>
      </c>
      <c r="F213" s="33">
        <f>IFERROR(LoanData[[#This Row],[EMI]]/LoanData[[#This Row],[Monthly_Income]]*100," ")</f>
        <v>78.512179203539816</v>
      </c>
      <c r="G213" t="str" cm="1">
        <f t="array" ref="G213">_xlfn.IFS(F213&gt;40, "High DTI Risk",F213&gt;=25, "Moderate DTI",F213&lt;25, "Low DTI")</f>
        <v>High DTI Risk</v>
      </c>
      <c r="H213" t="str" cm="1">
        <f t="array" ref="H2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13" t="str">
        <f>_xlfn.XLOOKUP(H213,Reference_Tables!$B$2:$B$7,Reference_Tables!$C$2:$C$7,,0,1)</f>
        <v>HR</v>
      </c>
      <c r="J213" t="str">
        <f>INDEX(Reference_Tables!$D$11:$D$36,MATCH(LoanData[[#This Row],[Branch]],Reference_Tables!$A$11:$A$36,0))</f>
        <v>Kavita Joshi</v>
      </c>
      <c r="L213" s="35"/>
    </row>
    <row r="214" spans="2:12" ht="15.6" x14ac:dyDescent="0.3">
      <c r="B214" s="15">
        <f>DATEDIF(Loan_Data!K:K,Loan_Data!L:L,"D")</f>
        <v>30</v>
      </c>
      <c r="C214" s="15">
        <f ca="1">DATEDIF(LoanData[[#This Row],[Approval_Date]],TODAY(),"M")</f>
        <v>35</v>
      </c>
      <c r="D214" s="31">
        <f>EDATE(LoanData[[#This Row],[Approval_Date]],LoanData[[#This Row],[Loan_Term_Months]])</f>
        <v>46627</v>
      </c>
      <c r="E214" t="str">
        <f t="shared" ca="1" si="3"/>
        <v>NO</v>
      </c>
      <c r="F214" s="33">
        <f>IFERROR(LoanData[[#This Row],[EMI]]/LoanData[[#This Row],[Monthly_Income]]*100," ")</f>
        <v>14.010105330992644</v>
      </c>
      <c r="G214" t="str" cm="1">
        <f t="array" ref="G214">_xlfn.IFS(F214&gt;40, "High DTI Risk",F214&gt;=25, "Moderate DTI",F214&lt;25, "Low DTI")</f>
        <v>Low DTI</v>
      </c>
      <c r="H214" t="str" cm="1">
        <f t="array" ref="H2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14" t="str">
        <f>_xlfn.XLOOKUP(H214,Reference_Tables!$B$2:$B$7,Reference_Tables!$C$2:$C$7,,0,1)</f>
        <v>VHR</v>
      </c>
      <c r="J214" t="str">
        <f>INDEX(Reference_Tables!$D$11:$D$36,MATCH(LoanData[[#This Row],[Branch]],Reference_Tables!$A$11:$A$36,0))</f>
        <v>Lakshmi Reddy</v>
      </c>
      <c r="L214" s="35"/>
    </row>
    <row r="215" spans="2:12" ht="15.6" x14ac:dyDescent="0.3">
      <c r="B215" s="15">
        <f>DATEDIF(Loan_Data!K:K,Loan_Data!L:L,"D")</f>
        <v>16</v>
      </c>
      <c r="C215" s="15">
        <f ca="1">DATEDIF(LoanData[[#This Row],[Approval_Date]],TODAY(),"M")</f>
        <v>56</v>
      </c>
      <c r="D215" s="31">
        <f>EDATE(LoanData[[#This Row],[Approval_Date]],LoanData[[#This Row],[Loan_Term_Months]])</f>
        <v>51849</v>
      </c>
      <c r="E215" t="str">
        <f t="shared" ca="1" si="3"/>
        <v>NO</v>
      </c>
      <c r="F215" s="33">
        <f>IFERROR(LoanData[[#This Row],[EMI]]/LoanData[[#This Row],[Monthly_Income]]*100," ")</f>
        <v>4.0845630433469342</v>
      </c>
      <c r="G215" t="str" cm="1">
        <f t="array" ref="G215">_xlfn.IFS(F215&gt;40, "High DTI Risk",F215&gt;=25, "Moderate DTI",F215&lt;25, "Low DTI")</f>
        <v>Low DTI</v>
      </c>
      <c r="H215" t="str" cm="1">
        <f t="array" ref="H2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15" t="str">
        <f>_xlfn.XLOOKUP(H215,Reference_Tables!$B$2:$B$7,Reference_Tables!$C$2:$C$7,,0,1)</f>
        <v>LR</v>
      </c>
      <c r="J215" t="str">
        <f>INDEX(Reference_Tables!$D$11:$D$36,MATCH(LoanData[[#This Row],[Branch]],Reference_Tables!$A$11:$A$36,0))</f>
        <v>Sachin Deshpande</v>
      </c>
      <c r="L215" s="35"/>
    </row>
    <row r="216" spans="2:12" ht="15.6" x14ac:dyDescent="0.3">
      <c r="B216" s="15">
        <f>DATEDIF(Loan_Data!K:K,Loan_Data!L:L,"D")</f>
        <v>13</v>
      </c>
      <c r="C216" s="15">
        <f ca="1">DATEDIF(LoanData[[#This Row],[Approval_Date]],TODAY(),"M")</f>
        <v>36</v>
      </c>
      <c r="D216" s="31">
        <f>EDATE(LoanData[[#This Row],[Approval_Date]],LoanData[[#This Row],[Loan_Term_Months]])</f>
        <v>48792</v>
      </c>
      <c r="E216" t="str">
        <f t="shared" ca="1" si="3"/>
        <v>NO</v>
      </c>
      <c r="F216" s="33">
        <f>IFERROR(LoanData[[#This Row],[EMI]]/LoanData[[#This Row],[Monthly_Income]]*100," ")</f>
        <v>7.5884911628134617</v>
      </c>
      <c r="G216" t="str" cm="1">
        <f t="array" ref="G216">_xlfn.IFS(F216&gt;40, "High DTI Risk",F216&gt;=25, "Moderate DTI",F216&lt;25, "Low DTI")</f>
        <v>Low DTI</v>
      </c>
      <c r="H216" t="str" cm="1">
        <f t="array" ref="H2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16" t="str">
        <f>_xlfn.XLOOKUP(H216,Reference_Tables!$B$2:$B$7,Reference_Tables!$C$2:$C$7,,0,1)</f>
        <v>VHR</v>
      </c>
      <c r="J216" t="str">
        <f>INDEX(Reference_Tables!$D$11:$D$36,MATCH(LoanData[[#This Row],[Branch]],Reference_Tables!$A$11:$A$36,0))</f>
        <v>Suman Tiwari</v>
      </c>
      <c r="L216" s="35"/>
    </row>
    <row r="217" spans="2:12" ht="15.6" x14ac:dyDescent="0.3">
      <c r="B217" s="15">
        <f>DATEDIF(Loan_Data!K:K,Loan_Data!L:L,"D")</f>
        <v>11</v>
      </c>
      <c r="C217" s="15">
        <f ca="1">DATEDIF(LoanData[[#This Row],[Approval_Date]],TODAY(),"M")</f>
        <v>61</v>
      </c>
      <c r="D217" s="31">
        <f>EDATE(LoanData[[#This Row],[Approval_Date]],LoanData[[#This Row],[Loan_Term_Months]])</f>
        <v>44735</v>
      </c>
      <c r="E217" t="str">
        <f t="shared" ca="1" si="3"/>
        <v>YES</v>
      </c>
      <c r="F217" s="33">
        <f>IFERROR(LoanData[[#This Row],[EMI]]/LoanData[[#This Row],[Monthly_Income]]*100," ")</f>
        <v>184.18416470347231</v>
      </c>
      <c r="G217" t="str" cm="1">
        <f t="array" ref="G217">_xlfn.IFS(F217&gt;40, "High DTI Risk",F217&gt;=25, "Moderate DTI",F217&lt;25, "Low DTI")</f>
        <v>High DTI Risk</v>
      </c>
      <c r="H217" t="str" cm="1">
        <f t="array" ref="H2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17" t="str">
        <f>_xlfn.XLOOKUP(H217,Reference_Tables!$B$2:$B$7,Reference_Tables!$C$2:$C$7,,0,1)</f>
        <v>LR</v>
      </c>
      <c r="J217" t="str">
        <f>INDEX(Reference_Tables!$D$11:$D$36,MATCH(LoanData[[#This Row],[Branch]],Reference_Tables!$A$11:$A$36,0))</f>
        <v>Suman Tiwari</v>
      </c>
      <c r="L217" s="35"/>
    </row>
    <row r="218" spans="2:12" ht="15.6" x14ac:dyDescent="0.3">
      <c r="B218" s="15">
        <f>DATEDIF(Loan_Data!K:K,Loan_Data!L:L,"D")</f>
        <v>26</v>
      </c>
      <c r="C218" s="15">
        <f ca="1">DATEDIF(LoanData[[#This Row],[Approval_Date]],TODAY(),"M")</f>
        <v>64</v>
      </c>
      <c r="D218" s="31">
        <f>EDATE(LoanData[[#This Row],[Approval_Date]],LoanData[[#This Row],[Loan_Term_Months]])</f>
        <v>46119</v>
      </c>
      <c r="E218" t="str">
        <f t="shared" ca="1" si="3"/>
        <v>YES</v>
      </c>
      <c r="F218" s="33">
        <f>IFERROR(LoanData[[#This Row],[EMI]]/LoanData[[#This Row],[Monthly_Income]]*100," ")</f>
        <v>8.4859048336671226</v>
      </c>
      <c r="G218" t="str" cm="1">
        <f t="array" ref="G218">_xlfn.IFS(F218&gt;40, "High DTI Risk",F218&gt;=25, "Moderate DTI",F218&lt;25, "Low DTI")</f>
        <v>Low DTI</v>
      </c>
      <c r="H218" t="str" cm="1">
        <f t="array" ref="H2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18" t="str">
        <f>_xlfn.XLOOKUP(H218,Reference_Tables!$B$2:$B$7,Reference_Tables!$C$2:$C$7,,0,1)</f>
        <v>HR</v>
      </c>
      <c r="J218" t="str">
        <f>INDEX(Reference_Tables!$D$11:$D$36,MATCH(LoanData[[#This Row],[Branch]],Reference_Tables!$A$11:$A$36,0))</f>
        <v>Sachin Deshpande</v>
      </c>
      <c r="L218" s="35"/>
    </row>
    <row r="219" spans="2:12" ht="15.6" x14ac:dyDescent="0.3">
      <c r="B219" s="15">
        <f>DATEDIF(Loan_Data!K:K,Loan_Data!L:L,"D")</f>
        <v>28</v>
      </c>
      <c r="C219" s="15">
        <f ca="1">DATEDIF(LoanData[[#This Row],[Approval_Date]],TODAY(),"M")</f>
        <v>57</v>
      </c>
      <c r="D219" s="31">
        <f>EDATE(LoanData[[#This Row],[Approval_Date]],LoanData[[#This Row],[Loan_Term_Months]])</f>
        <v>47052</v>
      </c>
      <c r="E219" t="str">
        <f t="shared" ca="1" si="3"/>
        <v>NO</v>
      </c>
      <c r="F219" s="33">
        <f>IFERROR(LoanData[[#This Row],[EMI]]/LoanData[[#This Row],[Monthly_Income]]*100," ")</f>
        <v>66.605617788259082</v>
      </c>
      <c r="G219" t="str" cm="1">
        <f t="array" ref="G219">_xlfn.IFS(F219&gt;40, "High DTI Risk",F219&gt;=25, "Moderate DTI",F219&lt;25, "Low DTI")</f>
        <v>High DTI Risk</v>
      </c>
      <c r="H219" t="str" cm="1">
        <f t="array" ref="H2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19" t="str">
        <f>_xlfn.XLOOKUP(H219,Reference_Tables!$B$2:$B$7,Reference_Tables!$C$2:$C$7,,0,1)</f>
        <v>HR</v>
      </c>
      <c r="J219" t="str">
        <f>INDEX(Reference_Tables!$D$11:$D$36,MATCH(LoanData[[#This Row],[Branch]],Reference_Tables!$A$11:$A$36,0))</f>
        <v>Amit Kumar</v>
      </c>
      <c r="L219" s="35"/>
    </row>
    <row r="220" spans="2:12" ht="15.6" x14ac:dyDescent="0.3">
      <c r="B220" s="15">
        <f>DATEDIF(Loan_Data!K:K,Loan_Data!L:L,"D")</f>
        <v>3</v>
      </c>
      <c r="C220" s="15">
        <f ca="1">DATEDIF(LoanData[[#This Row],[Approval_Date]],TODAY(),"M")</f>
        <v>50</v>
      </c>
      <c r="D220" s="31">
        <f>EDATE(LoanData[[#This Row],[Approval_Date]],LoanData[[#This Row],[Loan_Term_Months]])</f>
        <v>45453</v>
      </c>
      <c r="E220" t="str">
        <f t="shared" ca="1" si="3"/>
        <v>YES</v>
      </c>
      <c r="F220" s="33">
        <f>IFERROR(LoanData[[#This Row],[EMI]]/LoanData[[#This Row],[Monthly_Income]]*100," ")</f>
        <v>11.441659926045759</v>
      </c>
      <c r="G220" t="str" cm="1">
        <f t="array" ref="G220">_xlfn.IFS(F220&gt;40, "High DTI Risk",F220&gt;=25, "Moderate DTI",F220&lt;25, "Low DTI")</f>
        <v>Low DTI</v>
      </c>
      <c r="H220" t="str" cm="1">
        <f t="array" ref="H2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20" t="str">
        <f>_xlfn.XLOOKUP(H220,Reference_Tables!$B$2:$B$7,Reference_Tables!$C$2:$C$7,,0,1)</f>
        <v>HR</v>
      </c>
      <c r="J220" t="str">
        <f>INDEX(Reference_Tables!$D$11:$D$36,MATCH(LoanData[[#This Row],[Branch]],Reference_Tables!$A$11:$A$36,0))</f>
        <v>Anil Mishra</v>
      </c>
      <c r="L220" s="35"/>
    </row>
    <row r="221" spans="2:12" ht="15.6" x14ac:dyDescent="0.3">
      <c r="B221" s="15">
        <f>DATEDIF(Loan_Data!K:K,Loan_Data!L:L,"D")</f>
        <v>8</v>
      </c>
      <c r="C221" s="15">
        <f ca="1">DATEDIF(LoanData[[#This Row],[Approval_Date]],TODAY(),"M")</f>
        <v>32</v>
      </c>
      <c r="D221" s="31">
        <f>EDATE(LoanData[[#This Row],[Approval_Date]],LoanData[[#This Row],[Loan_Term_Months]])</f>
        <v>45984</v>
      </c>
      <c r="E221" t="str">
        <f t="shared" ca="1" si="3"/>
        <v>YES</v>
      </c>
      <c r="F221" s="33">
        <f>IFERROR(LoanData[[#This Row],[EMI]]/LoanData[[#This Row],[Monthly_Income]]*100," ")</f>
        <v>11.11873840445269</v>
      </c>
      <c r="G221" t="str" cm="1">
        <f t="array" ref="G221">_xlfn.IFS(F221&gt;40, "High DTI Risk",F221&gt;=25, "Moderate DTI",F221&lt;25, "Low DTI")</f>
        <v>Low DTI</v>
      </c>
      <c r="H221" t="str" cm="1">
        <f t="array" ref="H2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21" t="str">
        <f>_xlfn.XLOOKUP(H221,Reference_Tables!$B$2:$B$7,Reference_Tables!$C$2:$C$7,,0,1)</f>
        <v>LR</v>
      </c>
      <c r="J221" t="str">
        <f>INDEX(Reference_Tables!$D$11:$D$36,MATCH(LoanData[[#This Row],[Branch]],Reference_Tables!$A$11:$A$36,0))</f>
        <v>Jigar Mehta</v>
      </c>
      <c r="L221" s="35"/>
    </row>
    <row r="222" spans="2:12" ht="15.6" x14ac:dyDescent="0.3">
      <c r="B222" s="15">
        <f>DATEDIF(Loan_Data!K:K,Loan_Data!L:L,"D")</f>
        <v>23</v>
      </c>
      <c r="C222" s="15">
        <f ca="1">DATEDIF(LoanData[[#This Row],[Approval_Date]],TODAY(),"M")</f>
        <v>44</v>
      </c>
      <c r="D222" s="31">
        <f>EDATE(LoanData[[#This Row],[Approval_Date]],LoanData[[#This Row],[Loan_Term_Months]])</f>
        <v>50376</v>
      </c>
      <c r="E222" t="str">
        <f t="shared" ca="1" si="3"/>
        <v>NO</v>
      </c>
      <c r="F222" s="33">
        <f>IFERROR(LoanData[[#This Row],[EMI]]/LoanData[[#This Row],[Monthly_Income]]*100," ")</f>
        <v>17.527340272546738</v>
      </c>
      <c r="G222" t="str" cm="1">
        <f t="array" ref="G222">_xlfn.IFS(F222&gt;40, "High DTI Risk",F222&gt;=25, "Moderate DTI",F222&lt;25, "Low DTI")</f>
        <v>Low DTI</v>
      </c>
      <c r="H222" t="str" cm="1">
        <f t="array" ref="H2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22" t="str">
        <f>_xlfn.XLOOKUP(H222,Reference_Tables!$B$2:$B$7,Reference_Tables!$C$2:$C$7,,0,1)</f>
        <v>MR</v>
      </c>
      <c r="J222" t="str">
        <f>INDEX(Reference_Tables!$D$11:$D$36,MATCH(LoanData[[#This Row],[Branch]],Reference_Tables!$A$11:$A$36,0))</f>
        <v>Anil Mishra</v>
      </c>
      <c r="L222" s="35"/>
    </row>
    <row r="223" spans="2:12" ht="15.6" x14ac:dyDescent="0.3">
      <c r="B223" s="15">
        <f>DATEDIF(Loan_Data!K:K,Loan_Data!L:L,"D")</f>
        <v>24</v>
      </c>
      <c r="C223" s="15">
        <f ca="1">DATEDIF(LoanData[[#This Row],[Approval_Date]],TODAY(),"M")</f>
        <v>35</v>
      </c>
      <c r="D223" s="31">
        <f>EDATE(LoanData[[#This Row],[Approval_Date]],LoanData[[#This Row],[Loan_Term_Months]])</f>
        <v>45918</v>
      </c>
      <c r="E223" t="str">
        <f t="shared" ca="1" si="3"/>
        <v>YES</v>
      </c>
      <c r="F223" s="33">
        <f>IFERROR(LoanData[[#This Row],[EMI]]/LoanData[[#This Row],[Monthly_Income]]*100," ")</f>
        <v>13.817388512067064</v>
      </c>
      <c r="G223" t="str" cm="1">
        <f t="array" ref="G223">_xlfn.IFS(F223&gt;40, "High DTI Risk",F223&gt;=25, "Moderate DTI",F223&lt;25, "Low DTI")</f>
        <v>Low DTI</v>
      </c>
      <c r="H223" t="str" cm="1">
        <f t="array" ref="H2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23" t="str">
        <f>_xlfn.XLOOKUP(H223,Reference_Tables!$B$2:$B$7,Reference_Tables!$C$2:$C$7,,0,1)</f>
        <v>VHR</v>
      </c>
      <c r="J223" t="str">
        <f>INDEX(Reference_Tables!$D$11:$D$36,MATCH(LoanData[[#This Row],[Branch]],Reference_Tables!$A$11:$A$36,0))</f>
        <v>Rituparna Bora</v>
      </c>
      <c r="L223" s="35"/>
    </row>
    <row r="224" spans="2:12" ht="15.6" x14ac:dyDescent="0.3">
      <c r="B224" s="15">
        <f>DATEDIF(Loan_Data!K:K,Loan_Data!L:L,"D")</f>
        <v>27</v>
      </c>
      <c r="C224" s="15">
        <f ca="1">DATEDIF(LoanData[[#This Row],[Approval_Date]],TODAY(),"M")</f>
        <v>59</v>
      </c>
      <c r="D224" s="31">
        <f>EDATE(LoanData[[#This Row],[Approval_Date]],LoanData[[#This Row],[Loan_Term_Months]])</f>
        <v>45905</v>
      </c>
      <c r="E224" t="str">
        <f t="shared" ca="1" si="3"/>
        <v>YES</v>
      </c>
      <c r="F224" s="33">
        <f>IFERROR(LoanData[[#This Row],[EMI]]/LoanData[[#This Row],[Monthly_Income]]*100," ")</f>
        <v>23.391231937301001</v>
      </c>
      <c r="G224" t="str" cm="1">
        <f t="array" ref="G224">_xlfn.IFS(F224&gt;40, "High DTI Risk",F224&gt;=25, "Moderate DTI",F224&lt;25, "Low DTI")</f>
        <v>Low DTI</v>
      </c>
      <c r="H224" t="str" cm="1">
        <f t="array" ref="H2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24" t="str">
        <f>_xlfn.XLOOKUP(H224,Reference_Tables!$B$2:$B$7,Reference_Tables!$C$2:$C$7,,0,1)</f>
        <v>VHR</v>
      </c>
      <c r="J224" t="str">
        <f>INDEX(Reference_Tables!$D$11:$D$36,MATCH(LoanData[[#This Row],[Branch]],Reference_Tables!$A$11:$A$36,0))</f>
        <v>Kavita Joshi</v>
      </c>
      <c r="L224" s="35"/>
    </row>
    <row r="225" spans="2:12" ht="15.6" x14ac:dyDescent="0.3">
      <c r="B225" s="15">
        <f>DATEDIF(Loan_Data!K:K,Loan_Data!L:L,"D")</f>
        <v>25</v>
      </c>
      <c r="C225" s="15">
        <f ca="1">DATEDIF(LoanData[[#This Row],[Approval_Date]],TODAY(),"M")</f>
        <v>58</v>
      </c>
      <c r="D225" s="31">
        <f>EDATE(LoanData[[#This Row],[Approval_Date]],LoanData[[#This Row],[Loan_Term_Months]])</f>
        <v>46284</v>
      </c>
      <c r="E225" t="str">
        <f t="shared" ca="1" si="3"/>
        <v>NO</v>
      </c>
      <c r="F225" s="33">
        <f>IFERROR(LoanData[[#This Row],[EMI]]/LoanData[[#This Row],[Monthly_Income]]*100," ")</f>
        <v>8.6130751556667846</v>
      </c>
      <c r="G225" t="str" cm="1">
        <f t="array" ref="G225">_xlfn.IFS(F225&gt;40, "High DTI Risk",F225&gt;=25, "Moderate DTI",F225&lt;25, "Low DTI")</f>
        <v>Low DTI</v>
      </c>
      <c r="H225" t="str" cm="1">
        <f t="array" ref="H2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25" t="str">
        <f>_xlfn.XLOOKUP(H225,Reference_Tables!$B$2:$B$7,Reference_Tables!$C$2:$C$7,,0,1)</f>
        <v>VHR</v>
      </c>
      <c r="J225" t="str">
        <f>INDEX(Reference_Tables!$D$11:$D$36,MATCH(LoanData[[#This Row],[Branch]],Reference_Tables!$A$11:$A$36,0))</f>
        <v>Puja Chatterjee</v>
      </c>
      <c r="L225" s="35"/>
    </row>
    <row r="226" spans="2:12" ht="15.6" x14ac:dyDescent="0.3">
      <c r="B226" s="15">
        <f>DATEDIF(Loan_Data!K:K,Loan_Data!L:L,"D")</f>
        <v>13</v>
      </c>
      <c r="C226" s="15">
        <f ca="1">DATEDIF(LoanData[[#This Row],[Approval_Date]],TODAY(),"M")</f>
        <v>42</v>
      </c>
      <c r="D226" s="31">
        <f>EDATE(LoanData[[#This Row],[Approval_Date]],LoanData[[#This Row],[Loan_Term_Months]])</f>
        <v>45676</v>
      </c>
      <c r="E226" t="str">
        <f t="shared" ca="1" si="3"/>
        <v>YES</v>
      </c>
      <c r="F226" s="33">
        <f>IFERROR(LoanData[[#This Row],[EMI]]/LoanData[[#This Row],[Monthly_Income]]*100," ")</f>
        <v>60.360323618705692</v>
      </c>
      <c r="G226" t="str" cm="1">
        <f t="array" ref="G226">_xlfn.IFS(F226&gt;40, "High DTI Risk",F226&gt;=25, "Moderate DTI",F226&lt;25, "Low DTI")</f>
        <v>High DTI Risk</v>
      </c>
      <c r="H226" t="str" cm="1">
        <f t="array" ref="H2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26" t="str">
        <f>_xlfn.XLOOKUP(H226,Reference_Tables!$B$2:$B$7,Reference_Tables!$C$2:$C$7,,0,1)</f>
        <v>MR</v>
      </c>
      <c r="J226" t="str">
        <f>INDEX(Reference_Tables!$D$11:$D$36,MATCH(LoanData[[#This Row],[Branch]],Reference_Tables!$A$11:$A$36,0))</f>
        <v>Nilesh Shah</v>
      </c>
      <c r="L226" s="35"/>
    </row>
    <row r="227" spans="2:12" ht="15.6" x14ac:dyDescent="0.3">
      <c r="B227" s="15">
        <f>DATEDIF(Loan_Data!K:K,Loan_Data!L:L,"D")</f>
        <v>8</v>
      </c>
      <c r="C227" s="15">
        <f ca="1">DATEDIF(LoanData[[#This Row],[Approval_Date]],TODAY(),"M")</f>
        <v>46</v>
      </c>
      <c r="D227" s="31">
        <f>EDATE(LoanData[[#This Row],[Approval_Date]],LoanData[[#This Row],[Loan_Term_Months]])</f>
        <v>48496</v>
      </c>
      <c r="E227" t="str">
        <f t="shared" ca="1" si="3"/>
        <v>NO</v>
      </c>
      <c r="F227" s="33">
        <f>IFERROR(LoanData[[#This Row],[EMI]]/LoanData[[#This Row],[Monthly_Income]]*100," ")</f>
        <v>7.6968935357394184</v>
      </c>
      <c r="G227" t="str" cm="1">
        <f t="array" ref="G227">_xlfn.IFS(F227&gt;40, "High DTI Risk",F227&gt;=25, "Moderate DTI",F227&lt;25, "Low DTI")</f>
        <v>Low DTI</v>
      </c>
      <c r="H227" t="str" cm="1">
        <f t="array" ref="H2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27" t="str">
        <f>_xlfn.XLOOKUP(H227,Reference_Tables!$B$2:$B$7,Reference_Tables!$C$2:$C$7,,0,1)</f>
        <v>VHR</v>
      </c>
      <c r="J227" t="str">
        <f>INDEX(Reference_Tables!$D$11:$D$36,MATCH(LoanData[[#This Row],[Branch]],Reference_Tables!$A$11:$A$36,0))</f>
        <v>Arvind Pillai</v>
      </c>
      <c r="L227" s="35"/>
    </row>
    <row r="228" spans="2:12" ht="15.6" x14ac:dyDescent="0.3">
      <c r="B228" s="15">
        <f>DATEDIF(Loan_Data!K:K,Loan_Data!L:L,"D")</f>
        <v>7</v>
      </c>
      <c r="C228" s="15">
        <f ca="1">DATEDIF(LoanData[[#This Row],[Approval_Date]],TODAY(),"M")</f>
        <v>37</v>
      </c>
      <c r="D228" s="31">
        <f>EDATE(LoanData[[#This Row],[Approval_Date]],LoanData[[#This Row],[Loan_Term_Months]])</f>
        <v>48776</v>
      </c>
      <c r="E228" t="str">
        <f t="shared" ca="1" si="3"/>
        <v>NO</v>
      </c>
      <c r="F228" s="33">
        <f>IFERROR(LoanData[[#This Row],[EMI]]/LoanData[[#This Row],[Monthly_Income]]*100," ")</f>
        <v>30.440893026130283</v>
      </c>
      <c r="G228" t="str" cm="1">
        <f t="array" ref="G228">_xlfn.IFS(F228&gt;40, "High DTI Risk",F228&gt;=25, "Moderate DTI",F228&lt;25, "Low DTI")</f>
        <v>Moderate DTI</v>
      </c>
      <c r="H228" t="str" cm="1">
        <f t="array" ref="H2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28" t="str">
        <f>_xlfn.XLOOKUP(H228,Reference_Tables!$B$2:$B$7,Reference_Tables!$C$2:$C$7,,0,1)</f>
        <v>VHR</v>
      </c>
      <c r="J228" t="str">
        <f>INDEX(Reference_Tables!$D$11:$D$36,MATCH(LoanData[[#This Row],[Branch]],Reference_Tables!$A$11:$A$36,0))</f>
        <v>Priya Yadav</v>
      </c>
      <c r="L228" s="35"/>
    </row>
    <row r="229" spans="2:12" ht="15.6" x14ac:dyDescent="0.3">
      <c r="B229" s="15">
        <f>DATEDIF(Loan_Data!K:K,Loan_Data!L:L,"D")</f>
        <v>24</v>
      </c>
      <c r="C229" s="15">
        <f ca="1">DATEDIF(LoanData[[#This Row],[Approval_Date]],TODAY(),"M")</f>
        <v>64</v>
      </c>
      <c r="D229" s="31">
        <f>EDATE(LoanData[[#This Row],[Approval_Date]],LoanData[[#This Row],[Loan_Term_Months]])</f>
        <v>44667</v>
      </c>
      <c r="E229" t="str">
        <f t="shared" ca="1" si="3"/>
        <v>YES</v>
      </c>
      <c r="F229" s="33">
        <f>IFERROR(LoanData[[#This Row],[EMI]]/LoanData[[#This Row],[Monthly_Income]]*100," ")</f>
        <v>31.375716948666476</v>
      </c>
      <c r="G229" t="str" cm="1">
        <f t="array" ref="G229">_xlfn.IFS(F229&gt;40, "High DTI Risk",F229&gt;=25, "Moderate DTI",F229&lt;25, "Low DTI")</f>
        <v>Moderate DTI</v>
      </c>
      <c r="H229" t="str" cm="1">
        <f t="array" ref="H2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29" t="str">
        <f>_xlfn.XLOOKUP(H229,Reference_Tables!$B$2:$B$7,Reference_Tables!$C$2:$C$7,,0,1)</f>
        <v>LR</v>
      </c>
      <c r="J229" t="str">
        <f>INDEX(Reference_Tables!$D$11:$D$36,MATCH(LoanData[[#This Row],[Branch]],Reference_Tables!$A$11:$A$36,0))</f>
        <v>Suresh Menon</v>
      </c>
      <c r="L229" s="35"/>
    </row>
    <row r="230" spans="2:12" ht="15.6" x14ac:dyDescent="0.3">
      <c r="B230" s="15">
        <f>DATEDIF(Loan_Data!K:K,Loan_Data!L:L,"D")</f>
        <v>8</v>
      </c>
      <c r="C230" s="15">
        <f ca="1">DATEDIF(LoanData[[#This Row],[Approval_Date]],TODAY(),"M")</f>
        <v>37</v>
      </c>
      <c r="D230" s="31">
        <f>EDATE(LoanData[[#This Row],[Approval_Date]],LoanData[[#This Row],[Loan_Term_Months]])</f>
        <v>47682</v>
      </c>
      <c r="E230" t="str">
        <f t="shared" ca="1" si="3"/>
        <v>NO</v>
      </c>
      <c r="F230" s="33">
        <f>IFERROR(LoanData[[#This Row],[EMI]]/LoanData[[#This Row],[Monthly_Income]]*100," ")</f>
        <v>10.138019828155981</v>
      </c>
      <c r="G230" t="str" cm="1">
        <f t="array" ref="G230">_xlfn.IFS(F230&gt;40, "High DTI Risk",F230&gt;=25, "Moderate DTI",F230&lt;25, "Low DTI")</f>
        <v>Low DTI</v>
      </c>
      <c r="H230" t="str" cm="1">
        <f t="array" ref="H2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30" t="str">
        <f>_xlfn.XLOOKUP(H230,Reference_Tables!$B$2:$B$7,Reference_Tables!$C$2:$C$7,,0,1)</f>
        <v>VHR</v>
      </c>
      <c r="J230" t="str">
        <f>INDEX(Reference_Tables!$D$11:$D$36,MATCH(LoanData[[#This Row],[Branch]],Reference_Tables!$A$11:$A$36,0))</f>
        <v>Hetal Patel</v>
      </c>
      <c r="L230" s="35"/>
    </row>
    <row r="231" spans="2:12" ht="15.6" x14ac:dyDescent="0.3">
      <c r="B231" s="15">
        <f>DATEDIF(Loan_Data!K:K,Loan_Data!L:L,"D")</f>
        <v>9</v>
      </c>
      <c r="C231" s="15">
        <f ca="1">DATEDIF(LoanData[[#This Row],[Approval_Date]],TODAY(),"M")</f>
        <v>34</v>
      </c>
      <c r="D231" s="31">
        <f>EDATE(LoanData[[#This Row],[Approval_Date]],LoanData[[#This Row],[Loan_Term_Months]])</f>
        <v>48854</v>
      </c>
      <c r="E231" t="str">
        <f t="shared" ca="1" si="3"/>
        <v>NO</v>
      </c>
      <c r="F231" s="33">
        <f>IFERROR(LoanData[[#This Row],[EMI]]/LoanData[[#This Row],[Monthly_Income]]*100," ")</f>
        <v>40.64504531875032</v>
      </c>
      <c r="G231" t="str" cm="1">
        <f t="array" ref="G231">_xlfn.IFS(F231&gt;40, "High DTI Risk",F231&gt;=25, "Moderate DTI",F231&lt;25, "Low DTI")</f>
        <v>High DTI Risk</v>
      </c>
      <c r="H231" t="str" cm="1">
        <f t="array" ref="H2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31" t="str">
        <f>_xlfn.XLOOKUP(H231,Reference_Tables!$B$2:$B$7,Reference_Tables!$C$2:$C$7,,0,1)</f>
        <v>MR</v>
      </c>
      <c r="J231" t="str">
        <f>INDEX(Reference_Tables!$D$11:$D$36,MATCH(LoanData[[#This Row],[Branch]],Reference_Tables!$A$11:$A$36,0))</f>
        <v>Puja Chatterjee</v>
      </c>
      <c r="L231" s="35"/>
    </row>
    <row r="232" spans="2:12" ht="15.6" x14ac:dyDescent="0.3">
      <c r="B232" s="15">
        <f>DATEDIF(Loan_Data!K:K,Loan_Data!L:L,"D")</f>
        <v>22</v>
      </c>
      <c r="C232" s="15">
        <f ca="1">DATEDIF(LoanData[[#This Row],[Approval_Date]],TODAY(),"M")</f>
        <v>56</v>
      </c>
      <c r="D232" s="31">
        <f>EDATE(LoanData[[#This Row],[Approval_Date]],LoanData[[#This Row],[Loan_Term_Months]])</f>
        <v>45980</v>
      </c>
      <c r="E232" t="str">
        <f t="shared" ca="1" si="3"/>
        <v>YES</v>
      </c>
      <c r="F232" s="33">
        <f>IFERROR(LoanData[[#This Row],[EMI]]/LoanData[[#This Row],[Monthly_Income]]*100," ")</f>
        <v>11.699431495167708</v>
      </c>
      <c r="G232" t="str" cm="1">
        <f t="array" ref="G232">_xlfn.IFS(F232&gt;40, "High DTI Risk",F232&gt;=25, "Moderate DTI",F232&lt;25, "Low DTI")</f>
        <v>Low DTI</v>
      </c>
      <c r="H232" t="str" cm="1">
        <f t="array" ref="H2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32" t="str">
        <f>_xlfn.XLOOKUP(H232,Reference_Tables!$B$2:$B$7,Reference_Tables!$C$2:$C$7,,0,1)</f>
        <v>VHR</v>
      </c>
      <c r="J232" t="str">
        <f>INDEX(Reference_Tables!$D$11:$D$36,MATCH(LoanData[[#This Row],[Branch]],Reference_Tables!$A$11:$A$36,0))</f>
        <v>Priyanka Gupta</v>
      </c>
      <c r="L232" s="35"/>
    </row>
    <row r="233" spans="2:12" ht="15.6" x14ac:dyDescent="0.3">
      <c r="B233" s="15">
        <f>DATEDIF(Loan_Data!K:K,Loan_Data!L:L,"D")</f>
        <v>18</v>
      </c>
      <c r="C233" s="15">
        <f ca="1">DATEDIF(LoanData[[#This Row],[Approval_Date]],TODAY(),"M")</f>
        <v>66</v>
      </c>
      <c r="D233" s="31">
        <f>EDATE(LoanData[[#This Row],[Approval_Date]],LoanData[[#This Row],[Loan_Term_Months]])</f>
        <v>46065</v>
      </c>
      <c r="E233" t="str">
        <f t="shared" ca="1" si="3"/>
        <v>YES</v>
      </c>
      <c r="F233" s="33">
        <f>IFERROR(LoanData[[#This Row],[EMI]]/LoanData[[#This Row],[Monthly_Income]]*100," ")</f>
        <v>255.70360271508963</v>
      </c>
      <c r="G233" t="str" cm="1">
        <f t="array" ref="G233">_xlfn.IFS(F233&gt;40, "High DTI Risk",F233&gt;=25, "Moderate DTI",F233&lt;25, "Low DTI")</f>
        <v>High DTI Risk</v>
      </c>
      <c r="H233" t="str" cm="1">
        <f t="array" ref="H2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33" t="str">
        <f>_xlfn.XLOOKUP(H233,Reference_Tables!$B$2:$B$7,Reference_Tables!$C$2:$C$7,,0,1)</f>
        <v>MR</v>
      </c>
      <c r="J233" t="str">
        <f>INDEX(Reference_Tables!$D$11:$D$36,MATCH(LoanData[[#This Row],[Branch]],Reference_Tables!$A$11:$A$36,0))</f>
        <v>Jigar Mehta</v>
      </c>
      <c r="L233" s="35"/>
    </row>
    <row r="234" spans="2:12" ht="15.6" x14ac:dyDescent="0.3">
      <c r="B234" s="15">
        <f>DATEDIF(Loan_Data!K:K,Loan_Data!L:L,"D")</f>
        <v>3</v>
      </c>
      <c r="C234" s="15">
        <f ca="1">DATEDIF(LoanData[[#This Row],[Approval_Date]],TODAY(),"M")</f>
        <v>31</v>
      </c>
      <c r="D234" s="31">
        <f>EDATE(LoanData[[#This Row],[Approval_Date]],LoanData[[#This Row],[Loan_Term_Months]])</f>
        <v>47122</v>
      </c>
      <c r="E234" t="str">
        <f t="shared" ca="1" si="3"/>
        <v>NO</v>
      </c>
      <c r="F234" s="33">
        <f>IFERROR(LoanData[[#This Row],[EMI]]/LoanData[[#This Row],[Monthly_Income]]*100," ")</f>
        <v>5.6990346682943924</v>
      </c>
      <c r="G234" t="str" cm="1">
        <f t="array" ref="G234">_xlfn.IFS(F234&gt;40, "High DTI Risk",F234&gt;=25, "Moderate DTI",F234&lt;25, "Low DTI")</f>
        <v>Low DTI</v>
      </c>
      <c r="H234" t="str" cm="1">
        <f t="array" ref="H2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34" t="str">
        <f>_xlfn.XLOOKUP(H234,Reference_Tables!$B$2:$B$7,Reference_Tables!$C$2:$C$7,,0,1)</f>
        <v>VHR</v>
      </c>
      <c r="J234" t="str">
        <f>INDEX(Reference_Tables!$D$11:$D$36,MATCH(LoanData[[#This Row],[Branch]],Reference_Tables!$A$11:$A$36,0))</f>
        <v>Debashis Das</v>
      </c>
      <c r="L234" s="35"/>
    </row>
    <row r="235" spans="2:12" ht="15.6" x14ac:dyDescent="0.3">
      <c r="B235" s="15">
        <f>DATEDIF(Loan_Data!K:K,Loan_Data!L:L,"D")</f>
        <v>15</v>
      </c>
      <c r="C235" s="15">
        <f ca="1">DATEDIF(LoanData[[#This Row],[Approval_Date]],TODAY(),"M")</f>
        <v>38</v>
      </c>
      <c r="D235" s="31">
        <f>EDATE(LoanData[[#This Row],[Approval_Date]],LoanData[[#This Row],[Loan_Term_Months]])</f>
        <v>46913</v>
      </c>
      <c r="E235" t="str">
        <f t="shared" ca="1" si="3"/>
        <v>NO</v>
      </c>
      <c r="F235" s="33">
        <f>IFERROR(LoanData[[#This Row],[EMI]]/LoanData[[#This Row],[Monthly_Income]]*100," ")</f>
        <v>24.734815980167809</v>
      </c>
      <c r="G235" t="str" cm="1">
        <f t="array" ref="G235">_xlfn.IFS(F235&gt;40, "High DTI Risk",F235&gt;=25, "Moderate DTI",F235&lt;25, "Low DTI")</f>
        <v>Low DTI</v>
      </c>
      <c r="H235" t="str" cm="1">
        <f t="array" ref="H2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35" t="str">
        <f>_xlfn.XLOOKUP(H235,Reference_Tables!$B$2:$B$7,Reference_Tables!$C$2:$C$7,,0,1)</f>
        <v>VHR</v>
      </c>
      <c r="J235" t="str">
        <f>INDEX(Reference_Tables!$D$11:$D$36,MATCH(LoanData[[#This Row],[Branch]],Reference_Tables!$A$11:$A$36,0))</f>
        <v>Vikram Malhotra</v>
      </c>
      <c r="L235" s="35"/>
    </row>
    <row r="236" spans="2:12" ht="15.6" x14ac:dyDescent="0.3">
      <c r="B236" s="15">
        <f>DATEDIF(Loan_Data!K:K,Loan_Data!L:L,"D")</f>
        <v>30</v>
      </c>
      <c r="C236" s="15">
        <f ca="1">DATEDIF(LoanData[[#This Row],[Approval_Date]],TODAY(),"M")</f>
        <v>58</v>
      </c>
      <c r="D236" s="31">
        <f>EDATE(LoanData[[#This Row],[Approval_Date]],LoanData[[#This Row],[Loan_Term_Months]])</f>
        <v>44850</v>
      </c>
      <c r="E236" t="str">
        <f t="shared" ca="1" si="3"/>
        <v>YES</v>
      </c>
      <c r="F236" s="33">
        <f>IFERROR(LoanData[[#This Row],[EMI]]/LoanData[[#This Row],[Monthly_Income]]*100," ")</f>
        <v>56.547254797870117</v>
      </c>
      <c r="G236" t="str" cm="1">
        <f t="array" ref="G236">_xlfn.IFS(F236&gt;40, "High DTI Risk",F236&gt;=25, "Moderate DTI",F236&lt;25, "Low DTI")</f>
        <v>High DTI Risk</v>
      </c>
      <c r="H236" t="str" cm="1">
        <f t="array" ref="H2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36" t="str">
        <f>_xlfn.XLOOKUP(H236,Reference_Tables!$B$2:$B$7,Reference_Tables!$C$2:$C$7,,0,1)</f>
        <v>HR</v>
      </c>
      <c r="J236" t="str">
        <f>INDEX(Reference_Tables!$D$11:$D$36,MATCH(LoanData[[#This Row],[Branch]],Reference_Tables!$A$11:$A$36,0))</f>
        <v>Priya Yadav</v>
      </c>
      <c r="L236" s="35"/>
    </row>
    <row r="237" spans="2:12" ht="15.6" x14ac:dyDescent="0.3">
      <c r="B237" s="15">
        <f>DATEDIF(Loan_Data!K:K,Loan_Data!L:L,"D")</f>
        <v>11</v>
      </c>
      <c r="C237" s="15">
        <f ca="1">DATEDIF(LoanData[[#This Row],[Approval_Date]],TODAY(),"M")</f>
        <v>62</v>
      </c>
      <c r="D237" s="31">
        <f>EDATE(LoanData[[#This Row],[Approval_Date]],LoanData[[#This Row],[Loan_Term_Months]])</f>
        <v>46164</v>
      </c>
      <c r="E237" t="str">
        <f t="shared" ca="1" si="3"/>
        <v>YES</v>
      </c>
      <c r="F237" s="33">
        <f>IFERROR(LoanData[[#This Row],[EMI]]/LoanData[[#This Row],[Monthly_Income]]*100," ")</f>
        <v>79.123959066992583</v>
      </c>
      <c r="G237" t="str" cm="1">
        <f t="array" ref="G237">_xlfn.IFS(F237&gt;40, "High DTI Risk",F237&gt;=25, "Moderate DTI",F237&lt;25, "Low DTI")</f>
        <v>High DTI Risk</v>
      </c>
      <c r="H237" t="str" cm="1">
        <f t="array" ref="H2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37" t="str">
        <f>_xlfn.XLOOKUP(H237,Reference_Tables!$B$2:$B$7,Reference_Tables!$C$2:$C$7,,0,1)</f>
        <v>VHR</v>
      </c>
      <c r="J237" t="str">
        <f>INDEX(Reference_Tables!$D$11:$D$36,MATCH(LoanData[[#This Row],[Branch]],Reference_Tables!$A$11:$A$36,0))</f>
        <v>Amit Kumar</v>
      </c>
      <c r="L237" s="35"/>
    </row>
    <row r="238" spans="2:12" ht="15.6" x14ac:dyDescent="0.3">
      <c r="B238" s="15">
        <f>DATEDIF(Loan_Data!K:K,Loan_Data!L:L,"D")</f>
        <v>24</v>
      </c>
      <c r="C238" s="15">
        <f ca="1">DATEDIF(LoanData[[#This Row],[Approval_Date]],TODAY(),"M")</f>
        <v>51</v>
      </c>
      <c r="D238" s="31">
        <f>EDATE(LoanData[[#This Row],[Approval_Date]],LoanData[[#This Row],[Loan_Term_Months]])</f>
        <v>45420</v>
      </c>
      <c r="E238" t="str">
        <f t="shared" ca="1" si="3"/>
        <v>YES</v>
      </c>
      <c r="F238" s="33">
        <f>IFERROR(LoanData[[#This Row],[EMI]]/LoanData[[#This Row],[Monthly_Income]]*100," ")</f>
        <v>13.581466994357713</v>
      </c>
      <c r="G238" t="str" cm="1">
        <f t="array" ref="G238">_xlfn.IFS(F238&gt;40, "High DTI Risk",F238&gt;=25, "Moderate DTI",F238&lt;25, "Low DTI")</f>
        <v>Low DTI</v>
      </c>
      <c r="H238" t="str" cm="1">
        <f t="array" ref="H2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38" t="str">
        <f>_xlfn.XLOOKUP(H238,Reference_Tables!$B$2:$B$7,Reference_Tables!$C$2:$C$7,,0,1)</f>
        <v>HR</v>
      </c>
      <c r="J238" t="str">
        <f>INDEX(Reference_Tables!$D$11:$D$36,MATCH(LoanData[[#This Row],[Branch]],Reference_Tables!$A$11:$A$36,0))</f>
        <v>Anil Mishra</v>
      </c>
      <c r="L238" s="35"/>
    </row>
    <row r="239" spans="2:12" ht="15.6" x14ac:dyDescent="0.3">
      <c r="B239" s="15">
        <f>DATEDIF(Loan_Data!K:K,Loan_Data!L:L,"D")</f>
        <v>14</v>
      </c>
      <c r="C239" s="15">
        <f ca="1">DATEDIF(LoanData[[#This Row],[Approval_Date]],TODAY(),"M")</f>
        <v>45</v>
      </c>
      <c r="D239" s="31">
        <f>EDATE(LoanData[[#This Row],[Approval_Date]],LoanData[[#This Row],[Loan_Term_Months]])</f>
        <v>50356</v>
      </c>
      <c r="E239" t="str">
        <f t="shared" ca="1" si="3"/>
        <v>NO</v>
      </c>
      <c r="F239" s="33" t="str">
        <f>IFERROR(LoanData[[#This Row],[EMI]]/LoanData[[#This Row],[Monthly_Income]]*100," ")</f>
        <v xml:space="preserve"> </v>
      </c>
      <c r="G239" t="str" cm="1">
        <f t="array" ref="G239">_xlfn.IFS(F239&gt;40, "High DTI Risk",F239&gt;=25, "Moderate DTI",F239&lt;25, "Low DTI")</f>
        <v>High DTI Risk</v>
      </c>
      <c r="H239" t="str" cm="1">
        <f t="array" ref="H2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39" t="str">
        <f>_xlfn.XLOOKUP(H239,Reference_Tables!$B$2:$B$7,Reference_Tables!$C$2:$C$7,,0,1)</f>
        <v>VHR</v>
      </c>
      <c r="J239" t="str">
        <f>INDEX(Reference_Tables!$D$11:$D$36,MATCH(LoanData[[#This Row],[Branch]],Reference_Tables!$A$11:$A$36,0))</f>
        <v>Lakshmi Reddy</v>
      </c>
      <c r="L239" s="35"/>
    </row>
    <row r="240" spans="2:12" ht="15.6" x14ac:dyDescent="0.3">
      <c r="B240" s="15">
        <f>DATEDIF(Loan_Data!K:K,Loan_Data!L:L,"D")</f>
        <v>23</v>
      </c>
      <c r="C240" s="15">
        <f ca="1">DATEDIF(LoanData[[#This Row],[Approval_Date]],TODAY(),"M")</f>
        <v>31</v>
      </c>
      <c r="D240" s="31">
        <f>EDATE(LoanData[[#This Row],[Approval_Date]],LoanData[[#This Row],[Loan_Term_Months]])</f>
        <v>47847</v>
      </c>
      <c r="E240" t="str">
        <f t="shared" ca="1" si="3"/>
        <v>NO</v>
      </c>
      <c r="F240" s="33">
        <f>IFERROR(LoanData[[#This Row],[EMI]]/LoanData[[#This Row],[Monthly_Income]]*100," ")</f>
        <v>12.051522502625005</v>
      </c>
      <c r="G240" t="str" cm="1">
        <f t="array" ref="G240">_xlfn.IFS(F240&gt;40, "High DTI Risk",F240&gt;=25, "Moderate DTI",F240&lt;25, "Low DTI")</f>
        <v>Low DTI</v>
      </c>
      <c r="H240" t="str" cm="1">
        <f t="array" ref="H2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40" t="str">
        <f>_xlfn.XLOOKUP(H240,Reference_Tables!$B$2:$B$7,Reference_Tables!$C$2:$C$7,,0,1)</f>
        <v>LR</v>
      </c>
      <c r="J240" t="str">
        <f>INDEX(Reference_Tables!$D$11:$D$36,MATCH(LoanData[[#This Row],[Branch]],Reference_Tables!$A$11:$A$36,0))</f>
        <v>Lakshmi Reddy</v>
      </c>
      <c r="L240" s="35"/>
    </row>
    <row r="241" spans="2:12" ht="15.6" x14ac:dyDescent="0.3">
      <c r="B241" s="15">
        <f>DATEDIF(Loan_Data!K:K,Loan_Data!L:L,"D")</f>
        <v>18</v>
      </c>
      <c r="C241" s="15">
        <f ca="1">DATEDIF(LoanData[[#This Row],[Approval_Date]],TODAY(),"M")</f>
        <v>63</v>
      </c>
      <c r="D241" s="31">
        <f>EDATE(LoanData[[#This Row],[Approval_Date]],LoanData[[#This Row],[Loan_Term_Months]])</f>
        <v>46145</v>
      </c>
      <c r="E241" t="str">
        <f t="shared" ca="1" si="3"/>
        <v>YES</v>
      </c>
      <c r="F241" s="33">
        <f>IFERROR(LoanData[[#This Row],[EMI]]/LoanData[[#This Row],[Monthly_Income]]*100," ")</f>
        <v>136.91917024320458</v>
      </c>
      <c r="G241" t="str" cm="1">
        <f t="array" ref="G241">_xlfn.IFS(F241&gt;40, "High DTI Risk",F241&gt;=25, "Moderate DTI",F241&lt;25, "Low DTI")</f>
        <v>High DTI Risk</v>
      </c>
      <c r="H241" t="str" cm="1">
        <f t="array" ref="H2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41" t="str">
        <f>_xlfn.XLOOKUP(H241,Reference_Tables!$B$2:$B$7,Reference_Tables!$C$2:$C$7,,0,1)</f>
        <v>VHR</v>
      </c>
      <c r="J241" t="str">
        <f>INDEX(Reference_Tables!$D$11:$D$36,MATCH(LoanData[[#This Row],[Branch]],Reference_Tables!$A$11:$A$36,0))</f>
        <v>Anil Mishra</v>
      </c>
      <c r="L241" s="35"/>
    </row>
    <row r="242" spans="2:12" ht="15.6" x14ac:dyDescent="0.3">
      <c r="B242" s="15">
        <f>DATEDIF(Loan_Data!K:K,Loan_Data!L:L,"D")</f>
        <v>11</v>
      </c>
      <c r="C242" s="15">
        <f ca="1">DATEDIF(LoanData[[#This Row],[Approval_Date]],TODAY(),"M")</f>
        <v>39</v>
      </c>
      <c r="D242" s="31">
        <f>EDATE(LoanData[[#This Row],[Approval_Date]],LoanData[[#This Row],[Loan_Term_Months]])</f>
        <v>45775</v>
      </c>
      <c r="E242" t="str">
        <f t="shared" ca="1" si="3"/>
        <v>YES</v>
      </c>
      <c r="F242" s="33">
        <f>IFERROR(LoanData[[#This Row],[EMI]]/LoanData[[#This Row],[Monthly_Income]]*100," ")</f>
        <v>56.496927662839781</v>
      </c>
      <c r="G242" t="str" cm="1">
        <f t="array" ref="G242">_xlfn.IFS(F242&gt;40, "High DTI Risk",F242&gt;=25, "Moderate DTI",F242&lt;25, "Low DTI")</f>
        <v>High DTI Risk</v>
      </c>
      <c r="H242" t="str" cm="1">
        <f t="array" ref="H2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42" t="str">
        <f>_xlfn.XLOOKUP(H242,Reference_Tables!$B$2:$B$7,Reference_Tables!$C$2:$C$7,,0,1)</f>
        <v>LR</v>
      </c>
      <c r="J242" t="str">
        <f>INDEX(Reference_Tables!$D$11:$D$36,MATCH(LoanData[[#This Row],[Branch]],Reference_Tables!$A$11:$A$36,0))</f>
        <v>Santhosh Rao</v>
      </c>
      <c r="L242" s="35"/>
    </row>
    <row r="243" spans="2:12" ht="15.6" x14ac:dyDescent="0.3">
      <c r="B243" s="15">
        <f>DATEDIF(Loan_Data!K:K,Loan_Data!L:L,"D")</f>
        <v>23</v>
      </c>
      <c r="C243" s="15">
        <f ca="1">DATEDIF(LoanData[[#This Row],[Approval_Date]],TODAY(),"M")</f>
        <v>41</v>
      </c>
      <c r="D243" s="31">
        <f>EDATE(LoanData[[#This Row],[Approval_Date]],LoanData[[#This Row],[Loan_Term_Months]])</f>
        <v>46811</v>
      </c>
      <c r="E243" t="str">
        <f t="shared" ca="1" si="3"/>
        <v>NO</v>
      </c>
      <c r="F243" s="33">
        <f>IFERROR(LoanData[[#This Row],[EMI]]/LoanData[[#This Row],[Monthly_Income]]*100," ")</f>
        <v>15.539221129441625</v>
      </c>
      <c r="G243" t="str" cm="1">
        <f t="array" ref="G243">_xlfn.IFS(F243&gt;40, "High DTI Risk",F243&gt;=25, "Moderate DTI",F243&lt;25, "Low DTI")</f>
        <v>Low DTI</v>
      </c>
      <c r="H243" t="str" cm="1">
        <f t="array" ref="H2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43" t="str">
        <f>_xlfn.XLOOKUP(H243,Reference_Tables!$B$2:$B$7,Reference_Tables!$C$2:$C$7,,0,1)</f>
        <v>MR</v>
      </c>
      <c r="J243" t="str">
        <f>INDEX(Reference_Tables!$D$11:$D$36,MATCH(LoanData[[#This Row],[Branch]],Reference_Tables!$A$11:$A$36,0))</f>
        <v>Kavita Joshi</v>
      </c>
      <c r="L243" s="35"/>
    </row>
    <row r="244" spans="2:12" ht="15.6" x14ac:dyDescent="0.3">
      <c r="B244" s="15">
        <f>DATEDIF(Loan_Data!K:K,Loan_Data!L:L,"D")</f>
        <v>18</v>
      </c>
      <c r="C244" s="15">
        <f ca="1">DATEDIF(LoanData[[#This Row],[Approval_Date]],TODAY(),"M")</f>
        <v>50</v>
      </c>
      <c r="D244" s="31">
        <f>EDATE(LoanData[[#This Row],[Approval_Date]],LoanData[[#This Row],[Loan_Term_Months]])</f>
        <v>46185</v>
      </c>
      <c r="E244" t="str">
        <f t="shared" ca="1" si="3"/>
        <v>YES</v>
      </c>
      <c r="F244" s="33">
        <f>IFERROR(LoanData[[#This Row],[EMI]]/LoanData[[#This Row],[Monthly_Income]]*100," ")</f>
        <v>21.738324630093018</v>
      </c>
      <c r="G244" t="str" cm="1">
        <f t="array" ref="G244">_xlfn.IFS(F244&gt;40, "High DTI Risk",F244&gt;=25, "Moderate DTI",F244&lt;25, "Low DTI")</f>
        <v>Low DTI</v>
      </c>
      <c r="H244" t="str" cm="1">
        <f t="array" ref="H2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44" t="str">
        <f>_xlfn.XLOOKUP(H244,Reference_Tables!$B$2:$B$7,Reference_Tables!$C$2:$C$7,,0,1)</f>
        <v>LR</v>
      </c>
      <c r="J244" t="str">
        <f>INDEX(Reference_Tables!$D$11:$D$36,MATCH(LoanData[[#This Row],[Branch]],Reference_Tables!$A$11:$A$36,0))</f>
        <v>Sandeep Saxena</v>
      </c>
      <c r="L244" s="35"/>
    </row>
    <row r="245" spans="2:12" ht="15.6" x14ac:dyDescent="0.3">
      <c r="B245" s="15">
        <f>DATEDIF(Loan_Data!K:K,Loan_Data!L:L,"D")</f>
        <v>26</v>
      </c>
      <c r="C245" s="15">
        <f ca="1">DATEDIF(LoanData[[#This Row],[Approval_Date]],TODAY(),"M")</f>
        <v>63</v>
      </c>
      <c r="D245" s="31">
        <f>EDATE(LoanData[[#This Row],[Approval_Date]],LoanData[[#This Row],[Loan_Term_Months]])</f>
        <v>44671</v>
      </c>
      <c r="E245" t="str">
        <f t="shared" ca="1" si="3"/>
        <v>YES</v>
      </c>
      <c r="F245" s="33">
        <f>IFERROR(LoanData[[#This Row],[EMI]]/LoanData[[#This Row],[Monthly_Income]]*100," ")</f>
        <v>39.643460365718141</v>
      </c>
      <c r="G245" t="str" cm="1">
        <f t="array" ref="G245">_xlfn.IFS(F245&gt;40, "High DTI Risk",F245&gt;=25, "Moderate DTI",F245&lt;25, "Low DTI")</f>
        <v>Moderate DTI</v>
      </c>
      <c r="H245" t="str" cm="1">
        <f t="array" ref="H2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45" t="str">
        <f>_xlfn.XLOOKUP(H245,Reference_Tables!$B$2:$B$7,Reference_Tables!$C$2:$C$7,,0,1)</f>
        <v>MR</v>
      </c>
      <c r="J245" t="str">
        <f>INDEX(Reference_Tables!$D$11:$D$36,MATCH(LoanData[[#This Row],[Branch]],Reference_Tables!$A$11:$A$36,0))</f>
        <v>Deepak Nair</v>
      </c>
      <c r="L245" s="35"/>
    </row>
    <row r="246" spans="2:12" ht="15.6" x14ac:dyDescent="0.3">
      <c r="B246" s="15">
        <f>DATEDIF(Loan_Data!K:K,Loan_Data!L:L,"D")</f>
        <v>14</v>
      </c>
      <c r="C246" s="15">
        <f ca="1">DATEDIF(LoanData[[#This Row],[Approval_Date]],TODAY(),"M")</f>
        <v>66</v>
      </c>
      <c r="D246" s="31">
        <f>EDATE(LoanData[[#This Row],[Approval_Date]],LoanData[[#This Row],[Loan_Term_Months]])</f>
        <v>45696</v>
      </c>
      <c r="E246" t="str">
        <f t="shared" ca="1" si="3"/>
        <v>YES</v>
      </c>
      <c r="F246" s="33">
        <f>IFERROR(LoanData[[#This Row],[EMI]]/LoanData[[#This Row],[Monthly_Income]]*100," ")</f>
        <v>25.100064408440225</v>
      </c>
      <c r="G246" t="str" cm="1">
        <f t="array" ref="G246">_xlfn.IFS(F246&gt;40, "High DTI Risk",F246&gt;=25, "Moderate DTI",F246&lt;25, "Low DTI")</f>
        <v>Moderate DTI</v>
      </c>
      <c r="H246" t="str" cm="1">
        <f t="array" ref="H2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46" t="str">
        <f>_xlfn.XLOOKUP(H246,Reference_Tables!$B$2:$B$7,Reference_Tables!$C$2:$C$7,,0,1)</f>
        <v>VHR</v>
      </c>
      <c r="J246" t="str">
        <f>INDEX(Reference_Tables!$D$11:$D$36,MATCH(LoanData[[#This Row],[Branch]],Reference_Tables!$A$11:$A$36,0))</f>
        <v>Jigar Mehta</v>
      </c>
      <c r="L246" s="35"/>
    </row>
    <row r="247" spans="2:12" ht="15.6" x14ac:dyDescent="0.3">
      <c r="B247" s="15">
        <f>DATEDIF(Loan_Data!K:K,Loan_Data!L:L,"D")</f>
        <v>15</v>
      </c>
      <c r="C247" s="15">
        <f ca="1">DATEDIF(LoanData[[#This Row],[Approval_Date]],TODAY(),"M")</f>
        <v>51</v>
      </c>
      <c r="D247" s="31">
        <f>EDATE(LoanData[[#This Row],[Approval_Date]],LoanData[[#This Row],[Loan_Term_Months]])</f>
        <v>46144</v>
      </c>
      <c r="E247" t="str">
        <f t="shared" ca="1" si="3"/>
        <v>YES</v>
      </c>
      <c r="F247" s="33">
        <f>IFERROR(LoanData[[#This Row],[EMI]]/LoanData[[#This Row],[Monthly_Income]]*100," ")</f>
        <v>104.8436944937833</v>
      </c>
      <c r="G247" t="str" cm="1">
        <f t="array" ref="G247">_xlfn.IFS(F247&gt;40, "High DTI Risk",F247&gt;=25, "Moderate DTI",F247&lt;25, "Low DTI")</f>
        <v>High DTI Risk</v>
      </c>
      <c r="H247" t="str" cm="1">
        <f t="array" ref="H2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47" t="str">
        <f>_xlfn.XLOOKUP(H247,Reference_Tables!$B$2:$B$7,Reference_Tables!$C$2:$C$7,,0,1)</f>
        <v>LR</v>
      </c>
      <c r="J247" t="str">
        <f>INDEX(Reference_Tables!$D$11:$D$36,MATCH(LoanData[[#This Row],[Branch]],Reference_Tables!$A$11:$A$36,0))</f>
        <v>Priya Yadav</v>
      </c>
      <c r="L247" s="35"/>
    </row>
    <row r="248" spans="2:12" ht="15.6" x14ac:dyDescent="0.3">
      <c r="B248" s="15">
        <f>DATEDIF(Loan_Data!K:K,Loan_Data!L:L,"D")</f>
        <v>15</v>
      </c>
      <c r="C248" s="15">
        <f ca="1">DATEDIF(LoanData[[#This Row],[Approval_Date]],TODAY(),"M")</f>
        <v>40</v>
      </c>
      <c r="D248" s="31">
        <f>EDATE(LoanData[[#This Row],[Approval_Date]],LoanData[[#This Row],[Loan_Term_Months]])</f>
        <v>52317</v>
      </c>
      <c r="E248" t="str">
        <f t="shared" ca="1" si="3"/>
        <v>NO</v>
      </c>
      <c r="F248" s="33">
        <f>IFERROR(LoanData[[#This Row],[EMI]]/LoanData[[#This Row],[Monthly_Income]]*100," ")</f>
        <v>10.140314642700979</v>
      </c>
      <c r="G248" t="str" cm="1">
        <f t="array" ref="G248">_xlfn.IFS(F248&gt;40, "High DTI Risk",F248&gt;=25, "Moderate DTI",F248&lt;25, "Low DTI")</f>
        <v>Low DTI</v>
      </c>
      <c r="H248" t="str" cm="1">
        <f t="array" ref="H2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48" t="str">
        <f>_xlfn.XLOOKUP(H248,Reference_Tables!$B$2:$B$7,Reference_Tables!$C$2:$C$7,,0,1)</f>
        <v>LR</v>
      </c>
      <c r="J248" t="str">
        <f>INDEX(Reference_Tables!$D$11:$D$36,MATCH(LoanData[[#This Row],[Branch]],Reference_Tables!$A$11:$A$36,0))</f>
        <v>Vikram Malhotra</v>
      </c>
      <c r="L248" s="35"/>
    </row>
    <row r="249" spans="2:12" ht="15.6" x14ac:dyDescent="0.3">
      <c r="B249" s="15">
        <f>DATEDIF(Loan_Data!K:K,Loan_Data!L:L,"D")</f>
        <v>13</v>
      </c>
      <c r="C249" s="15">
        <f ca="1">DATEDIF(LoanData[[#This Row],[Approval_Date]],TODAY(),"M")</f>
        <v>31</v>
      </c>
      <c r="D249" s="31">
        <f>EDATE(LoanData[[#This Row],[Approval_Date]],LoanData[[#This Row],[Loan_Term_Months]])</f>
        <v>46380</v>
      </c>
      <c r="E249" t="str">
        <f t="shared" ca="1" si="3"/>
        <v>NO</v>
      </c>
      <c r="F249" s="33">
        <f>IFERROR(LoanData[[#This Row],[EMI]]/LoanData[[#This Row],[Monthly_Income]]*100," ")</f>
        <v>31.255595205201615</v>
      </c>
      <c r="G249" t="str" cm="1">
        <f t="array" ref="G249">_xlfn.IFS(F249&gt;40, "High DTI Risk",F249&gt;=25, "Moderate DTI",F249&lt;25, "Low DTI")</f>
        <v>Moderate DTI</v>
      </c>
      <c r="H249" t="str" cm="1">
        <f t="array" ref="H2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49" t="str">
        <f>_xlfn.XLOOKUP(H249,Reference_Tables!$B$2:$B$7,Reference_Tables!$C$2:$C$7,,0,1)</f>
        <v>LR</v>
      </c>
      <c r="J249" t="str">
        <f>INDEX(Reference_Tables!$D$11:$D$36,MATCH(LoanData[[#This Row],[Branch]],Reference_Tables!$A$11:$A$36,0))</f>
        <v>Nilesh Shah</v>
      </c>
      <c r="L249" s="35"/>
    </row>
    <row r="250" spans="2:12" ht="15.6" x14ac:dyDescent="0.3">
      <c r="B250" s="15">
        <f>DATEDIF(Loan_Data!K:K,Loan_Data!L:L,"D")</f>
        <v>27</v>
      </c>
      <c r="C250" s="15">
        <f ca="1">DATEDIF(LoanData[[#This Row],[Approval_Date]],TODAY(),"M")</f>
        <v>47</v>
      </c>
      <c r="D250" s="31">
        <f>EDATE(LoanData[[#This Row],[Approval_Date]],LoanData[[#This Row],[Loan_Term_Months]])</f>
        <v>45182</v>
      </c>
      <c r="E250" t="str">
        <f t="shared" ca="1" si="3"/>
        <v>YES</v>
      </c>
      <c r="F250" s="33">
        <f>IFERROR(LoanData[[#This Row],[EMI]]/LoanData[[#This Row],[Monthly_Income]]*100," ")</f>
        <v>610.83533842103509</v>
      </c>
      <c r="G250" t="str" cm="1">
        <f t="array" ref="G250">_xlfn.IFS(F250&gt;40, "High DTI Risk",F250&gt;=25, "Moderate DTI",F250&lt;25, "Low DTI")</f>
        <v>High DTI Risk</v>
      </c>
      <c r="H250" t="str" cm="1">
        <f t="array" ref="H2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50" t="str">
        <f>_xlfn.XLOOKUP(H250,Reference_Tables!$B$2:$B$7,Reference_Tables!$C$2:$C$7,,0,1)</f>
        <v>HR</v>
      </c>
      <c r="J250" t="str">
        <f>INDEX(Reference_Tables!$D$11:$D$36,MATCH(LoanData[[#This Row],[Branch]],Reference_Tables!$A$11:$A$36,0))</f>
        <v>Nilesh Shah</v>
      </c>
      <c r="L250" s="35"/>
    </row>
    <row r="251" spans="2:12" ht="15.6" x14ac:dyDescent="0.3">
      <c r="B251" s="15">
        <f>DATEDIF(Loan_Data!K:K,Loan_Data!L:L,"D")</f>
        <v>10</v>
      </c>
      <c r="C251" s="15">
        <f ca="1">DATEDIF(LoanData[[#This Row],[Approval_Date]],TODAY(),"M")</f>
        <v>44</v>
      </c>
      <c r="D251" s="31">
        <f>EDATE(LoanData[[#This Row],[Approval_Date]],LoanData[[#This Row],[Loan_Term_Months]])</f>
        <v>46004</v>
      </c>
      <c r="E251" t="str">
        <f t="shared" ca="1" si="3"/>
        <v>YES</v>
      </c>
      <c r="F251" s="33">
        <f>IFERROR(LoanData[[#This Row],[EMI]]/LoanData[[#This Row],[Monthly_Income]]*100," ")</f>
        <v>13.053486904386242</v>
      </c>
      <c r="G251" t="str" cm="1">
        <f t="array" ref="G251">_xlfn.IFS(F251&gt;40, "High DTI Risk",F251&gt;=25, "Moderate DTI",F251&lt;25, "Low DTI")</f>
        <v>Low DTI</v>
      </c>
      <c r="H251" t="str" cm="1">
        <f t="array" ref="H2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251" t="str">
        <f>_xlfn.XLOOKUP(H251,Reference_Tables!$B$2:$B$7,Reference_Tables!$C$2:$C$7,,0,1)</f>
        <v>UC</v>
      </c>
      <c r="J251" t="str">
        <f>INDEX(Reference_Tables!$D$11:$D$36,MATCH(LoanData[[#This Row],[Branch]],Reference_Tables!$A$11:$A$36,0))</f>
        <v>Hetal Patel</v>
      </c>
      <c r="L251" s="35"/>
    </row>
    <row r="252" spans="2:12" ht="15.6" x14ac:dyDescent="0.3">
      <c r="B252" s="15">
        <f>DATEDIF(Loan_Data!K:K,Loan_Data!L:L,"D")</f>
        <v>23</v>
      </c>
      <c r="C252" s="15">
        <f ca="1">DATEDIF(LoanData[[#This Row],[Approval_Date]],TODAY(),"M")</f>
        <v>37</v>
      </c>
      <c r="D252" s="31">
        <f>EDATE(LoanData[[#This Row],[Approval_Date]],LoanData[[#This Row],[Loan_Term_Months]])</f>
        <v>46935</v>
      </c>
      <c r="E252" t="str">
        <f t="shared" ca="1" si="3"/>
        <v>NO</v>
      </c>
      <c r="F252" s="33">
        <f>IFERROR(LoanData[[#This Row],[EMI]]/LoanData[[#This Row],[Monthly_Income]]*100," ")</f>
        <v>53.005789959963046</v>
      </c>
      <c r="G252" t="str" cm="1">
        <f t="array" ref="G252">_xlfn.IFS(F252&gt;40, "High DTI Risk",F252&gt;=25, "Moderate DTI",F252&lt;25, "Low DTI")</f>
        <v>High DTI Risk</v>
      </c>
      <c r="H252" t="str" cm="1">
        <f t="array" ref="H2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52" t="str">
        <f>_xlfn.XLOOKUP(H252,Reference_Tables!$B$2:$B$7,Reference_Tables!$C$2:$C$7,,0,1)</f>
        <v>LR</v>
      </c>
      <c r="J252" t="str">
        <f>INDEX(Reference_Tables!$D$11:$D$36,MATCH(LoanData[[#This Row],[Branch]],Reference_Tables!$A$11:$A$36,0))</f>
        <v>Lakshmi Reddy</v>
      </c>
      <c r="L252" s="35"/>
    </row>
    <row r="253" spans="2:12" ht="15.6" x14ac:dyDescent="0.3">
      <c r="B253" s="15">
        <f>DATEDIF(Loan_Data!K:K,Loan_Data!L:L,"D")</f>
        <v>17</v>
      </c>
      <c r="C253" s="15">
        <f ca="1">DATEDIF(LoanData[[#This Row],[Approval_Date]],TODAY(),"M")</f>
        <v>59</v>
      </c>
      <c r="D253" s="31">
        <f>EDATE(LoanData[[#This Row],[Approval_Date]],LoanData[[#This Row],[Loan_Term_Months]])</f>
        <v>44815</v>
      </c>
      <c r="E253" t="str">
        <f t="shared" ca="1" si="3"/>
        <v>YES</v>
      </c>
      <c r="F253" s="33">
        <f>IFERROR(LoanData[[#This Row],[EMI]]/LoanData[[#This Row],[Monthly_Income]]*100," ")</f>
        <v>22.365569062709202</v>
      </c>
      <c r="G253" t="str" cm="1">
        <f t="array" ref="G253">_xlfn.IFS(F253&gt;40, "High DTI Risk",F253&gt;=25, "Moderate DTI",F253&lt;25, "Low DTI")</f>
        <v>Low DTI</v>
      </c>
      <c r="H253" t="str" cm="1">
        <f t="array" ref="H2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53" t="str">
        <f>_xlfn.XLOOKUP(H253,Reference_Tables!$B$2:$B$7,Reference_Tables!$C$2:$C$7,,0,1)</f>
        <v>VHR</v>
      </c>
      <c r="J253" t="str">
        <f>INDEX(Reference_Tables!$D$11:$D$36,MATCH(LoanData[[#This Row],[Branch]],Reference_Tables!$A$11:$A$36,0))</f>
        <v>Hetal Patel</v>
      </c>
      <c r="L253" s="35"/>
    </row>
    <row r="254" spans="2:12" ht="15.6" x14ac:dyDescent="0.3">
      <c r="B254" s="15">
        <f>DATEDIF(Loan_Data!K:K,Loan_Data!L:L,"D")</f>
        <v>24</v>
      </c>
      <c r="C254" s="15">
        <f ca="1">DATEDIF(LoanData[[#This Row],[Approval_Date]],TODAY(),"M")</f>
        <v>65</v>
      </c>
      <c r="D254" s="31">
        <f>EDATE(LoanData[[#This Row],[Approval_Date]],LoanData[[#This Row],[Loan_Term_Months]])</f>
        <v>45708</v>
      </c>
      <c r="E254" t="str">
        <f t="shared" ca="1" si="3"/>
        <v>YES</v>
      </c>
      <c r="F254" s="33">
        <f>IFERROR(LoanData[[#This Row],[EMI]]/LoanData[[#This Row],[Monthly_Income]]*100," ")</f>
        <v>13.430522880071416</v>
      </c>
      <c r="G254" t="str" cm="1">
        <f t="array" ref="G254">_xlfn.IFS(F254&gt;40, "High DTI Risk",F254&gt;=25, "Moderate DTI",F254&lt;25, "Low DTI")</f>
        <v>Low DTI</v>
      </c>
      <c r="H254" t="str" cm="1">
        <f t="array" ref="H2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54" t="str">
        <f>_xlfn.XLOOKUP(H254,Reference_Tables!$B$2:$B$7,Reference_Tables!$C$2:$C$7,,0,1)</f>
        <v>VHR</v>
      </c>
      <c r="J254" t="str">
        <f>INDEX(Reference_Tables!$D$11:$D$36,MATCH(LoanData[[#This Row],[Branch]],Reference_Tables!$A$11:$A$36,0))</f>
        <v>Rahul Kapoor</v>
      </c>
      <c r="L254" s="35"/>
    </row>
    <row r="255" spans="2:12" ht="15.6" x14ac:dyDescent="0.3">
      <c r="B255" s="15">
        <f>DATEDIF(Loan_Data!K:K,Loan_Data!L:L,"D")</f>
        <v>27</v>
      </c>
      <c r="C255" s="15">
        <f ca="1">DATEDIF(LoanData[[#This Row],[Approval_Date]],TODAY(),"M")</f>
        <v>66</v>
      </c>
      <c r="D255" s="31">
        <f>EDATE(LoanData[[#This Row],[Approval_Date]],LoanData[[#This Row],[Loan_Term_Months]])</f>
        <v>44965</v>
      </c>
      <c r="E255" t="str">
        <f t="shared" ca="1" si="3"/>
        <v>YES</v>
      </c>
      <c r="F255" s="33">
        <f>IFERROR(LoanData[[#This Row],[EMI]]/LoanData[[#This Row],[Monthly_Income]]*100," ")</f>
        <v>24.277707617700546</v>
      </c>
      <c r="G255" t="str" cm="1">
        <f t="array" ref="G255">_xlfn.IFS(F255&gt;40, "High DTI Risk",F255&gt;=25, "Moderate DTI",F255&lt;25, "Low DTI")</f>
        <v>Low DTI</v>
      </c>
      <c r="H255" t="str" cm="1">
        <f t="array" ref="H2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55" t="str">
        <f>_xlfn.XLOOKUP(H255,Reference_Tables!$B$2:$B$7,Reference_Tables!$C$2:$C$7,,0,1)</f>
        <v>MR</v>
      </c>
      <c r="J255" t="str">
        <f>INDEX(Reference_Tables!$D$11:$D$36,MATCH(LoanData[[#This Row],[Branch]],Reference_Tables!$A$11:$A$36,0))</f>
        <v>Hetal Patel</v>
      </c>
      <c r="L255" s="35"/>
    </row>
    <row r="256" spans="2:12" ht="15.6" x14ac:dyDescent="0.3">
      <c r="B256" s="15">
        <f>DATEDIF(Loan_Data!K:K,Loan_Data!L:L,"D")</f>
        <v>16</v>
      </c>
      <c r="C256" s="15">
        <f ca="1">DATEDIF(LoanData[[#This Row],[Approval_Date]],TODAY(),"M")</f>
        <v>44</v>
      </c>
      <c r="D256" s="31">
        <f>EDATE(LoanData[[#This Row],[Approval_Date]],LoanData[[#This Row],[Loan_Term_Months]])</f>
        <v>46000</v>
      </c>
      <c r="E256" t="str">
        <f t="shared" ca="1" si="3"/>
        <v>YES</v>
      </c>
      <c r="F256" s="33">
        <f>IFERROR(LoanData[[#This Row],[EMI]]/LoanData[[#This Row],[Monthly_Income]]*100," ")</f>
        <v>30.696899535695238</v>
      </c>
      <c r="G256" t="str" cm="1">
        <f t="array" ref="G256">_xlfn.IFS(F256&gt;40, "High DTI Risk",F256&gt;=25, "Moderate DTI",F256&lt;25, "Low DTI")</f>
        <v>Moderate DTI</v>
      </c>
      <c r="H256" t="str" cm="1">
        <f t="array" ref="H2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56" t="str">
        <f>_xlfn.XLOOKUP(H256,Reference_Tables!$B$2:$B$7,Reference_Tables!$C$2:$C$7,,0,1)</f>
        <v>HR</v>
      </c>
      <c r="J256" t="str">
        <f>INDEX(Reference_Tables!$D$11:$D$36,MATCH(LoanData[[#This Row],[Branch]],Reference_Tables!$A$11:$A$36,0))</f>
        <v>Santhosh Rao</v>
      </c>
      <c r="L256" s="35"/>
    </row>
    <row r="257" spans="2:12" ht="15.6" x14ac:dyDescent="0.3">
      <c r="B257" s="15">
        <f>DATEDIF(Loan_Data!K:K,Loan_Data!L:L,"D")</f>
        <v>28</v>
      </c>
      <c r="C257" s="15">
        <f ca="1">DATEDIF(LoanData[[#This Row],[Approval_Date]],TODAY(),"M")</f>
        <v>43</v>
      </c>
      <c r="D257" s="31">
        <f>EDATE(LoanData[[#This Row],[Approval_Date]],LoanData[[#This Row],[Loan_Term_Months]])</f>
        <v>48585</v>
      </c>
      <c r="E257" t="str">
        <f t="shared" ca="1" si="3"/>
        <v>NO</v>
      </c>
      <c r="F257" s="33">
        <f>IFERROR(LoanData[[#This Row],[EMI]]/LoanData[[#This Row],[Monthly_Income]]*100," ")</f>
        <v>43.48371901753336</v>
      </c>
      <c r="G257" t="str" cm="1">
        <f t="array" ref="G257">_xlfn.IFS(F257&gt;40, "High DTI Risk",F257&gt;=25, "Moderate DTI",F257&lt;25, "Low DTI")</f>
        <v>High DTI Risk</v>
      </c>
      <c r="H257" t="str" cm="1">
        <f t="array" ref="H2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57" t="str">
        <f>_xlfn.XLOOKUP(H257,Reference_Tables!$B$2:$B$7,Reference_Tables!$C$2:$C$7,,0,1)</f>
        <v>LR</v>
      </c>
      <c r="J257" t="str">
        <f>INDEX(Reference_Tables!$D$11:$D$36,MATCH(LoanData[[#This Row],[Branch]],Reference_Tables!$A$11:$A$36,0))</f>
        <v>Sandeep Saxena</v>
      </c>
      <c r="L257" s="35"/>
    </row>
    <row r="258" spans="2:12" ht="15.6" x14ac:dyDescent="0.3">
      <c r="B258" s="15">
        <f>DATEDIF(Loan_Data!K:K,Loan_Data!L:L,"D")</f>
        <v>28</v>
      </c>
      <c r="C258" s="15">
        <f ca="1">DATEDIF(LoanData[[#This Row],[Approval_Date]],TODAY(),"M")</f>
        <v>43</v>
      </c>
      <c r="D258" s="31">
        <f>EDATE(LoanData[[#This Row],[Approval_Date]],LoanData[[#This Row],[Loan_Term_Months]])</f>
        <v>48572</v>
      </c>
      <c r="E258" t="str">
        <f t="shared" ref="E258:E321" ca="1" si="4">IF(D258&lt;TODAY(),"YES","NO")</f>
        <v>NO</v>
      </c>
      <c r="F258" s="33">
        <f>IFERROR(LoanData[[#This Row],[EMI]]/LoanData[[#This Row],[Monthly_Income]]*100," ")</f>
        <v>36.426266425796236</v>
      </c>
      <c r="G258" t="str" cm="1">
        <f t="array" ref="G258">_xlfn.IFS(F258&gt;40, "High DTI Risk",F258&gt;=25, "Moderate DTI",F258&lt;25, "Low DTI")</f>
        <v>Moderate DTI</v>
      </c>
      <c r="H258" t="str" cm="1">
        <f t="array" ref="H2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58" t="str">
        <f>_xlfn.XLOOKUP(H258,Reference_Tables!$B$2:$B$7,Reference_Tables!$C$2:$C$7,,0,1)</f>
        <v>LR</v>
      </c>
      <c r="J258" t="str">
        <f>INDEX(Reference_Tables!$D$11:$D$36,MATCH(LoanData[[#This Row],[Branch]],Reference_Tables!$A$11:$A$36,0))</f>
        <v>Ananya Sharma</v>
      </c>
      <c r="L258" s="35"/>
    </row>
    <row r="259" spans="2:12" ht="15.6" x14ac:dyDescent="0.3">
      <c r="B259" s="15">
        <f>DATEDIF(Loan_Data!K:K,Loan_Data!L:L,"D")</f>
        <v>4</v>
      </c>
      <c r="C259" s="15">
        <f ca="1">DATEDIF(LoanData[[#This Row],[Approval_Date]],TODAY(),"M")</f>
        <v>63</v>
      </c>
      <c r="D259" s="31">
        <f>EDATE(LoanData[[#This Row],[Approval_Date]],LoanData[[#This Row],[Loan_Term_Months]])</f>
        <v>45053</v>
      </c>
      <c r="E259" t="str">
        <f t="shared" ca="1" si="4"/>
        <v>YES</v>
      </c>
      <c r="F259" s="33">
        <f>IFERROR(LoanData[[#This Row],[EMI]]/LoanData[[#This Row],[Monthly_Income]]*100," ")</f>
        <v>83.053293461137969</v>
      </c>
      <c r="G259" t="str" cm="1">
        <f t="array" ref="G259">_xlfn.IFS(F259&gt;40, "High DTI Risk",F259&gt;=25, "Moderate DTI",F259&lt;25, "Low DTI")</f>
        <v>High DTI Risk</v>
      </c>
      <c r="H259" t="str" cm="1">
        <f t="array" ref="H2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59" t="str">
        <f>_xlfn.XLOOKUP(H259,Reference_Tables!$B$2:$B$7,Reference_Tables!$C$2:$C$7,,0,1)</f>
        <v>VHR</v>
      </c>
      <c r="J259" t="str">
        <f>INDEX(Reference_Tables!$D$11:$D$36,MATCH(LoanData[[#This Row],[Branch]],Reference_Tables!$A$11:$A$36,0))</f>
        <v>Anil Mishra</v>
      </c>
      <c r="L259" s="35"/>
    </row>
    <row r="260" spans="2:12" ht="15.6" x14ac:dyDescent="0.3">
      <c r="B260" s="15">
        <f>DATEDIF(Loan_Data!K:K,Loan_Data!L:L,"D")</f>
        <v>22</v>
      </c>
      <c r="C260" s="15">
        <f ca="1">DATEDIF(LoanData[[#This Row],[Approval_Date]],TODAY(),"M")</f>
        <v>57</v>
      </c>
      <c r="D260" s="31">
        <f>EDATE(LoanData[[#This Row],[Approval_Date]],LoanData[[#This Row],[Loan_Term_Months]])</f>
        <v>48158</v>
      </c>
      <c r="E260" t="str">
        <f t="shared" ca="1" si="4"/>
        <v>NO</v>
      </c>
      <c r="F260" s="33">
        <f>IFERROR(LoanData[[#This Row],[EMI]]/LoanData[[#This Row],[Monthly_Income]]*100," ")</f>
        <v>6.3849421760679714</v>
      </c>
      <c r="G260" t="str" cm="1">
        <f t="array" ref="G260">_xlfn.IFS(F260&gt;40, "High DTI Risk",F260&gt;=25, "Moderate DTI",F260&lt;25, "Low DTI")</f>
        <v>Low DTI</v>
      </c>
      <c r="H260" t="str" cm="1">
        <f t="array" ref="H2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60" t="str">
        <f>_xlfn.XLOOKUP(H260,Reference_Tables!$B$2:$B$7,Reference_Tables!$C$2:$C$7,,0,1)</f>
        <v>VHR</v>
      </c>
      <c r="J260" t="str">
        <f>INDEX(Reference_Tables!$D$11:$D$36,MATCH(LoanData[[#This Row],[Branch]],Reference_Tables!$A$11:$A$36,0))</f>
        <v>Ravi Verma</v>
      </c>
      <c r="L260" s="35"/>
    </row>
    <row r="261" spans="2:12" ht="15.6" x14ac:dyDescent="0.3">
      <c r="B261" s="15">
        <f>DATEDIF(Loan_Data!K:K,Loan_Data!L:L,"D")</f>
        <v>14</v>
      </c>
      <c r="C261" s="15">
        <f ca="1">DATEDIF(LoanData[[#This Row],[Approval_Date]],TODAY(),"M")</f>
        <v>61</v>
      </c>
      <c r="D261" s="31">
        <f>EDATE(LoanData[[#This Row],[Approval_Date]],LoanData[[#This Row],[Loan_Term_Months]])</f>
        <v>45479</v>
      </c>
      <c r="E261" t="str">
        <f t="shared" ca="1" si="4"/>
        <v>YES</v>
      </c>
      <c r="F261" s="33">
        <f>IFERROR(LoanData[[#This Row],[EMI]]/LoanData[[#This Row],[Monthly_Income]]*100," ")</f>
        <v>68.046774860450697</v>
      </c>
      <c r="G261" t="str" cm="1">
        <f t="array" ref="G261">_xlfn.IFS(F261&gt;40, "High DTI Risk",F261&gt;=25, "Moderate DTI",F261&lt;25, "Low DTI")</f>
        <v>High DTI Risk</v>
      </c>
      <c r="H261" t="str" cm="1">
        <f t="array" ref="H2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61" t="str">
        <f>_xlfn.XLOOKUP(H261,Reference_Tables!$B$2:$B$7,Reference_Tables!$C$2:$C$7,,0,1)</f>
        <v>LR</v>
      </c>
      <c r="J261" t="str">
        <f>INDEX(Reference_Tables!$D$11:$D$36,MATCH(LoanData[[#This Row],[Branch]],Reference_Tables!$A$11:$A$36,0))</f>
        <v>Sachin Deshpande</v>
      </c>
      <c r="L261" s="35"/>
    </row>
    <row r="262" spans="2:12" ht="15.6" x14ac:dyDescent="0.3">
      <c r="B262" s="15">
        <f>DATEDIF(Loan_Data!K:K,Loan_Data!L:L,"D")</f>
        <v>9</v>
      </c>
      <c r="C262" s="15">
        <f ca="1">DATEDIF(LoanData[[#This Row],[Approval_Date]],TODAY(),"M")</f>
        <v>58</v>
      </c>
      <c r="D262" s="31">
        <f>EDATE(LoanData[[#This Row],[Approval_Date]],LoanData[[#This Row],[Loan_Term_Months]])</f>
        <v>45936</v>
      </c>
      <c r="E262" t="str">
        <f t="shared" ca="1" si="4"/>
        <v>YES</v>
      </c>
      <c r="F262" s="33">
        <f>IFERROR(LoanData[[#This Row],[EMI]]/LoanData[[#This Row],[Monthly_Income]]*100," ")</f>
        <v>17.888279440011086</v>
      </c>
      <c r="G262" t="str" cm="1">
        <f t="array" ref="G262">_xlfn.IFS(F262&gt;40, "High DTI Risk",F262&gt;=25, "Moderate DTI",F262&lt;25, "Low DTI")</f>
        <v>Low DTI</v>
      </c>
      <c r="H262" t="str" cm="1">
        <f t="array" ref="H2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62" t="str">
        <f>_xlfn.XLOOKUP(H262,Reference_Tables!$B$2:$B$7,Reference_Tables!$C$2:$C$7,,0,1)</f>
        <v>MR</v>
      </c>
      <c r="J262" t="str">
        <f>INDEX(Reference_Tables!$D$11:$D$36,MATCH(LoanData[[#This Row],[Branch]],Reference_Tables!$A$11:$A$36,0))</f>
        <v>Rituparna Bora</v>
      </c>
      <c r="L262" s="35"/>
    </row>
    <row r="263" spans="2:12" ht="15.6" x14ac:dyDescent="0.3">
      <c r="B263" s="15">
        <f>DATEDIF(Loan_Data!K:K,Loan_Data!L:L,"D")</f>
        <v>3</v>
      </c>
      <c r="C263" s="15">
        <f ca="1">DATEDIF(LoanData[[#This Row],[Approval_Date]],TODAY(),"M")</f>
        <v>47</v>
      </c>
      <c r="D263" s="31">
        <f>EDATE(LoanData[[#This Row],[Approval_Date]],LoanData[[#This Row],[Loan_Term_Months]])</f>
        <v>45542</v>
      </c>
      <c r="E263" t="str">
        <f t="shared" ca="1" si="4"/>
        <v>YES</v>
      </c>
      <c r="F263" s="33">
        <f>IFERROR(LoanData[[#This Row],[EMI]]/LoanData[[#This Row],[Monthly_Income]]*100," ")</f>
        <v>54.130370111120826</v>
      </c>
      <c r="G263" t="str" cm="1">
        <f t="array" ref="G263">_xlfn.IFS(F263&gt;40, "High DTI Risk",F263&gt;=25, "Moderate DTI",F263&lt;25, "Low DTI")</f>
        <v>High DTI Risk</v>
      </c>
      <c r="H263" t="str" cm="1">
        <f t="array" ref="H2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63" t="str">
        <f>_xlfn.XLOOKUP(H263,Reference_Tables!$B$2:$B$7,Reference_Tables!$C$2:$C$7,,0,1)</f>
        <v>MR</v>
      </c>
      <c r="J263" t="str">
        <f>INDEX(Reference_Tables!$D$11:$D$36,MATCH(LoanData[[#This Row],[Branch]],Reference_Tables!$A$11:$A$36,0))</f>
        <v>Amit Kumar</v>
      </c>
      <c r="L263" s="35"/>
    </row>
    <row r="264" spans="2:12" ht="15.6" x14ac:dyDescent="0.3">
      <c r="B264" s="15">
        <f>DATEDIF(Loan_Data!K:K,Loan_Data!L:L,"D")</f>
        <v>15</v>
      </c>
      <c r="C264" s="15">
        <f ca="1">DATEDIF(LoanData[[#This Row],[Approval_Date]],TODAY(),"M")</f>
        <v>59</v>
      </c>
      <c r="D264" s="31">
        <f>EDATE(LoanData[[#This Row],[Approval_Date]],LoanData[[#This Row],[Loan_Term_Months]])</f>
        <v>45163</v>
      </c>
      <c r="E264" t="str">
        <f t="shared" ca="1" si="4"/>
        <v>YES</v>
      </c>
      <c r="F264" s="33">
        <f>IFERROR(LoanData[[#This Row],[EMI]]/LoanData[[#This Row],[Monthly_Income]]*100," ")</f>
        <v>16.214926779138477</v>
      </c>
      <c r="G264" t="str" cm="1">
        <f t="array" ref="G264">_xlfn.IFS(F264&gt;40, "High DTI Risk",F264&gt;=25, "Moderate DTI",F264&lt;25, "Low DTI")</f>
        <v>Low DTI</v>
      </c>
      <c r="H264" t="str" cm="1">
        <f t="array" ref="H2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64" t="str">
        <f>_xlfn.XLOOKUP(H264,Reference_Tables!$B$2:$B$7,Reference_Tables!$C$2:$C$7,,0,1)</f>
        <v>LR</v>
      </c>
      <c r="J264" t="str">
        <f>INDEX(Reference_Tables!$D$11:$D$36,MATCH(LoanData[[#This Row],[Branch]],Reference_Tables!$A$11:$A$36,0))</f>
        <v>Nilesh Shah</v>
      </c>
      <c r="L264" s="35"/>
    </row>
    <row r="265" spans="2:12" ht="15.6" x14ac:dyDescent="0.3">
      <c r="B265" s="15">
        <f>DATEDIF(Loan_Data!K:K,Loan_Data!L:L,"D")</f>
        <v>19</v>
      </c>
      <c r="C265" s="15">
        <f ca="1">DATEDIF(LoanData[[#This Row],[Approval_Date]],TODAY(),"M")</f>
        <v>58</v>
      </c>
      <c r="D265" s="31">
        <f>EDATE(LoanData[[#This Row],[Approval_Date]],LoanData[[#This Row],[Loan_Term_Months]])</f>
        <v>45193</v>
      </c>
      <c r="E265" t="str">
        <f t="shared" ca="1" si="4"/>
        <v>YES</v>
      </c>
      <c r="F265" s="33">
        <f>IFERROR(LoanData[[#This Row],[EMI]]/LoanData[[#This Row],[Monthly_Income]]*100," ")</f>
        <v>43.219792875798028</v>
      </c>
      <c r="G265" t="str" cm="1">
        <f t="array" ref="G265">_xlfn.IFS(F265&gt;40, "High DTI Risk",F265&gt;=25, "Moderate DTI",F265&lt;25, "Low DTI")</f>
        <v>High DTI Risk</v>
      </c>
      <c r="H265" t="str" cm="1">
        <f t="array" ref="H2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65" t="str">
        <f>_xlfn.XLOOKUP(H265,Reference_Tables!$B$2:$B$7,Reference_Tables!$C$2:$C$7,,0,1)</f>
        <v>VHR</v>
      </c>
      <c r="J265" t="str">
        <f>INDEX(Reference_Tables!$D$11:$D$36,MATCH(LoanData[[#This Row],[Branch]],Reference_Tables!$A$11:$A$36,0))</f>
        <v>Deepak Nair</v>
      </c>
      <c r="L265" s="35"/>
    </row>
    <row r="266" spans="2:12" ht="15.6" x14ac:dyDescent="0.3">
      <c r="B266" s="15">
        <f>DATEDIF(Loan_Data!K:K,Loan_Data!L:L,"D")</f>
        <v>7</v>
      </c>
      <c r="C266" s="15">
        <f ca="1">DATEDIF(LoanData[[#This Row],[Approval_Date]],TODAY(),"M")</f>
        <v>60</v>
      </c>
      <c r="D266" s="31">
        <f>EDATE(LoanData[[#This Row],[Approval_Date]],LoanData[[#This Row],[Loan_Term_Months]])</f>
        <v>45137</v>
      </c>
      <c r="E266" t="str">
        <f t="shared" ca="1" si="4"/>
        <v>YES</v>
      </c>
      <c r="F266" s="33">
        <f>IFERROR(LoanData[[#This Row],[EMI]]/LoanData[[#This Row],[Monthly_Income]]*100," ")</f>
        <v>86.68026875318931</v>
      </c>
      <c r="G266" t="str" cm="1">
        <f t="array" ref="G266">_xlfn.IFS(F266&gt;40, "High DTI Risk",F266&gt;=25, "Moderate DTI",F266&lt;25, "Low DTI")</f>
        <v>High DTI Risk</v>
      </c>
      <c r="H266" t="str" cm="1">
        <f t="array" ref="H2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66" t="str">
        <f>_xlfn.XLOOKUP(H266,Reference_Tables!$B$2:$B$7,Reference_Tables!$C$2:$C$7,,0,1)</f>
        <v>VHR</v>
      </c>
      <c r="J266" t="str">
        <f>INDEX(Reference_Tables!$D$11:$D$36,MATCH(LoanData[[#This Row],[Branch]],Reference_Tables!$A$11:$A$36,0))</f>
        <v>Amit Kumar</v>
      </c>
      <c r="L266" s="35"/>
    </row>
    <row r="267" spans="2:12" ht="15.6" x14ac:dyDescent="0.3">
      <c r="B267" s="15">
        <f>DATEDIF(Loan_Data!K:K,Loan_Data!L:L,"D")</f>
        <v>4</v>
      </c>
      <c r="C267" s="15">
        <f ca="1">DATEDIF(LoanData[[#This Row],[Approval_Date]],TODAY(),"M")</f>
        <v>51</v>
      </c>
      <c r="D267" s="31">
        <f>EDATE(LoanData[[#This Row],[Approval_Date]],LoanData[[#This Row],[Loan_Term_Months]])</f>
        <v>45785</v>
      </c>
      <c r="E267" t="str">
        <f t="shared" ca="1" si="4"/>
        <v>YES</v>
      </c>
      <c r="F267" s="33">
        <f>IFERROR(LoanData[[#This Row],[EMI]]/LoanData[[#This Row],[Monthly_Income]]*100," ")</f>
        <v>101.96025898311045</v>
      </c>
      <c r="G267" t="str" cm="1">
        <f t="array" ref="G267">_xlfn.IFS(F267&gt;40, "High DTI Risk",F267&gt;=25, "Moderate DTI",F267&lt;25, "Low DTI")</f>
        <v>High DTI Risk</v>
      </c>
      <c r="H267" t="str" cm="1">
        <f t="array" ref="H2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67" t="str">
        <f>_xlfn.XLOOKUP(H267,Reference_Tables!$B$2:$B$7,Reference_Tables!$C$2:$C$7,,0,1)</f>
        <v>LR</v>
      </c>
      <c r="J267" t="str">
        <f>INDEX(Reference_Tables!$D$11:$D$36,MATCH(LoanData[[#This Row],[Branch]],Reference_Tables!$A$11:$A$36,0))</f>
        <v>Priyanka Gupta</v>
      </c>
      <c r="L267" s="35"/>
    </row>
    <row r="268" spans="2:12" ht="15.6" x14ac:dyDescent="0.3">
      <c r="B268" s="15">
        <f>DATEDIF(Loan_Data!K:K,Loan_Data!L:L,"D")</f>
        <v>16</v>
      </c>
      <c r="C268" s="15">
        <f ca="1">DATEDIF(LoanData[[#This Row],[Approval_Date]],TODAY(),"M")</f>
        <v>31</v>
      </c>
      <c r="D268" s="31">
        <f>EDATE(LoanData[[#This Row],[Approval_Date]],LoanData[[#This Row],[Loan_Term_Months]])</f>
        <v>46395</v>
      </c>
      <c r="E268" t="str">
        <f t="shared" ca="1" si="4"/>
        <v>NO</v>
      </c>
      <c r="F268" s="33">
        <f>IFERROR(LoanData[[#This Row],[EMI]]/LoanData[[#This Row],[Monthly_Income]]*100," ")</f>
        <v>95.616951124903025</v>
      </c>
      <c r="G268" t="str" cm="1">
        <f t="array" ref="G268">_xlfn.IFS(F268&gt;40, "High DTI Risk",F268&gt;=25, "Moderate DTI",F268&lt;25, "Low DTI")</f>
        <v>High DTI Risk</v>
      </c>
      <c r="H268" t="str" cm="1">
        <f t="array" ref="H2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68" t="str">
        <f>_xlfn.XLOOKUP(H268,Reference_Tables!$B$2:$B$7,Reference_Tables!$C$2:$C$7,,0,1)</f>
        <v>HR</v>
      </c>
      <c r="J268" t="str">
        <f>INDEX(Reference_Tables!$D$11:$D$36,MATCH(LoanData[[#This Row],[Branch]],Reference_Tables!$A$11:$A$36,0))</f>
        <v>Kavita Joshi</v>
      </c>
      <c r="L268" s="35"/>
    </row>
    <row r="269" spans="2:12" ht="15.6" x14ac:dyDescent="0.3">
      <c r="B269" s="15">
        <f>DATEDIF(Loan_Data!K:K,Loan_Data!L:L,"D")</f>
        <v>16</v>
      </c>
      <c r="C269" s="15">
        <f ca="1">DATEDIF(LoanData[[#This Row],[Approval_Date]],TODAY(),"M")</f>
        <v>44</v>
      </c>
      <c r="D269" s="31">
        <f>EDATE(LoanData[[#This Row],[Approval_Date]],LoanData[[#This Row],[Loan_Term_Months]])</f>
        <v>50392</v>
      </c>
      <c r="E269" t="str">
        <f t="shared" ca="1" si="4"/>
        <v>NO</v>
      </c>
      <c r="F269" s="33">
        <f>IFERROR(LoanData[[#This Row],[EMI]]/LoanData[[#This Row],[Monthly_Income]]*100," ")</f>
        <v>50.64988069822931</v>
      </c>
      <c r="G269" t="str" cm="1">
        <f t="array" ref="G269">_xlfn.IFS(F269&gt;40, "High DTI Risk",F269&gt;=25, "Moderate DTI",F269&lt;25, "Low DTI")</f>
        <v>High DTI Risk</v>
      </c>
      <c r="H269" t="str" cm="1">
        <f t="array" ref="H2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69" t="str">
        <f>_xlfn.XLOOKUP(H269,Reference_Tables!$B$2:$B$7,Reference_Tables!$C$2:$C$7,,0,1)</f>
        <v>VHR</v>
      </c>
      <c r="J269" t="str">
        <f>INDEX(Reference_Tables!$D$11:$D$36,MATCH(LoanData[[#This Row],[Branch]],Reference_Tables!$A$11:$A$36,0))</f>
        <v>Santhosh Rao</v>
      </c>
      <c r="L269" s="35"/>
    </row>
    <row r="270" spans="2:12" ht="15.6" x14ac:dyDescent="0.3">
      <c r="B270" s="15">
        <f>DATEDIF(Loan_Data!K:K,Loan_Data!L:L,"D")</f>
        <v>3</v>
      </c>
      <c r="C270" s="15">
        <f ca="1">DATEDIF(LoanData[[#This Row],[Approval_Date]],TODAY(),"M")</f>
        <v>59</v>
      </c>
      <c r="D270" s="31">
        <f>EDATE(LoanData[[#This Row],[Approval_Date]],LoanData[[#This Row],[Loan_Term_Months]])</f>
        <v>46264</v>
      </c>
      <c r="E270" t="str">
        <f t="shared" ca="1" si="4"/>
        <v>NO</v>
      </c>
      <c r="F270" s="33">
        <f>IFERROR(LoanData[[#This Row],[EMI]]/LoanData[[#This Row],[Monthly_Income]]*100," ")</f>
        <v>9.4526274848336804</v>
      </c>
      <c r="G270" t="str" cm="1">
        <f t="array" ref="G270">_xlfn.IFS(F270&gt;40, "High DTI Risk",F270&gt;=25, "Moderate DTI",F270&lt;25, "Low DTI")</f>
        <v>Low DTI</v>
      </c>
      <c r="H270" t="str" cm="1">
        <f t="array" ref="H2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70" t="str">
        <f>_xlfn.XLOOKUP(H270,Reference_Tables!$B$2:$B$7,Reference_Tables!$C$2:$C$7,,0,1)</f>
        <v>MR</v>
      </c>
      <c r="J270" t="str">
        <f>INDEX(Reference_Tables!$D$11:$D$36,MATCH(LoanData[[#This Row],[Branch]],Reference_Tables!$A$11:$A$36,0))</f>
        <v>Ravi Verma</v>
      </c>
      <c r="L270" s="35"/>
    </row>
    <row r="271" spans="2:12" ht="15.6" x14ac:dyDescent="0.3">
      <c r="B271" s="15">
        <f>DATEDIF(Loan_Data!K:K,Loan_Data!L:L,"D")</f>
        <v>10</v>
      </c>
      <c r="C271" s="15">
        <f ca="1">DATEDIF(LoanData[[#This Row],[Approval_Date]],TODAY(),"M")</f>
        <v>44</v>
      </c>
      <c r="D271" s="31">
        <f>EDATE(LoanData[[#This Row],[Approval_Date]],LoanData[[#This Row],[Loan_Term_Months]])</f>
        <v>45267</v>
      </c>
      <c r="E271" t="str">
        <f t="shared" ca="1" si="4"/>
        <v>YES</v>
      </c>
      <c r="F271" s="33">
        <f>IFERROR(LoanData[[#This Row],[EMI]]/LoanData[[#This Row],[Monthly_Income]]*100," ")</f>
        <v>33.576434486337689</v>
      </c>
      <c r="G271" t="str" cm="1">
        <f t="array" ref="G271">_xlfn.IFS(F271&gt;40, "High DTI Risk",F271&gt;=25, "Moderate DTI",F271&lt;25, "Low DTI")</f>
        <v>Moderate DTI</v>
      </c>
      <c r="H271" t="str" cm="1">
        <f t="array" ref="H2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71" t="str">
        <f>_xlfn.XLOOKUP(H271,Reference_Tables!$B$2:$B$7,Reference_Tables!$C$2:$C$7,,0,1)</f>
        <v>HR</v>
      </c>
      <c r="J271" t="str">
        <f>INDEX(Reference_Tables!$D$11:$D$36,MATCH(LoanData[[#This Row],[Branch]],Reference_Tables!$A$11:$A$36,0))</f>
        <v>Rahul Kapoor</v>
      </c>
      <c r="L271" s="35"/>
    </row>
    <row r="272" spans="2:12" ht="15.6" x14ac:dyDescent="0.3">
      <c r="B272" s="15">
        <f>DATEDIF(Loan_Data!K:K,Loan_Data!L:L,"D")</f>
        <v>4</v>
      </c>
      <c r="C272" s="15">
        <f ca="1">DATEDIF(LoanData[[#This Row],[Approval_Date]],TODAY(),"M")</f>
        <v>47</v>
      </c>
      <c r="D272" s="31">
        <f>EDATE(LoanData[[#This Row],[Approval_Date]],LoanData[[#This Row],[Loan_Term_Months]])</f>
        <v>48474</v>
      </c>
      <c r="E272" t="str">
        <f t="shared" ca="1" si="4"/>
        <v>NO</v>
      </c>
      <c r="F272" s="33">
        <f>IFERROR(LoanData[[#This Row],[EMI]]/LoanData[[#This Row],[Monthly_Income]]*100," ")</f>
        <v>2.8593668801463865</v>
      </c>
      <c r="G272" t="str" cm="1">
        <f t="array" ref="G272">_xlfn.IFS(F272&gt;40, "High DTI Risk",F272&gt;=25, "Moderate DTI",F272&lt;25, "Low DTI")</f>
        <v>Low DTI</v>
      </c>
      <c r="H272" t="str" cm="1">
        <f t="array" ref="H2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72" t="str">
        <f>_xlfn.XLOOKUP(H272,Reference_Tables!$B$2:$B$7,Reference_Tables!$C$2:$C$7,,0,1)</f>
        <v>LR</v>
      </c>
      <c r="J272" t="str">
        <f>INDEX(Reference_Tables!$D$11:$D$36,MATCH(LoanData[[#This Row],[Branch]],Reference_Tables!$A$11:$A$36,0))</f>
        <v>Deepak Nair</v>
      </c>
      <c r="L272" s="35"/>
    </row>
    <row r="273" spans="2:12" ht="15.6" x14ac:dyDescent="0.3">
      <c r="B273" s="15">
        <f>DATEDIF(Loan_Data!K:K,Loan_Data!L:L,"D")</f>
        <v>12</v>
      </c>
      <c r="C273" s="15">
        <f ca="1">DATEDIF(LoanData[[#This Row],[Approval_Date]],TODAY(),"M")</f>
        <v>34</v>
      </c>
      <c r="D273" s="31">
        <f>EDATE(LoanData[[#This Row],[Approval_Date]],LoanData[[#This Row],[Loan_Term_Months]])</f>
        <v>45937</v>
      </c>
      <c r="E273" t="str">
        <f t="shared" ca="1" si="4"/>
        <v>YES</v>
      </c>
      <c r="F273" s="33">
        <f>IFERROR(LoanData[[#This Row],[EMI]]/LoanData[[#This Row],[Monthly_Income]]*100," ")</f>
        <v>28.858266532312648</v>
      </c>
      <c r="G273" t="str" cm="1">
        <f t="array" ref="G273">_xlfn.IFS(F273&gt;40, "High DTI Risk",F273&gt;=25, "Moderate DTI",F273&lt;25, "Low DTI")</f>
        <v>Moderate DTI</v>
      </c>
      <c r="H273" t="str" cm="1">
        <f t="array" ref="H2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73" t="str">
        <f>_xlfn.XLOOKUP(H273,Reference_Tables!$B$2:$B$7,Reference_Tables!$C$2:$C$7,,0,1)</f>
        <v>VHR</v>
      </c>
      <c r="J273" t="str">
        <f>INDEX(Reference_Tables!$D$11:$D$36,MATCH(LoanData[[#This Row],[Branch]],Reference_Tables!$A$11:$A$36,0))</f>
        <v>Deepak Nair</v>
      </c>
      <c r="L273" s="35"/>
    </row>
    <row r="274" spans="2:12" ht="15.6" x14ac:dyDescent="0.3">
      <c r="B274" s="15">
        <f>DATEDIF(Loan_Data!K:K,Loan_Data!L:L,"D")</f>
        <v>18</v>
      </c>
      <c r="C274" s="15">
        <f ca="1">DATEDIF(LoanData[[#This Row],[Approval_Date]],TODAY(),"M")</f>
        <v>35</v>
      </c>
      <c r="D274" s="31">
        <f>EDATE(LoanData[[#This Row],[Approval_Date]],LoanData[[#This Row],[Loan_Term_Months]])</f>
        <v>47003</v>
      </c>
      <c r="E274" t="str">
        <f t="shared" ca="1" si="4"/>
        <v>NO</v>
      </c>
      <c r="F274" s="33">
        <f>IFERROR(LoanData[[#This Row],[EMI]]/LoanData[[#This Row],[Monthly_Income]]*100," ")</f>
        <v>42.982521421500017</v>
      </c>
      <c r="G274" t="str" cm="1">
        <f t="array" ref="G274">_xlfn.IFS(F274&gt;40, "High DTI Risk",F274&gt;=25, "Moderate DTI",F274&lt;25, "Low DTI")</f>
        <v>High DTI Risk</v>
      </c>
      <c r="H274" t="str" cm="1">
        <f t="array" ref="H2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74" t="str">
        <f>_xlfn.XLOOKUP(H274,Reference_Tables!$B$2:$B$7,Reference_Tables!$C$2:$C$7,,0,1)</f>
        <v>LR</v>
      </c>
      <c r="J274" t="str">
        <f>INDEX(Reference_Tables!$D$11:$D$36,MATCH(LoanData[[#This Row],[Branch]],Reference_Tables!$A$11:$A$36,0))</f>
        <v>Ananya Sharma</v>
      </c>
      <c r="L274" s="35"/>
    </row>
    <row r="275" spans="2:12" ht="15.6" x14ac:dyDescent="0.3">
      <c r="B275" s="15">
        <f>DATEDIF(Loan_Data!K:K,Loan_Data!L:L,"D")</f>
        <v>23</v>
      </c>
      <c r="C275" s="15">
        <f ca="1">DATEDIF(LoanData[[#This Row],[Approval_Date]],TODAY(),"M")</f>
        <v>33</v>
      </c>
      <c r="D275" s="31">
        <f>EDATE(LoanData[[#This Row],[Approval_Date]],LoanData[[#This Row],[Loan_Term_Months]])</f>
        <v>45606</v>
      </c>
      <c r="E275" t="str">
        <f t="shared" ca="1" si="4"/>
        <v>YES</v>
      </c>
      <c r="F275" s="33">
        <f>IFERROR(LoanData[[#This Row],[EMI]]/LoanData[[#This Row],[Monthly_Income]]*100," ")</f>
        <v>18.868854222255319</v>
      </c>
      <c r="G275" t="str" cm="1">
        <f t="array" ref="G275">_xlfn.IFS(F275&gt;40, "High DTI Risk",F275&gt;=25, "Moderate DTI",F275&lt;25, "Low DTI")</f>
        <v>Low DTI</v>
      </c>
      <c r="H275" t="str" cm="1">
        <f t="array" ref="H2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75" t="str">
        <f>_xlfn.XLOOKUP(H275,Reference_Tables!$B$2:$B$7,Reference_Tables!$C$2:$C$7,,0,1)</f>
        <v>MR</v>
      </c>
      <c r="J275" t="str">
        <f>INDEX(Reference_Tables!$D$11:$D$36,MATCH(LoanData[[#This Row],[Branch]],Reference_Tables!$A$11:$A$36,0))</f>
        <v>Vikram Malhotra</v>
      </c>
      <c r="L275" s="35"/>
    </row>
    <row r="276" spans="2:12" ht="15.6" x14ac:dyDescent="0.3">
      <c r="B276" s="15">
        <f>DATEDIF(Loan_Data!K:K,Loan_Data!L:L,"D")</f>
        <v>25</v>
      </c>
      <c r="C276" s="15">
        <f ca="1">DATEDIF(LoanData[[#This Row],[Approval_Date]],TODAY(),"M")</f>
        <v>62</v>
      </c>
      <c r="D276" s="31">
        <f>EDATE(LoanData[[#This Row],[Approval_Date]],LoanData[[#This Row],[Loan_Term_Months]])</f>
        <v>45448</v>
      </c>
      <c r="E276" t="str">
        <f t="shared" ca="1" si="4"/>
        <v>YES</v>
      </c>
      <c r="F276" s="33">
        <f>IFERROR(LoanData[[#This Row],[EMI]]/LoanData[[#This Row],[Monthly_Income]]*100," ")</f>
        <v>11.33160120412844</v>
      </c>
      <c r="G276" t="str" cm="1">
        <f t="array" ref="G276">_xlfn.IFS(F276&gt;40, "High DTI Risk",F276&gt;=25, "Moderate DTI",F276&lt;25, "Low DTI")</f>
        <v>Low DTI</v>
      </c>
      <c r="H276" t="str" cm="1">
        <f t="array" ref="H2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76" t="str">
        <f>_xlfn.XLOOKUP(H276,Reference_Tables!$B$2:$B$7,Reference_Tables!$C$2:$C$7,,0,1)</f>
        <v>HR</v>
      </c>
      <c r="J276" t="str">
        <f>INDEX(Reference_Tables!$D$11:$D$36,MATCH(LoanData[[#This Row],[Branch]],Reference_Tables!$A$11:$A$36,0))</f>
        <v>Suman Tiwari</v>
      </c>
      <c r="L276" s="35"/>
    </row>
    <row r="277" spans="2:12" ht="15.6" x14ac:dyDescent="0.3">
      <c r="B277" s="15">
        <f>DATEDIF(Loan_Data!K:K,Loan_Data!L:L,"D")</f>
        <v>12</v>
      </c>
      <c r="C277" s="15">
        <f ca="1">DATEDIF(LoanData[[#This Row],[Approval_Date]],TODAY(),"M")</f>
        <v>51</v>
      </c>
      <c r="D277" s="31">
        <f>EDATE(LoanData[[#This Row],[Approval_Date]],LoanData[[#This Row],[Loan_Term_Months]])</f>
        <v>46160</v>
      </c>
      <c r="E277" t="str">
        <f t="shared" ca="1" si="4"/>
        <v>YES</v>
      </c>
      <c r="F277" s="33">
        <f>IFERROR(LoanData[[#This Row],[EMI]]/LoanData[[#This Row],[Monthly_Income]]*100," ")</f>
        <v>4.2346488613330155</v>
      </c>
      <c r="G277" t="str" cm="1">
        <f t="array" ref="G277">_xlfn.IFS(F277&gt;40, "High DTI Risk",F277&gt;=25, "Moderate DTI",F277&lt;25, "Low DTI")</f>
        <v>Low DTI</v>
      </c>
      <c r="H277" t="str" cm="1">
        <f t="array" ref="H2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77" t="str">
        <f>_xlfn.XLOOKUP(H277,Reference_Tables!$B$2:$B$7,Reference_Tables!$C$2:$C$7,,0,1)</f>
        <v>VHR</v>
      </c>
      <c r="J277" t="str">
        <f>INDEX(Reference_Tables!$D$11:$D$36,MATCH(LoanData[[#This Row],[Branch]],Reference_Tables!$A$11:$A$36,0))</f>
        <v>Rituparna Bora</v>
      </c>
      <c r="L277" s="35"/>
    </row>
    <row r="278" spans="2:12" ht="15.6" x14ac:dyDescent="0.3">
      <c r="B278" s="15">
        <f>DATEDIF(Loan_Data!K:K,Loan_Data!L:L,"D")</f>
        <v>11</v>
      </c>
      <c r="C278" s="15">
        <f ca="1">DATEDIF(LoanData[[#This Row],[Approval_Date]],TODAY(),"M")</f>
        <v>46</v>
      </c>
      <c r="D278" s="31">
        <f>EDATE(LoanData[[#This Row],[Approval_Date]],LoanData[[#This Row],[Loan_Term_Months]])</f>
        <v>46287</v>
      </c>
      <c r="E278" t="str">
        <f t="shared" ca="1" si="4"/>
        <v>NO</v>
      </c>
      <c r="F278" s="33">
        <f>IFERROR(LoanData[[#This Row],[EMI]]/LoanData[[#This Row],[Monthly_Income]]*100," ")</f>
        <v>4.0663120567375888</v>
      </c>
      <c r="G278" t="str" cm="1">
        <f t="array" ref="G278">_xlfn.IFS(F278&gt;40, "High DTI Risk",F278&gt;=25, "Moderate DTI",F278&lt;25, "Low DTI")</f>
        <v>Low DTI</v>
      </c>
      <c r="H278" t="str" cm="1">
        <f t="array" ref="H2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78" t="str">
        <f>_xlfn.XLOOKUP(H278,Reference_Tables!$B$2:$B$7,Reference_Tables!$C$2:$C$7,,0,1)</f>
        <v>HR</v>
      </c>
      <c r="J278" t="str">
        <f>INDEX(Reference_Tables!$D$11:$D$36,MATCH(LoanData[[#This Row],[Branch]],Reference_Tables!$A$11:$A$36,0))</f>
        <v>Jigar Mehta</v>
      </c>
      <c r="L278" s="35"/>
    </row>
    <row r="279" spans="2:12" ht="15.6" x14ac:dyDescent="0.3">
      <c r="B279" s="15">
        <f>DATEDIF(Loan_Data!K:K,Loan_Data!L:L,"D")</f>
        <v>12</v>
      </c>
      <c r="C279" s="15">
        <f ca="1">DATEDIF(LoanData[[#This Row],[Approval_Date]],TODAY(),"M")</f>
        <v>33</v>
      </c>
      <c r="D279" s="31">
        <f>EDATE(LoanData[[#This Row],[Approval_Date]],LoanData[[#This Row],[Loan_Term_Months]])</f>
        <v>47066</v>
      </c>
      <c r="E279" t="str">
        <f t="shared" ca="1" si="4"/>
        <v>NO</v>
      </c>
      <c r="F279" s="33">
        <f>IFERROR(LoanData[[#This Row],[EMI]]/LoanData[[#This Row],[Monthly_Income]]*100," ")</f>
        <v>9.6064592626051617</v>
      </c>
      <c r="G279" t="str" cm="1">
        <f t="array" ref="G279">_xlfn.IFS(F279&gt;40, "High DTI Risk",F279&gt;=25, "Moderate DTI",F279&lt;25, "Low DTI")</f>
        <v>Low DTI</v>
      </c>
      <c r="H279" t="str" cm="1">
        <f t="array" ref="H2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79" t="str">
        <f>_xlfn.XLOOKUP(H279,Reference_Tables!$B$2:$B$7,Reference_Tables!$C$2:$C$7,,0,1)</f>
        <v>HR</v>
      </c>
      <c r="J279" t="str">
        <f>INDEX(Reference_Tables!$D$11:$D$36,MATCH(LoanData[[#This Row],[Branch]],Reference_Tables!$A$11:$A$36,0))</f>
        <v>Suman Tiwari</v>
      </c>
      <c r="L279" s="35"/>
    </row>
    <row r="280" spans="2:12" ht="15.6" x14ac:dyDescent="0.3">
      <c r="B280" s="15">
        <f>DATEDIF(Loan_Data!K:K,Loan_Data!L:L,"D")</f>
        <v>18</v>
      </c>
      <c r="C280" s="15">
        <f ca="1">DATEDIF(LoanData[[#This Row],[Approval_Date]],TODAY(),"M")</f>
        <v>55</v>
      </c>
      <c r="D280" s="31">
        <f>EDATE(LoanData[[#This Row],[Approval_Date]],LoanData[[#This Row],[Loan_Term_Months]])</f>
        <v>47131</v>
      </c>
      <c r="E280" t="str">
        <f t="shared" ca="1" si="4"/>
        <v>NO</v>
      </c>
      <c r="F280" s="33">
        <f>IFERROR(LoanData[[#This Row],[EMI]]/LoanData[[#This Row],[Monthly_Income]]*100," ")</f>
        <v>17.270494721797348</v>
      </c>
      <c r="G280" t="str" cm="1">
        <f t="array" ref="G280">_xlfn.IFS(F280&gt;40, "High DTI Risk",F280&gt;=25, "Moderate DTI",F280&lt;25, "Low DTI")</f>
        <v>Low DTI</v>
      </c>
      <c r="H280" t="str" cm="1">
        <f t="array" ref="H2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80" t="str">
        <f>_xlfn.XLOOKUP(H280,Reference_Tables!$B$2:$B$7,Reference_Tables!$C$2:$C$7,,0,1)</f>
        <v>LR</v>
      </c>
      <c r="J280" t="str">
        <f>INDEX(Reference_Tables!$D$11:$D$36,MATCH(LoanData[[#This Row],[Branch]],Reference_Tables!$A$11:$A$36,0))</f>
        <v>Lakshmi Reddy</v>
      </c>
      <c r="L280" s="35"/>
    </row>
    <row r="281" spans="2:12" ht="15.6" x14ac:dyDescent="0.3">
      <c r="B281" s="15">
        <f>DATEDIF(Loan_Data!K:K,Loan_Data!L:L,"D")</f>
        <v>13</v>
      </c>
      <c r="C281" s="15">
        <f ca="1">DATEDIF(LoanData[[#This Row],[Approval_Date]],TODAY(),"M")</f>
        <v>62</v>
      </c>
      <c r="D281" s="31">
        <f>EDATE(LoanData[[#This Row],[Approval_Date]],LoanData[[#This Row],[Loan_Term_Months]])</f>
        <v>45087</v>
      </c>
      <c r="E281" t="str">
        <f t="shared" ca="1" si="4"/>
        <v>YES</v>
      </c>
      <c r="F281" s="33">
        <f>IFERROR(LoanData[[#This Row],[EMI]]/LoanData[[#This Row],[Monthly_Income]]*100," ")</f>
        <v>217.05876843830487</v>
      </c>
      <c r="G281" t="str" cm="1">
        <f t="array" ref="G281">_xlfn.IFS(F281&gt;40, "High DTI Risk",F281&gt;=25, "Moderate DTI",F281&lt;25, "Low DTI")</f>
        <v>High DTI Risk</v>
      </c>
      <c r="H281" t="str" cm="1">
        <f t="array" ref="H2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81" t="str">
        <f>_xlfn.XLOOKUP(H281,Reference_Tables!$B$2:$B$7,Reference_Tables!$C$2:$C$7,,0,1)</f>
        <v>VHR</v>
      </c>
      <c r="J281" t="str">
        <f>INDEX(Reference_Tables!$D$11:$D$36,MATCH(LoanData[[#This Row],[Branch]],Reference_Tables!$A$11:$A$36,0))</f>
        <v>Amit Kumar</v>
      </c>
      <c r="L281" s="35"/>
    </row>
    <row r="282" spans="2:12" ht="15.6" x14ac:dyDescent="0.3">
      <c r="B282" s="15">
        <f>DATEDIF(Loan_Data!K:K,Loan_Data!L:L,"D")</f>
        <v>13</v>
      </c>
      <c r="C282" s="15">
        <f ca="1">DATEDIF(LoanData[[#This Row],[Approval_Date]],TODAY(),"M")</f>
        <v>37</v>
      </c>
      <c r="D282" s="31">
        <f>EDATE(LoanData[[#This Row],[Approval_Date]],LoanData[[#This Row],[Loan_Term_Months]])</f>
        <v>46209</v>
      </c>
      <c r="E282" t="str">
        <f t="shared" ca="1" si="4"/>
        <v>YES</v>
      </c>
      <c r="F282" s="33">
        <f>IFERROR(LoanData[[#This Row],[EMI]]/LoanData[[#This Row],[Monthly_Income]]*100," ")</f>
        <v>5.0716277320712839</v>
      </c>
      <c r="G282" t="str" cm="1">
        <f t="array" ref="G282">_xlfn.IFS(F282&gt;40, "High DTI Risk",F282&gt;=25, "Moderate DTI",F282&lt;25, "Low DTI")</f>
        <v>Low DTI</v>
      </c>
      <c r="H282" t="str" cm="1">
        <f t="array" ref="H2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82" t="str">
        <f>_xlfn.XLOOKUP(H282,Reference_Tables!$B$2:$B$7,Reference_Tables!$C$2:$C$7,,0,1)</f>
        <v>VHR</v>
      </c>
      <c r="J282" t="str">
        <f>INDEX(Reference_Tables!$D$11:$D$36,MATCH(LoanData[[#This Row],[Branch]],Reference_Tables!$A$11:$A$36,0))</f>
        <v>Ravi Verma</v>
      </c>
      <c r="L282" s="35"/>
    </row>
    <row r="283" spans="2:12" ht="15.6" x14ac:dyDescent="0.3">
      <c r="B283" s="15">
        <f>DATEDIF(Loan_Data!K:K,Loan_Data!L:L,"D")</f>
        <v>16</v>
      </c>
      <c r="C283" s="15">
        <f ca="1">DATEDIF(LoanData[[#This Row],[Approval_Date]],TODAY(),"M")</f>
        <v>48</v>
      </c>
      <c r="D283" s="31">
        <f>EDATE(LoanData[[#This Row],[Approval_Date]],LoanData[[#This Row],[Loan_Term_Months]])</f>
        <v>50244</v>
      </c>
      <c r="E283" t="str">
        <f t="shared" ca="1" si="4"/>
        <v>NO</v>
      </c>
      <c r="F283" s="33">
        <f>IFERROR(LoanData[[#This Row],[EMI]]/LoanData[[#This Row],[Monthly_Income]]*100," ")</f>
        <v>6.4371322831656865</v>
      </c>
      <c r="G283" t="str" cm="1">
        <f t="array" ref="G283">_xlfn.IFS(F283&gt;40, "High DTI Risk",F283&gt;=25, "Moderate DTI",F283&lt;25, "Low DTI")</f>
        <v>Low DTI</v>
      </c>
      <c r="H283" t="str" cm="1">
        <f t="array" ref="H2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83" t="str">
        <f>_xlfn.XLOOKUP(H283,Reference_Tables!$B$2:$B$7,Reference_Tables!$C$2:$C$7,,0,1)</f>
        <v>VHR</v>
      </c>
      <c r="J283" t="str">
        <f>INDEX(Reference_Tables!$D$11:$D$36,MATCH(LoanData[[#This Row],[Branch]],Reference_Tables!$A$11:$A$36,0))</f>
        <v>Santhosh Rao</v>
      </c>
      <c r="L283" s="35"/>
    </row>
    <row r="284" spans="2:12" ht="15.6" x14ac:dyDescent="0.3">
      <c r="B284" s="15">
        <f>DATEDIF(Loan_Data!K:K,Loan_Data!L:L,"D")</f>
        <v>3</v>
      </c>
      <c r="C284" s="15">
        <f ca="1">DATEDIF(LoanData[[#This Row],[Approval_Date]],TODAY(),"M")</f>
        <v>54</v>
      </c>
      <c r="D284" s="31">
        <f>EDATE(LoanData[[#This Row],[Approval_Date]],LoanData[[#This Row],[Loan_Term_Months]])</f>
        <v>45701</v>
      </c>
      <c r="E284" t="str">
        <f t="shared" ca="1" si="4"/>
        <v>YES</v>
      </c>
      <c r="F284" s="33">
        <f>IFERROR(LoanData[[#This Row],[EMI]]/LoanData[[#This Row],[Monthly_Income]]*100," ")</f>
        <v>44.749161980473687</v>
      </c>
      <c r="G284" t="str" cm="1">
        <f t="array" ref="G284">_xlfn.IFS(F284&gt;40, "High DTI Risk",F284&gt;=25, "Moderate DTI",F284&lt;25, "Low DTI")</f>
        <v>High DTI Risk</v>
      </c>
      <c r="H284" t="str" cm="1">
        <f t="array" ref="H2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84" t="str">
        <f>_xlfn.XLOOKUP(H284,Reference_Tables!$B$2:$B$7,Reference_Tables!$C$2:$C$7,,0,1)</f>
        <v>MR</v>
      </c>
      <c r="J284" t="str">
        <f>INDEX(Reference_Tables!$D$11:$D$36,MATCH(LoanData[[#This Row],[Branch]],Reference_Tables!$A$11:$A$36,0))</f>
        <v>Kavita Joshi</v>
      </c>
      <c r="L284" s="35"/>
    </row>
    <row r="285" spans="2:12" ht="15.6" x14ac:dyDescent="0.3">
      <c r="B285" s="15">
        <f>DATEDIF(Loan_Data!K:K,Loan_Data!L:L,"D")</f>
        <v>6</v>
      </c>
      <c r="C285" s="15">
        <f ca="1">DATEDIF(LoanData[[#This Row],[Approval_Date]],TODAY(),"M")</f>
        <v>38</v>
      </c>
      <c r="D285" s="31">
        <f>EDATE(LoanData[[#This Row],[Approval_Date]],LoanData[[#This Row],[Loan_Term_Months]])</f>
        <v>46900</v>
      </c>
      <c r="E285" t="str">
        <f t="shared" ca="1" si="4"/>
        <v>NO</v>
      </c>
      <c r="F285" s="33">
        <f>IFERROR(LoanData[[#This Row],[EMI]]/LoanData[[#This Row],[Monthly_Income]]*100," ")</f>
        <v>5.2612478723674521</v>
      </c>
      <c r="G285" t="str" cm="1">
        <f t="array" ref="G285">_xlfn.IFS(F285&gt;40, "High DTI Risk",F285&gt;=25, "Moderate DTI",F285&lt;25, "Low DTI")</f>
        <v>Low DTI</v>
      </c>
      <c r="H285" t="str" cm="1">
        <f t="array" ref="H2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85" t="str">
        <f>_xlfn.XLOOKUP(H285,Reference_Tables!$B$2:$B$7,Reference_Tables!$C$2:$C$7,,0,1)</f>
        <v>HR</v>
      </c>
      <c r="J285" t="str">
        <f>INDEX(Reference_Tables!$D$11:$D$36,MATCH(LoanData[[#This Row],[Branch]],Reference_Tables!$A$11:$A$36,0))</f>
        <v>Hetal Patel</v>
      </c>
      <c r="L285" s="35"/>
    </row>
    <row r="286" spans="2:12" ht="15.6" x14ac:dyDescent="0.3">
      <c r="B286" s="15">
        <f>DATEDIF(Loan_Data!K:K,Loan_Data!L:L,"D")</f>
        <v>10</v>
      </c>
      <c r="C286" s="15">
        <f ca="1">DATEDIF(LoanData[[#This Row],[Approval_Date]],TODAY(),"M")</f>
        <v>53</v>
      </c>
      <c r="D286" s="31">
        <f>EDATE(LoanData[[#This Row],[Approval_Date]],LoanData[[#This Row],[Loan_Term_Months]])</f>
        <v>45352</v>
      </c>
      <c r="E286" t="str">
        <f t="shared" ca="1" si="4"/>
        <v>YES</v>
      </c>
      <c r="F286" s="33">
        <f>IFERROR(LoanData[[#This Row],[EMI]]/LoanData[[#This Row],[Monthly_Income]]*100," ")</f>
        <v>15.185675167785234</v>
      </c>
      <c r="G286" t="str" cm="1">
        <f t="array" ref="G286">_xlfn.IFS(F286&gt;40, "High DTI Risk",F286&gt;=25, "Moderate DTI",F286&lt;25, "Low DTI")</f>
        <v>Low DTI</v>
      </c>
      <c r="H286" t="str" cm="1">
        <f t="array" ref="H2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86" t="str">
        <f>_xlfn.XLOOKUP(H286,Reference_Tables!$B$2:$B$7,Reference_Tables!$C$2:$C$7,,0,1)</f>
        <v>HR</v>
      </c>
      <c r="J286" t="str">
        <f>INDEX(Reference_Tables!$D$11:$D$36,MATCH(LoanData[[#This Row],[Branch]],Reference_Tables!$A$11:$A$36,0))</f>
        <v>Amit Kumar</v>
      </c>
      <c r="L286" s="35"/>
    </row>
    <row r="287" spans="2:12" ht="15.6" x14ac:dyDescent="0.3">
      <c r="B287" s="15">
        <f>DATEDIF(Loan_Data!K:K,Loan_Data!L:L,"D")</f>
        <v>4</v>
      </c>
      <c r="C287" s="15">
        <f ca="1">DATEDIF(LoanData[[#This Row],[Approval_Date]],TODAY(),"M")</f>
        <v>44</v>
      </c>
      <c r="D287" s="31">
        <f>EDATE(LoanData[[#This Row],[Approval_Date]],LoanData[[#This Row],[Loan_Term_Months]])</f>
        <v>45626</v>
      </c>
      <c r="E287" t="str">
        <f t="shared" ca="1" si="4"/>
        <v>YES</v>
      </c>
      <c r="F287" s="33">
        <f>IFERROR(LoanData[[#This Row],[EMI]]/LoanData[[#This Row],[Monthly_Income]]*100," ")</f>
        <v>10.555836340916864</v>
      </c>
      <c r="G287" t="str" cm="1">
        <f t="array" ref="G287">_xlfn.IFS(F287&gt;40, "High DTI Risk",F287&gt;=25, "Moderate DTI",F287&lt;25, "Low DTI")</f>
        <v>Low DTI</v>
      </c>
      <c r="H287" t="str" cm="1">
        <f t="array" ref="H2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87" t="str">
        <f>_xlfn.XLOOKUP(H287,Reference_Tables!$B$2:$B$7,Reference_Tables!$C$2:$C$7,,0,1)</f>
        <v>LR</v>
      </c>
      <c r="J287" t="str">
        <f>INDEX(Reference_Tables!$D$11:$D$36,MATCH(LoanData[[#This Row],[Branch]],Reference_Tables!$A$11:$A$36,0))</f>
        <v>Priya Yadav</v>
      </c>
      <c r="L287" s="35"/>
    </row>
    <row r="288" spans="2:12" ht="15.6" x14ac:dyDescent="0.3">
      <c r="B288" s="15">
        <f>DATEDIF(Loan_Data!K:K,Loan_Data!L:L,"D")</f>
        <v>11</v>
      </c>
      <c r="C288" s="15">
        <f ca="1">DATEDIF(LoanData[[#This Row],[Approval_Date]],TODAY(),"M")</f>
        <v>47</v>
      </c>
      <c r="D288" s="31">
        <f>EDATE(LoanData[[#This Row],[Approval_Date]],LoanData[[#This Row],[Loan_Term_Months]])</f>
        <v>46274</v>
      </c>
      <c r="E288" t="str">
        <f t="shared" ca="1" si="4"/>
        <v>NO</v>
      </c>
      <c r="F288" s="33">
        <f>IFERROR(LoanData[[#This Row],[EMI]]/LoanData[[#This Row],[Monthly_Income]]*100," ")</f>
        <v>40.80099598286909</v>
      </c>
      <c r="G288" t="str" cm="1">
        <f t="array" ref="G288">_xlfn.IFS(F288&gt;40, "High DTI Risk",F288&gt;=25, "Moderate DTI",F288&lt;25, "Low DTI")</f>
        <v>High DTI Risk</v>
      </c>
      <c r="H288" t="str" cm="1">
        <f t="array" ref="H2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88" t="str">
        <f>_xlfn.XLOOKUP(H288,Reference_Tables!$B$2:$B$7,Reference_Tables!$C$2:$C$7,,0,1)</f>
        <v>HR</v>
      </c>
      <c r="J288" t="str">
        <f>INDEX(Reference_Tables!$D$11:$D$36,MATCH(LoanData[[#This Row],[Branch]],Reference_Tables!$A$11:$A$36,0))</f>
        <v>Santhosh Rao</v>
      </c>
      <c r="L288" s="35"/>
    </row>
    <row r="289" spans="2:12" ht="15.6" x14ac:dyDescent="0.3">
      <c r="B289" s="15">
        <f>DATEDIF(Loan_Data!K:K,Loan_Data!L:L,"D")</f>
        <v>30</v>
      </c>
      <c r="C289" s="15">
        <f ca="1">DATEDIF(LoanData[[#This Row],[Approval_Date]],TODAY(),"M")</f>
        <v>40</v>
      </c>
      <c r="D289" s="31">
        <f>EDATE(LoanData[[#This Row],[Approval_Date]],LoanData[[#This Row],[Loan_Term_Months]])</f>
        <v>46129</v>
      </c>
      <c r="E289" t="str">
        <f t="shared" ca="1" si="4"/>
        <v>YES</v>
      </c>
      <c r="F289" s="33">
        <f>IFERROR(LoanData[[#This Row],[EMI]]/LoanData[[#This Row],[Monthly_Income]]*100," ")</f>
        <v>11.15167350178595</v>
      </c>
      <c r="G289" t="str" cm="1">
        <f t="array" ref="G289">_xlfn.IFS(F289&gt;40, "High DTI Risk",F289&gt;=25, "Moderate DTI",F289&lt;25, "Low DTI")</f>
        <v>Low DTI</v>
      </c>
      <c r="H289" t="str" cm="1">
        <f t="array" ref="H2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89" t="str">
        <f>_xlfn.XLOOKUP(H289,Reference_Tables!$B$2:$B$7,Reference_Tables!$C$2:$C$7,,0,1)</f>
        <v>LR</v>
      </c>
      <c r="J289" t="str">
        <f>INDEX(Reference_Tables!$D$11:$D$36,MATCH(LoanData[[#This Row],[Branch]],Reference_Tables!$A$11:$A$36,0))</f>
        <v>Ravi Verma</v>
      </c>
      <c r="L289" s="35"/>
    </row>
    <row r="290" spans="2:12" ht="15.6" x14ac:dyDescent="0.3">
      <c r="B290" s="15">
        <f>DATEDIF(Loan_Data!K:K,Loan_Data!L:L,"D")</f>
        <v>8</v>
      </c>
      <c r="C290" s="15">
        <f ca="1">DATEDIF(LoanData[[#This Row],[Approval_Date]],TODAY(),"M")</f>
        <v>37</v>
      </c>
      <c r="D290" s="31">
        <f>EDATE(LoanData[[#This Row],[Approval_Date]],LoanData[[#This Row],[Loan_Term_Months]])</f>
        <v>46198</v>
      </c>
      <c r="E290" t="str">
        <f t="shared" ca="1" si="4"/>
        <v>YES</v>
      </c>
      <c r="F290" s="33">
        <f>IFERROR(LoanData[[#This Row],[EMI]]/LoanData[[#This Row],[Monthly_Income]]*100," ")</f>
        <v>34.431636330237559</v>
      </c>
      <c r="G290" t="str" cm="1">
        <f t="array" ref="G290">_xlfn.IFS(F290&gt;40, "High DTI Risk",F290&gt;=25, "Moderate DTI",F290&lt;25, "Low DTI")</f>
        <v>Moderate DTI</v>
      </c>
      <c r="H290" t="str" cm="1">
        <f t="array" ref="H2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90" t="str">
        <f>_xlfn.XLOOKUP(H290,Reference_Tables!$B$2:$B$7,Reference_Tables!$C$2:$C$7,,0,1)</f>
        <v>VHR</v>
      </c>
      <c r="J290" t="str">
        <f>INDEX(Reference_Tables!$D$11:$D$36,MATCH(LoanData[[#This Row],[Branch]],Reference_Tables!$A$11:$A$36,0))</f>
        <v>Rahul Kapoor</v>
      </c>
      <c r="L290" s="35"/>
    </row>
    <row r="291" spans="2:12" ht="15.6" x14ac:dyDescent="0.3">
      <c r="B291" s="15">
        <f>DATEDIF(Loan_Data!K:K,Loan_Data!L:L,"D")</f>
        <v>26</v>
      </c>
      <c r="C291" s="15">
        <f ca="1">DATEDIF(LoanData[[#This Row],[Approval_Date]],TODAY(),"M")</f>
        <v>52</v>
      </c>
      <c r="D291" s="31">
        <f>EDATE(LoanData[[#This Row],[Approval_Date]],LoanData[[#This Row],[Loan_Term_Months]])</f>
        <v>47212</v>
      </c>
      <c r="E291" t="str">
        <f t="shared" ca="1" si="4"/>
        <v>NO</v>
      </c>
      <c r="F291" s="33">
        <f>IFERROR(LoanData[[#This Row],[EMI]]/LoanData[[#This Row],[Monthly_Income]]*100," ")</f>
        <v>8.1038294625399399</v>
      </c>
      <c r="G291" t="str" cm="1">
        <f t="array" ref="G291">_xlfn.IFS(F291&gt;40, "High DTI Risk",F291&gt;=25, "Moderate DTI",F291&lt;25, "Low DTI")</f>
        <v>Low DTI</v>
      </c>
      <c r="H291" t="str" cm="1">
        <f t="array" ref="H2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291" t="str">
        <f>_xlfn.XLOOKUP(H291,Reference_Tables!$B$2:$B$7,Reference_Tables!$C$2:$C$7,,0,1)</f>
        <v>MR</v>
      </c>
      <c r="J291" t="str">
        <f>INDEX(Reference_Tables!$D$11:$D$36,MATCH(LoanData[[#This Row],[Branch]],Reference_Tables!$A$11:$A$36,0))</f>
        <v>Vikram Malhotra</v>
      </c>
      <c r="L291" s="35"/>
    </row>
    <row r="292" spans="2:12" ht="15.6" x14ac:dyDescent="0.3">
      <c r="B292" s="15">
        <f>DATEDIF(Loan_Data!K:K,Loan_Data!L:L,"D")</f>
        <v>28</v>
      </c>
      <c r="C292" s="15">
        <f ca="1">DATEDIF(LoanData[[#This Row],[Approval_Date]],TODAY(),"M")</f>
        <v>50</v>
      </c>
      <c r="D292" s="31">
        <f>EDATE(LoanData[[#This Row],[Approval_Date]],LoanData[[#This Row],[Loan_Term_Months]])</f>
        <v>45825</v>
      </c>
      <c r="E292" t="str">
        <f t="shared" ca="1" si="4"/>
        <v>YES</v>
      </c>
      <c r="F292" s="33">
        <f>IFERROR(LoanData[[#This Row],[EMI]]/LoanData[[#This Row],[Monthly_Income]]*100," ")</f>
        <v>13.342902152094926</v>
      </c>
      <c r="G292" t="str" cm="1">
        <f t="array" ref="G292">_xlfn.IFS(F292&gt;40, "High DTI Risk",F292&gt;=25, "Moderate DTI",F292&lt;25, "Low DTI")</f>
        <v>Low DTI</v>
      </c>
      <c r="H292" t="str" cm="1">
        <f t="array" ref="H2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92" t="str">
        <f>_xlfn.XLOOKUP(H292,Reference_Tables!$B$2:$B$7,Reference_Tables!$C$2:$C$7,,0,1)</f>
        <v>HR</v>
      </c>
      <c r="J292" t="str">
        <f>INDEX(Reference_Tables!$D$11:$D$36,MATCH(LoanData[[#This Row],[Branch]],Reference_Tables!$A$11:$A$36,0))</f>
        <v>Kavita Joshi</v>
      </c>
      <c r="L292" s="35"/>
    </row>
    <row r="293" spans="2:12" ht="15.6" x14ac:dyDescent="0.3">
      <c r="B293" s="15">
        <f>DATEDIF(Loan_Data!K:K,Loan_Data!L:L,"D")</f>
        <v>4</v>
      </c>
      <c r="C293" s="15">
        <f ca="1">DATEDIF(LoanData[[#This Row],[Approval_Date]],TODAY(),"M")</f>
        <v>57</v>
      </c>
      <c r="D293" s="31">
        <f>EDATE(LoanData[[#This Row],[Approval_Date]],LoanData[[#This Row],[Loan_Term_Months]])</f>
        <v>47051</v>
      </c>
      <c r="E293" t="str">
        <f t="shared" ca="1" si="4"/>
        <v>NO</v>
      </c>
      <c r="F293" s="33">
        <f>IFERROR(LoanData[[#This Row],[EMI]]/LoanData[[#This Row],[Monthly_Income]]*100," ")</f>
        <v>6.7504626242630286</v>
      </c>
      <c r="G293" t="str" cm="1">
        <f t="array" ref="G293">_xlfn.IFS(F293&gt;40, "High DTI Risk",F293&gt;=25, "Moderate DTI",F293&lt;25, "Low DTI")</f>
        <v>Low DTI</v>
      </c>
      <c r="H293" t="str" cm="1">
        <f t="array" ref="H2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93" t="str">
        <f>_xlfn.XLOOKUP(H293,Reference_Tables!$B$2:$B$7,Reference_Tables!$C$2:$C$7,,0,1)</f>
        <v>HR</v>
      </c>
      <c r="J293" t="str">
        <f>INDEX(Reference_Tables!$D$11:$D$36,MATCH(LoanData[[#This Row],[Branch]],Reference_Tables!$A$11:$A$36,0))</f>
        <v>Amit Kumar</v>
      </c>
      <c r="L293" s="35"/>
    </row>
    <row r="294" spans="2:12" ht="15.6" x14ac:dyDescent="0.3">
      <c r="B294" s="15">
        <f>DATEDIF(Loan_Data!K:K,Loan_Data!L:L,"D")</f>
        <v>9</v>
      </c>
      <c r="C294" s="15">
        <f ca="1">DATEDIF(LoanData[[#This Row],[Approval_Date]],TODAY(),"M")</f>
        <v>54</v>
      </c>
      <c r="D294" s="31">
        <f>EDATE(LoanData[[#This Row],[Approval_Date]],LoanData[[#This Row],[Loan_Term_Months]])</f>
        <v>44955</v>
      </c>
      <c r="E294" t="str">
        <f t="shared" ca="1" si="4"/>
        <v>YES</v>
      </c>
      <c r="F294" s="33">
        <f>IFERROR(LoanData[[#This Row],[EMI]]/LoanData[[#This Row],[Monthly_Income]]*100," ")</f>
        <v>17.56453317790708</v>
      </c>
      <c r="G294" t="str" cm="1">
        <f t="array" ref="G294">_xlfn.IFS(F294&gt;40, "High DTI Risk",F294&gt;=25, "Moderate DTI",F294&lt;25, "Low DTI")</f>
        <v>Low DTI</v>
      </c>
      <c r="H294" t="str" cm="1">
        <f t="array" ref="H2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94" t="str">
        <f>_xlfn.XLOOKUP(H294,Reference_Tables!$B$2:$B$7,Reference_Tables!$C$2:$C$7,,0,1)</f>
        <v>VHR</v>
      </c>
      <c r="J294" t="str">
        <f>INDEX(Reference_Tables!$D$11:$D$36,MATCH(LoanData[[#This Row],[Branch]],Reference_Tables!$A$11:$A$36,0))</f>
        <v>Nilesh Shah</v>
      </c>
      <c r="L294" s="35"/>
    </row>
    <row r="295" spans="2:12" ht="15.6" x14ac:dyDescent="0.3">
      <c r="B295" s="15">
        <f>DATEDIF(Loan_Data!K:K,Loan_Data!L:L,"D")</f>
        <v>16</v>
      </c>
      <c r="C295" s="15">
        <f ca="1">DATEDIF(LoanData[[#This Row],[Approval_Date]],TODAY(),"M")</f>
        <v>52</v>
      </c>
      <c r="D295" s="31">
        <f>EDATE(LoanData[[#This Row],[Approval_Date]],LoanData[[#This Row],[Loan_Term_Months]])</f>
        <v>46121</v>
      </c>
      <c r="E295" t="str">
        <f t="shared" ca="1" si="4"/>
        <v>YES</v>
      </c>
      <c r="F295" s="33">
        <f>IFERROR(LoanData[[#This Row],[EMI]]/LoanData[[#This Row],[Monthly_Income]]*100," ")</f>
        <v>45.317144432194048</v>
      </c>
      <c r="G295" t="str" cm="1">
        <f t="array" ref="G295">_xlfn.IFS(F295&gt;40, "High DTI Risk",F295&gt;=25, "Moderate DTI",F295&lt;25, "Low DTI")</f>
        <v>High DTI Risk</v>
      </c>
      <c r="H295" t="str" cm="1">
        <f t="array" ref="H2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95" t="str">
        <f>_xlfn.XLOOKUP(H295,Reference_Tables!$B$2:$B$7,Reference_Tables!$C$2:$C$7,,0,1)</f>
        <v>HR</v>
      </c>
      <c r="J295" t="str">
        <f>INDEX(Reference_Tables!$D$11:$D$36,MATCH(LoanData[[#This Row],[Branch]],Reference_Tables!$A$11:$A$36,0))</f>
        <v>Anil Mishra</v>
      </c>
      <c r="L295" s="35"/>
    </row>
    <row r="296" spans="2:12" ht="15.6" x14ac:dyDescent="0.3">
      <c r="B296" s="15">
        <f>DATEDIF(Loan_Data!K:K,Loan_Data!L:L,"D")</f>
        <v>9</v>
      </c>
      <c r="C296" s="15">
        <f ca="1">DATEDIF(LoanData[[#This Row],[Approval_Date]],TODAY(),"M")</f>
        <v>44</v>
      </c>
      <c r="D296" s="31">
        <f>EDATE(LoanData[[#This Row],[Approval_Date]],LoanData[[#This Row],[Loan_Term_Months]])</f>
        <v>48556</v>
      </c>
      <c r="E296" t="str">
        <f t="shared" ca="1" si="4"/>
        <v>NO</v>
      </c>
      <c r="F296" s="33">
        <f>IFERROR(LoanData[[#This Row],[EMI]]/LoanData[[#This Row],[Monthly_Income]]*100," ")</f>
        <v>3.0371610927481396</v>
      </c>
      <c r="G296" t="str" cm="1">
        <f t="array" ref="G296">_xlfn.IFS(F296&gt;40, "High DTI Risk",F296&gt;=25, "Moderate DTI",F296&lt;25, "Low DTI")</f>
        <v>Low DTI</v>
      </c>
      <c r="H296" t="str" cm="1">
        <f t="array" ref="H2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296" t="str">
        <f>_xlfn.XLOOKUP(H296,Reference_Tables!$B$2:$B$7,Reference_Tables!$C$2:$C$7,,0,1)</f>
        <v>LR</v>
      </c>
      <c r="J296" t="str">
        <f>INDEX(Reference_Tables!$D$11:$D$36,MATCH(LoanData[[#This Row],[Branch]],Reference_Tables!$A$11:$A$36,0))</f>
        <v>Lakshmi Reddy</v>
      </c>
      <c r="L296" s="35"/>
    </row>
    <row r="297" spans="2:12" ht="15.6" x14ac:dyDescent="0.3">
      <c r="B297" s="15">
        <f>DATEDIF(Loan_Data!K:K,Loan_Data!L:L,"D")</f>
        <v>25</v>
      </c>
      <c r="C297" s="15">
        <f ca="1">DATEDIF(LoanData[[#This Row],[Approval_Date]],TODAY(),"M")</f>
        <v>43</v>
      </c>
      <c r="D297" s="31">
        <f>EDATE(LoanData[[#This Row],[Approval_Date]],LoanData[[#This Row],[Loan_Term_Months]])</f>
        <v>45305</v>
      </c>
      <c r="E297" t="str">
        <f t="shared" ca="1" si="4"/>
        <v>YES</v>
      </c>
      <c r="F297" s="33">
        <f>IFERROR(LoanData[[#This Row],[EMI]]/LoanData[[#This Row],[Monthly_Income]]*100," ")</f>
        <v>28.480318565350888</v>
      </c>
      <c r="G297" t="str" cm="1">
        <f t="array" ref="G297">_xlfn.IFS(F297&gt;40, "High DTI Risk",F297&gt;=25, "Moderate DTI",F297&lt;25, "Low DTI")</f>
        <v>Moderate DTI</v>
      </c>
      <c r="H297" t="str" cm="1">
        <f t="array" ref="H2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97" t="str">
        <f>_xlfn.XLOOKUP(H297,Reference_Tables!$B$2:$B$7,Reference_Tables!$C$2:$C$7,,0,1)</f>
        <v>HR</v>
      </c>
      <c r="J297" t="str">
        <f>INDEX(Reference_Tables!$D$11:$D$36,MATCH(LoanData[[#This Row],[Branch]],Reference_Tables!$A$11:$A$36,0))</f>
        <v>Priyanka Gupta</v>
      </c>
      <c r="L297" s="35"/>
    </row>
    <row r="298" spans="2:12" ht="15.6" x14ac:dyDescent="0.3">
      <c r="B298" s="15">
        <f>DATEDIF(Loan_Data!K:K,Loan_Data!L:L,"D")</f>
        <v>30</v>
      </c>
      <c r="C298" s="15">
        <f ca="1">DATEDIF(LoanData[[#This Row],[Approval_Date]],TODAY(),"M")</f>
        <v>59</v>
      </c>
      <c r="D298" s="31">
        <f>EDATE(LoanData[[#This Row],[Approval_Date]],LoanData[[#This Row],[Loan_Term_Months]])</f>
        <v>45911</v>
      </c>
      <c r="E298" t="str">
        <f t="shared" ca="1" si="4"/>
        <v>YES</v>
      </c>
      <c r="F298" s="33">
        <f>IFERROR(LoanData[[#This Row],[EMI]]/LoanData[[#This Row],[Monthly_Income]]*100," ")</f>
        <v>14.338843906322762</v>
      </c>
      <c r="G298" t="str" cm="1">
        <f t="array" ref="G298">_xlfn.IFS(F298&gt;40, "High DTI Risk",F298&gt;=25, "Moderate DTI",F298&lt;25, "Low DTI")</f>
        <v>Low DTI</v>
      </c>
      <c r="H298" t="str" cm="1">
        <f t="array" ref="H2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298" t="str">
        <f>_xlfn.XLOOKUP(H298,Reference_Tables!$B$2:$B$7,Reference_Tables!$C$2:$C$7,,0,1)</f>
        <v>VHR</v>
      </c>
      <c r="J298" t="str">
        <f>INDEX(Reference_Tables!$D$11:$D$36,MATCH(LoanData[[#This Row],[Branch]],Reference_Tables!$A$11:$A$36,0))</f>
        <v>Arvind Pillai</v>
      </c>
      <c r="L298" s="35"/>
    </row>
    <row r="299" spans="2:12" ht="15.6" x14ac:dyDescent="0.3">
      <c r="B299" s="15">
        <f>DATEDIF(Loan_Data!K:K,Loan_Data!L:L,"D")</f>
        <v>30</v>
      </c>
      <c r="C299" s="15">
        <f ca="1">DATEDIF(LoanData[[#This Row],[Approval_Date]],TODAY(),"M")</f>
        <v>48</v>
      </c>
      <c r="D299" s="31">
        <f>EDATE(LoanData[[#This Row],[Approval_Date]],LoanData[[#This Row],[Loan_Term_Months]])</f>
        <v>45521</v>
      </c>
      <c r="E299" t="str">
        <f t="shared" ca="1" si="4"/>
        <v>YES</v>
      </c>
      <c r="F299" s="33">
        <f>IFERROR(LoanData[[#This Row],[EMI]]/LoanData[[#This Row],[Monthly_Income]]*100," ")</f>
        <v>20.331489017264129</v>
      </c>
      <c r="G299" t="str" cm="1">
        <f t="array" ref="G299">_xlfn.IFS(F299&gt;40, "High DTI Risk",F299&gt;=25, "Moderate DTI",F299&lt;25, "Low DTI")</f>
        <v>Low DTI</v>
      </c>
      <c r="H299" t="str" cm="1">
        <f t="array" ref="H2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299" t="str">
        <f>_xlfn.XLOOKUP(H299,Reference_Tables!$B$2:$B$7,Reference_Tables!$C$2:$C$7,,0,1)</f>
        <v>HR</v>
      </c>
      <c r="J299" t="str">
        <f>INDEX(Reference_Tables!$D$11:$D$36,MATCH(LoanData[[#This Row],[Branch]],Reference_Tables!$A$11:$A$36,0))</f>
        <v>Puja Chatterjee</v>
      </c>
      <c r="L299" s="35"/>
    </row>
    <row r="300" spans="2:12" ht="15.6" x14ac:dyDescent="0.3">
      <c r="B300" s="15">
        <f>DATEDIF(Loan_Data!K:K,Loan_Data!L:L,"D")</f>
        <v>27</v>
      </c>
      <c r="C300" s="15">
        <f ca="1">DATEDIF(LoanData[[#This Row],[Approval_Date]],TODAY(),"M")</f>
        <v>65</v>
      </c>
      <c r="D300" s="31">
        <f>EDATE(LoanData[[#This Row],[Approval_Date]],LoanData[[#This Row],[Loan_Term_Months]])</f>
        <v>44629</v>
      </c>
      <c r="E300" t="str">
        <f t="shared" ca="1" si="4"/>
        <v>YES</v>
      </c>
      <c r="F300" s="33">
        <f>IFERROR(LoanData[[#This Row],[EMI]]/LoanData[[#This Row],[Monthly_Income]]*100," ")</f>
        <v>74.556488507385836</v>
      </c>
      <c r="G300" t="str" cm="1">
        <f t="array" ref="G300">_xlfn.IFS(F300&gt;40, "High DTI Risk",F300&gt;=25, "Moderate DTI",F300&lt;25, "Low DTI")</f>
        <v>High DTI Risk</v>
      </c>
      <c r="H300" t="str" cm="1">
        <f t="array" ref="H3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300" t="str">
        <f>_xlfn.XLOOKUP(H300,Reference_Tables!$B$2:$B$7,Reference_Tables!$C$2:$C$7,,0,1)</f>
        <v>UC</v>
      </c>
      <c r="J300" t="str">
        <f>INDEX(Reference_Tables!$D$11:$D$36,MATCH(LoanData[[#This Row],[Branch]],Reference_Tables!$A$11:$A$36,0))</f>
        <v>Nilesh Shah</v>
      </c>
      <c r="L300" s="35"/>
    </row>
    <row r="301" spans="2:12" ht="15.6" x14ac:dyDescent="0.3">
      <c r="B301" s="15">
        <f>DATEDIF(Loan_Data!K:K,Loan_Data!L:L,"D")</f>
        <v>25</v>
      </c>
      <c r="C301" s="15">
        <f ca="1">DATEDIF(LoanData[[#This Row],[Approval_Date]],TODAY(),"M")</f>
        <v>65</v>
      </c>
      <c r="D301" s="31">
        <f>EDATE(LoanData[[#This Row],[Approval_Date]],LoanData[[#This Row],[Loan_Term_Months]])</f>
        <v>46076</v>
      </c>
      <c r="E301" t="str">
        <f t="shared" ca="1" si="4"/>
        <v>YES</v>
      </c>
      <c r="F301" s="33">
        <f>IFERROR(LoanData[[#This Row],[EMI]]/LoanData[[#This Row],[Monthly_Income]]*100," ")</f>
        <v>6.407400493739587</v>
      </c>
      <c r="G301" t="str" cm="1">
        <f t="array" ref="G301">_xlfn.IFS(F301&gt;40, "High DTI Risk",F301&gt;=25, "Moderate DTI",F301&lt;25, "Low DTI")</f>
        <v>Low DTI</v>
      </c>
      <c r="H301" t="str" cm="1">
        <f t="array" ref="H3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01" t="str">
        <f>_xlfn.XLOOKUP(H301,Reference_Tables!$B$2:$B$7,Reference_Tables!$C$2:$C$7,,0,1)</f>
        <v>HR</v>
      </c>
      <c r="J301" t="str">
        <f>INDEX(Reference_Tables!$D$11:$D$36,MATCH(LoanData[[#This Row],[Branch]],Reference_Tables!$A$11:$A$36,0))</f>
        <v>Arvind Pillai</v>
      </c>
      <c r="L301" s="35"/>
    </row>
    <row r="302" spans="2:12" ht="15.6" x14ac:dyDescent="0.3">
      <c r="B302" s="15">
        <f>DATEDIF(Loan_Data!K:K,Loan_Data!L:L,"D")</f>
        <v>20</v>
      </c>
      <c r="C302" s="15">
        <f ca="1">DATEDIF(LoanData[[#This Row],[Approval_Date]],TODAY(),"M")</f>
        <v>63</v>
      </c>
      <c r="D302" s="31">
        <f>EDATE(LoanData[[#This Row],[Approval_Date]],LoanData[[#This Row],[Loan_Term_Months]])</f>
        <v>46140</v>
      </c>
      <c r="E302" t="str">
        <f t="shared" ca="1" si="4"/>
        <v>YES</v>
      </c>
      <c r="F302" s="33">
        <f>IFERROR(LoanData[[#This Row],[EMI]]/LoanData[[#This Row],[Monthly_Income]]*100," ")</f>
        <v>3.7447139303482588</v>
      </c>
      <c r="G302" t="str" cm="1">
        <f t="array" ref="G302">_xlfn.IFS(F302&gt;40, "High DTI Risk",F302&gt;=25, "Moderate DTI",F302&lt;25, "Low DTI")</f>
        <v>Low DTI</v>
      </c>
      <c r="H302" t="str" cm="1">
        <f t="array" ref="H3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02" t="str">
        <f>_xlfn.XLOOKUP(H302,Reference_Tables!$B$2:$B$7,Reference_Tables!$C$2:$C$7,,0,1)</f>
        <v>HR</v>
      </c>
      <c r="J302" t="str">
        <f>INDEX(Reference_Tables!$D$11:$D$36,MATCH(LoanData[[#This Row],[Branch]],Reference_Tables!$A$11:$A$36,0))</f>
        <v>Suresh Menon</v>
      </c>
      <c r="L302" s="35"/>
    </row>
    <row r="303" spans="2:12" ht="15.6" x14ac:dyDescent="0.3">
      <c r="B303" s="15">
        <f>DATEDIF(Loan_Data!K:K,Loan_Data!L:L,"D")</f>
        <v>21</v>
      </c>
      <c r="C303" s="15">
        <f ca="1">DATEDIF(LoanData[[#This Row],[Approval_Date]],TODAY(),"M")</f>
        <v>63</v>
      </c>
      <c r="D303" s="31">
        <f>EDATE(LoanData[[#This Row],[Approval_Date]],LoanData[[#This Row],[Loan_Term_Months]])</f>
        <v>46152</v>
      </c>
      <c r="E303" t="str">
        <f t="shared" ca="1" si="4"/>
        <v>YES</v>
      </c>
      <c r="F303" s="33">
        <f>IFERROR(LoanData[[#This Row],[EMI]]/LoanData[[#This Row],[Monthly_Income]]*100," ")</f>
        <v>14.627415199005728</v>
      </c>
      <c r="G303" t="str" cm="1">
        <f t="array" ref="G303">_xlfn.IFS(F303&gt;40, "High DTI Risk",F303&gt;=25, "Moderate DTI",F303&lt;25, "Low DTI")</f>
        <v>Low DTI</v>
      </c>
      <c r="H303" t="str" cm="1">
        <f t="array" ref="H3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03" t="str">
        <f>_xlfn.XLOOKUP(H303,Reference_Tables!$B$2:$B$7,Reference_Tables!$C$2:$C$7,,0,1)</f>
        <v>LR</v>
      </c>
      <c r="J303" t="str">
        <f>INDEX(Reference_Tables!$D$11:$D$36,MATCH(LoanData[[#This Row],[Branch]],Reference_Tables!$A$11:$A$36,0))</f>
        <v>Vikram Malhotra</v>
      </c>
      <c r="L303" s="35"/>
    </row>
    <row r="304" spans="2:12" ht="15.6" x14ac:dyDescent="0.3">
      <c r="B304" s="15">
        <f>DATEDIF(Loan_Data!K:K,Loan_Data!L:L,"D")</f>
        <v>5</v>
      </c>
      <c r="C304" s="15">
        <f ca="1">DATEDIF(LoanData[[#This Row],[Approval_Date]],TODAY(),"M")</f>
        <v>41</v>
      </c>
      <c r="D304" s="31">
        <f>EDATE(LoanData[[#This Row],[Approval_Date]],LoanData[[#This Row],[Loan_Term_Months]])</f>
        <v>45708</v>
      </c>
      <c r="E304" t="str">
        <f t="shared" ca="1" si="4"/>
        <v>YES</v>
      </c>
      <c r="F304" s="33">
        <f>IFERROR(LoanData[[#This Row],[EMI]]/LoanData[[#This Row],[Monthly_Income]]*100," ")</f>
        <v>36.17653642653643</v>
      </c>
      <c r="G304" t="str" cm="1">
        <f t="array" ref="G304">_xlfn.IFS(F304&gt;40, "High DTI Risk",F304&gt;=25, "Moderate DTI",F304&lt;25, "Low DTI")</f>
        <v>Moderate DTI</v>
      </c>
      <c r="H304" t="str" cm="1">
        <f t="array" ref="H3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04" t="str">
        <f>_xlfn.XLOOKUP(H304,Reference_Tables!$B$2:$B$7,Reference_Tables!$C$2:$C$7,,0,1)</f>
        <v>HR</v>
      </c>
      <c r="J304" t="str">
        <f>INDEX(Reference_Tables!$D$11:$D$36,MATCH(LoanData[[#This Row],[Branch]],Reference_Tables!$A$11:$A$36,0))</f>
        <v>Rahul Kapoor</v>
      </c>
      <c r="L304" s="35"/>
    </row>
    <row r="305" spans="2:12" ht="15.6" x14ac:dyDescent="0.3">
      <c r="B305" s="15">
        <f>DATEDIF(Loan_Data!K:K,Loan_Data!L:L,"D")</f>
        <v>4</v>
      </c>
      <c r="C305" s="15">
        <f ca="1">DATEDIF(LoanData[[#This Row],[Approval_Date]],TODAY(),"M")</f>
        <v>48</v>
      </c>
      <c r="D305" s="31">
        <f>EDATE(LoanData[[#This Row],[Approval_Date]],LoanData[[#This Row],[Loan_Term_Months]])</f>
        <v>45880</v>
      </c>
      <c r="E305" t="str">
        <f t="shared" ca="1" si="4"/>
        <v>YES</v>
      </c>
      <c r="F305" s="33">
        <f>IFERROR(LoanData[[#This Row],[EMI]]/LoanData[[#This Row],[Monthly_Income]]*100," ")</f>
        <v>6.8535385668229631</v>
      </c>
      <c r="G305" t="str" cm="1">
        <f t="array" ref="G305">_xlfn.IFS(F305&gt;40, "High DTI Risk",F305&gt;=25, "Moderate DTI",F305&lt;25, "Low DTI")</f>
        <v>Low DTI</v>
      </c>
      <c r="H305" t="str" cm="1">
        <f t="array" ref="H3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05" t="str">
        <f>_xlfn.XLOOKUP(H305,Reference_Tables!$B$2:$B$7,Reference_Tables!$C$2:$C$7,,0,1)</f>
        <v>VHR</v>
      </c>
      <c r="J305" t="str">
        <f>INDEX(Reference_Tables!$D$11:$D$36,MATCH(LoanData[[#This Row],[Branch]],Reference_Tables!$A$11:$A$36,0))</f>
        <v>Puja Chatterjee</v>
      </c>
      <c r="L305" s="35"/>
    </row>
    <row r="306" spans="2:12" ht="15.6" x14ac:dyDescent="0.3">
      <c r="B306" s="15">
        <f>DATEDIF(Loan_Data!K:K,Loan_Data!L:L,"D")</f>
        <v>15</v>
      </c>
      <c r="C306" s="15">
        <f ca="1">DATEDIF(LoanData[[#This Row],[Approval_Date]],TODAY(),"M")</f>
        <v>33</v>
      </c>
      <c r="D306" s="31">
        <f>EDATE(LoanData[[#This Row],[Approval_Date]],LoanData[[#This Row],[Loan_Term_Months]])</f>
        <v>46340</v>
      </c>
      <c r="E306" t="str">
        <f t="shared" ca="1" si="4"/>
        <v>NO</v>
      </c>
      <c r="F306" s="33">
        <f>IFERROR(LoanData[[#This Row],[EMI]]/LoanData[[#This Row],[Monthly_Income]]*100," ")</f>
        <v>13.826065035267753</v>
      </c>
      <c r="G306" t="str" cm="1">
        <f t="array" ref="G306">_xlfn.IFS(F306&gt;40, "High DTI Risk",F306&gt;=25, "Moderate DTI",F306&lt;25, "Low DTI")</f>
        <v>Low DTI</v>
      </c>
      <c r="H306" t="str" cm="1">
        <f t="array" ref="H3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06" t="str">
        <f>_xlfn.XLOOKUP(H306,Reference_Tables!$B$2:$B$7,Reference_Tables!$C$2:$C$7,,0,1)</f>
        <v>VHR</v>
      </c>
      <c r="J306" t="str">
        <f>INDEX(Reference_Tables!$D$11:$D$36,MATCH(LoanData[[#This Row],[Branch]],Reference_Tables!$A$11:$A$36,0))</f>
        <v>Jigar Mehta</v>
      </c>
      <c r="L306" s="35"/>
    </row>
    <row r="307" spans="2:12" ht="15.6" x14ac:dyDescent="0.3">
      <c r="B307" s="15">
        <f>DATEDIF(Loan_Data!K:K,Loan_Data!L:L,"D")</f>
        <v>8</v>
      </c>
      <c r="C307" s="15">
        <f ca="1">DATEDIF(LoanData[[#This Row],[Approval_Date]],TODAY(),"M")</f>
        <v>61</v>
      </c>
      <c r="D307" s="31">
        <f>EDATE(LoanData[[#This Row],[Approval_Date]],LoanData[[#This Row],[Loan_Term_Months]])</f>
        <v>45120</v>
      </c>
      <c r="E307" t="str">
        <f t="shared" ca="1" si="4"/>
        <v>YES</v>
      </c>
      <c r="F307" s="33">
        <f>IFERROR(LoanData[[#This Row],[EMI]]/LoanData[[#This Row],[Monthly_Income]]*100," ")</f>
        <v>14.985984525436443</v>
      </c>
      <c r="G307" t="str" cm="1">
        <f t="array" ref="G307">_xlfn.IFS(F307&gt;40, "High DTI Risk",F307&gt;=25, "Moderate DTI",F307&lt;25, "Low DTI")</f>
        <v>Low DTI</v>
      </c>
      <c r="H307" t="str" cm="1">
        <f t="array" ref="H3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07" t="str">
        <f>_xlfn.XLOOKUP(H307,Reference_Tables!$B$2:$B$7,Reference_Tables!$C$2:$C$7,,0,1)</f>
        <v>LR</v>
      </c>
      <c r="J307" t="str">
        <f>INDEX(Reference_Tables!$D$11:$D$36,MATCH(LoanData[[#This Row],[Branch]],Reference_Tables!$A$11:$A$36,0))</f>
        <v>Amit Kumar</v>
      </c>
      <c r="L307" s="35"/>
    </row>
    <row r="308" spans="2:12" ht="15.6" x14ac:dyDescent="0.3">
      <c r="B308" s="15">
        <f>DATEDIF(Loan_Data!K:K,Loan_Data!L:L,"D")</f>
        <v>5</v>
      </c>
      <c r="C308" s="15">
        <f ca="1">DATEDIF(LoanData[[#This Row],[Approval_Date]],TODAY(),"M")</f>
        <v>43</v>
      </c>
      <c r="D308" s="31">
        <f>EDATE(LoanData[[#This Row],[Approval_Date]],LoanData[[#This Row],[Loan_Term_Months]])</f>
        <v>48596</v>
      </c>
      <c r="E308" t="str">
        <f t="shared" ca="1" si="4"/>
        <v>NO</v>
      </c>
      <c r="F308" s="33">
        <f>IFERROR(LoanData[[#This Row],[EMI]]/LoanData[[#This Row],[Monthly_Income]]*100," ")</f>
        <v>7.052196626697846</v>
      </c>
      <c r="G308" t="str" cm="1">
        <f t="array" ref="G308">_xlfn.IFS(F308&gt;40, "High DTI Risk",F308&gt;=25, "Moderate DTI",F308&lt;25, "Low DTI")</f>
        <v>Low DTI</v>
      </c>
      <c r="H308" t="str" cm="1">
        <f t="array" ref="H3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08" t="str">
        <f>_xlfn.XLOOKUP(H308,Reference_Tables!$B$2:$B$7,Reference_Tables!$C$2:$C$7,,0,1)</f>
        <v>VHR</v>
      </c>
      <c r="J308" t="str">
        <f>INDEX(Reference_Tables!$D$11:$D$36,MATCH(LoanData[[#This Row],[Branch]],Reference_Tables!$A$11:$A$36,0))</f>
        <v>Puja Chatterjee</v>
      </c>
      <c r="L308" s="35"/>
    </row>
    <row r="309" spans="2:12" ht="15.6" x14ac:dyDescent="0.3">
      <c r="B309" s="15">
        <f>DATEDIF(Loan_Data!K:K,Loan_Data!L:L,"D")</f>
        <v>27</v>
      </c>
      <c r="C309" s="15">
        <f ca="1">DATEDIF(LoanData[[#This Row],[Approval_Date]],TODAY(),"M")</f>
        <v>31</v>
      </c>
      <c r="D309" s="31">
        <f>EDATE(LoanData[[#This Row],[Approval_Date]],LoanData[[#This Row],[Loan_Term_Months]])</f>
        <v>46026</v>
      </c>
      <c r="E309" t="str">
        <f t="shared" ca="1" si="4"/>
        <v>YES</v>
      </c>
      <c r="F309" s="33">
        <f>IFERROR(LoanData[[#This Row],[EMI]]/LoanData[[#This Row],[Monthly_Income]]*100," ")</f>
        <v>144.60487038491752</v>
      </c>
      <c r="G309" t="str" cm="1">
        <f t="array" ref="G309">_xlfn.IFS(F309&gt;40, "High DTI Risk",F309&gt;=25, "Moderate DTI",F309&lt;25, "Low DTI")</f>
        <v>High DTI Risk</v>
      </c>
      <c r="H309" t="str" cm="1">
        <f t="array" ref="H3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09" t="str">
        <f>_xlfn.XLOOKUP(H309,Reference_Tables!$B$2:$B$7,Reference_Tables!$C$2:$C$7,,0,1)</f>
        <v>VHR</v>
      </c>
      <c r="J309" t="str">
        <f>INDEX(Reference_Tables!$D$11:$D$36,MATCH(LoanData[[#This Row],[Branch]],Reference_Tables!$A$11:$A$36,0))</f>
        <v>Meena Iyer</v>
      </c>
      <c r="L309" s="35"/>
    </row>
    <row r="310" spans="2:12" ht="15.6" x14ac:dyDescent="0.3">
      <c r="B310" s="15">
        <f>DATEDIF(Loan_Data!K:K,Loan_Data!L:L,"D")</f>
        <v>12</v>
      </c>
      <c r="C310" s="15">
        <f ca="1">DATEDIF(LoanData[[#This Row],[Approval_Date]],TODAY(),"M")</f>
        <v>60</v>
      </c>
      <c r="D310" s="31">
        <f>EDATE(LoanData[[#This Row],[Approval_Date]],LoanData[[#This Row],[Loan_Term_Months]])</f>
        <v>46973</v>
      </c>
      <c r="E310" t="str">
        <f t="shared" ca="1" si="4"/>
        <v>NO</v>
      </c>
      <c r="F310" s="33">
        <f>IFERROR(LoanData[[#This Row],[EMI]]/LoanData[[#This Row],[Monthly_Income]]*100," ")</f>
        <v>4.434567240772938</v>
      </c>
      <c r="G310" t="str" cm="1">
        <f t="array" ref="G310">_xlfn.IFS(F310&gt;40, "High DTI Risk",F310&gt;=25, "Moderate DTI",F310&lt;25, "Low DTI")</f>
        <v>Low DTI</v>
      </c>
      <c r="H310" t="str" cm="1">
        <f t="array" ref="H3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10" t="str">
        <f>_xlfn.XLOOKUP(H310,Reference_Tables!$B$2:$B$7,Reference_Tables!$C$2:$C$7,,0,1)</f>
        <v>VHR</v>
      </c>
      <c r="J310" t="str">
        <f>INDEX(Reference_Tables!$D$11:$D$36,MATCH(LoanData[[#This Row],[Branch]],Reference_Tables!$A$11:$A$36,0))</f>
        <v>Nilesh Shah</v>
      </c>
      <c r="L310" s="35"/>
    </row>
    <row r="311" spans="2:12" ht="15.6" x14ac:dyDescent="0.3">
      <c r="B311" s="15">
        <f>DATEDIF(Loan_Data!K:K,Loan_Data!L:L,"D")</f>
        <v>23</v>
      </c>
      <c r="C311" s="15">
        <f ca="1">DATEDIF(LoanData[[#This Row],[Approval_Date]],TODAY(),"M")</f>
        <v>38</v>
      </c>
      <c r="D311" s="31">
        <f>EDATE(LoanData[[#This Row],[Approval_Date]],LoanData[[#This Row],[Loan_Term_Months]])</f>
        <v>52384</v>
      </c>
      <c r="E311" t="str">
        <f t="shared" ca="1" si="4"/>
        <v>NO</v>
      </c>
      <c r="F311" s="33">
        <f>IFERROR(LoanData[[#This Row],[EMI]]/LoanData[[#This Row],[Monthly_Income]]*100," ")</f>
        <v>4.4402645399727669</v>
      </c>
      <c r="G311" t="str" cm="1">
        <f t="array" ref="G311">_xlfn.IFS(F311&gt;40, "High DTI Risk",F311&gt;=25, "Moderate DTI",F311&lt;25, "Low DTI")</f>
        <v>Low DTI</v>
      </c>
      <c r="H311" t="str" cm="1">
        <f t="array" ref="H3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311" t="str">
        <f>_xlfn.XLOOKUP(H311,Reference_Tables!$B$2:$B$7,Reference_Tables!$C$2:$C$7,,0,1)</f>
        <v>UC</v>
      </c>
      <c r="J311" t="str">
        <f>INDEX(Reference_Tables!$D$11:$D$36,MATCH(LoanData[[#This Row],[Branch]],Reference_Tables!$A$11:$A$36,0))</f>
        <v>Debashis Das</v>
      </c>
      <c r="L311" s="35"/>
    </row>
    <row r="312" spans="2:12" ht="15.6" x14ac:dyDescent="0.3">
      <c r="B312" s="15">
        <f>DATEDIF(Loan_Data!K:K,Loan_Data!L:L,"D")</f>
        <v>7</v>
      </c>
      <c r="C312" s="15">
        <f ca="1">DATEDIF(LoanData[[#This Row],[Approval_Date]],TODAY(),"M")</f>
        <v>32</v>
      </c>
      <c r="D312" s="31">
        <f>EDATE(LoanData[[#This Row],[Approval_Date]],LoanData[[#This Row],[Loan_Term_Months]])</f>
        <v>46729</v>
      </c>
      <c r="E312" t="str">
        <f t="shared" ca="1" si="4"/>
        <v>NO</v>
      </c>
      <c r="F312" s="33">
        <f>IFERROR(LoanData[[#This Row],[EMI]]/LoanData[[#This Row],[Monthly_Income]]*100," ")</f>
        <v>7.2857579488791666</v>
      </c>
      <c r="G312" t="str" cm="1">
        <f t="array" ref="G312">_xlfn.IFS(F312&gt;40, "High DTI Risk",F312&gt;=25, "Moderate DTI",F312&lt;25, "Low DTI")</f>
        <v>Low DTI</v>
      </c>
      <c r="H312" t="str" cm="1">
        <f t="array" ref="H3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12" t="str">
        <f>_xlfn.XLOOKUP(H312,Reference_Tables!$B$2:$B$7,Reference_Tables!$C$2:$C$7,,0,1)</f>
        <v>VHR</v>
      </c>
      <c r="J312" t="str">
        <f>INDEX(Reference_Tables!$D$11:$D$36,MATCH(LoanData[[#This Row],[Branch]],Reference_Tables!$A$11:$A$36,0))</f>
        <v>Debashis Das</v>
      </c>
      <c r="L312" s="35"/>
    </row>
    <row r="313" spans="2:12" ht="15.6" x14ac:dyDescent="0.3">
      <c r="B313" s="15">
        <f>DATEDIF(Loan_Data!K:K,Loan_Data!L:L,"D")</f>
        <v>28</v>
      </c>
      <c r="C313" s="15">
        <f ca="1">DATEDIF(LoanData[[#This Row],[Approval_Date]],TODAY(),"M")</f>
        <v>33</v>
      </c>
      <c r="D313" s="31">
        <f>EDATE(LoanData[[#This Row],[Approval_Date]],LoanData[[#This Row],[Loan_Term_Months]])</f>
        <v>47071</v>
      </c>
      <c r="E313" t="str">
        <f t="shared" ca="1" si="4"/>
        <v>NO</v>
      </c>
      <c r="F313" s="33">
        <f>IFERROR(LoanData[[#This Row],[EMI]]/LoanData[[#This Row],[Monthly_Income]]*100," ")</f>
        <v>3.5391881861908754</v>
      </c>
      <c r="G313" t="str" cm="1">
        <f t="array" ref="G313">_xlfn.IFS(F313&gt;40, "High DTI Risk",F313&gt;=25, "Moderate DTI",F313&lt;25, "Low DTI")</f>
        <v>Low DTI</v>
      </c>
      <c r="H313" t="str" cm="1">
        <f t="array" ref="H3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13" t="str">
        <f>_xlfn.XLOOKUP(H313,Reference_Tables!$B$2:$B$7,Reference_Tables!$C$2:$C$7,,0,1)</f>
        <v>LR</v>
      </c>
      <c r="J313" t="str">
        <f>INDEX(Reference_Tables!$D$11:$D$36,MATCH(LoanData[[#This Row],[Branch]],Reference_Tables!$A$11:$A$36,0))</f>
        <v>Sandeep Saxena</v>
      </c>
      <c r="L313" s="35"/>
    </row>
    <row r="314" spans="2:12" ht="15.6" x14ac:dyDescent="0.3">
      <c r="B314" s="15">
        <f>DATEDIF(Loan_Data!K:K,Loan_Data!L:L,"D")</f>
        <v>7</v>
      </c>
      <c r="C314" s="15">
        <f ca="1">DATEDIF(LoanData[[#This Row],[Approval_Date]],TODAY(),"M")</f>
        <v>66</v>
      </c>
      <c r="D314" s="31">
        <f>EDATE(LoanData[[#This Row],[Approval_Date]],LoanData[[#This Row],[Loan_Term_Months]])</f>
        <v>46792</v>
      </c>
      <c r="E314" t="str">
        <f t="shared" ca="1" si="4"/>
        <v>NO</v>
      </c>
      <c r="F314" s="33">
        <f>IFERROR(LoanData[[#This Row],[EMI]]/LoanData[[#This Row],[Monthly_Income]]*100," ")</f>
        <v>4.1121917808219184</v>
      </c>
      <c r="G314" t="str" cm="1">
        <f t="array" ref="G314">_xlfn.IFS(F314&gt;40, "High DTI Risk",F314&gt;=25, "Moderate DTI",F314&lt;25, "Low DTI")</f>
        <v>Low DTI</v>
      </c>
      <c r="H314" t="str" cm="1">
        <f t="array" ref="H3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14" t="str">
        <f>_xlfn.XLOOKUP(H314,Reference_Tables!$B$2:$B$7,Reference_Tables!$C$2:$C$7,,0,1)</f>
        <v>HR</v>
      </c>
      <c r="J314" t="str">
        <f>INDEX(Reference_Tables!$D$11:$D$36,MATCH(LoanData[[#This Row],[Branch]],Reference_Tables!$A$11:$A$36,0))</f>
        <v>Meena Iyer</v>
      </c>
      <c r="L314" s="35"/>
    </row>
    <row r="315" spans="2:12" ht="15.6" x14ac:dyDescent="0.3">
      <c r="B315" s="15">
        <f>DATEDIF(Loan_Data!K:K,Loan_Data!L:L,"D")</f>
        <v>5</v>
      </c>
      <c r="C315" s="15">
        <f ca="1">DATEDIF(LoanData[[#This Row],[Approval_Date]],TODAY(),"M")</f>
        <v>48</v>
      </c>
      <c r="D315" s="31">
        <f>EDATE(LoanData[[#This Row],[Approval_Date]],LoanData[[#This Row],[Loan_Term_Months]])</f>
        <v>52068</v>
      </c>
      <c r="E315" t="str">
        <f t="shared" ca="1" si="4"/>
        <v>NO</v>
      </c>
      <c r="F315" s="33">
        <f>IFERROR(LoanData[[#This Row],[EMI]]/LoanData[[#This Row],[Monthly_Income]]*100," ")</f>
        <v>3.8713465232707245</v>
      </c>
      <c r="G315" t="str" cm="1">
        <f t="array" ref="G315">_xlfn.IFS(F315&gt;40, "High DTI Risk",F315&gt;=25, "Moderate DTI",F315&lt;25, "Low DTI")</f>
        <v>Low DTI</v>
      </c>
      <c r="H315" t="str" cm="1">
        <f t="array" ref="H3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15" t="str">
        <f>_xlfn.XLOOKUP(H315,Reference_Tables!$B$2:$B$7,Reference_Tables!$C$2:$C$7,,0,1)</f>
        <v>LR</v>
      </c>
      <c r="J315" t="str">
        <f>INDEX(Reference_Tables!$D$11:$D$36,MATCH(LoanData[[#This Row],[Branch]],Reference_Tables!$A$11:$A$36,0))</f>
        <v>Meena Iyer</v>
      </c>
      <c r="L315" s="35"/>
    </row>
    <row r="316" spans="2:12" ht="15.6" x14ac:dyDescent="0.3">
      <c r="B316" s="15">
        <f>DATEDIF(Loan_Data!K:K,Loan_Data!L:L,"D")</f>
        <v>7</v>
      </c>
      <c r="C316" s="15">
        <f ca="1">DATEDIF(LoanData[[#This Row],[Approval_Date]],TODAY(),"M")</f>
        <v>62</v>
      </c>
      <c r="D316" s="31">
        <f>EDATE(LoanData[[#This Row],[Approval_Date]],LoanData[[#This Row],[Loan_Term_Months]])</f>
        <v>45442</v>
      </c>
      <c r="E316" t="str">
        <f t="shared" ca="1" si="4"/>
        <v>YES</v>
      </c>
      <c r="F316" s="33">
        <f>IFERROR(LoanData[[#This Row],[EMI]]/LoanData[[#This Row],[Monthly_Income]]*100," ")</f>
        <v>8.6648978896380502</v>
      </c>
      <c r="G316" t="str" cm="1">
        <f t="array" ref="G316">_xlfn.IFS(F316&gt;40, "High DTI Risk",F316&gt;=25, "Moderate DTI",F316&lt;25, "Low DTI")</f>
        <v>Low DTI</v>
      </c>
      <c r="H316" t="str" cm="1">
        <f t="array" ref="H3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16" t="str">
        <f>_xlfn.XLOOKUP(H316,Reference_Tables!$B$2:$B$7,Reference_Tables!$C$2:$C$7,,0,1)</f>
        <v>HR</v>
      </c>
      <c r="J316" t="str">
        <f>INDEX(Reference_Tables!$D$11:$D$36,MATCH(LoanData[[#This Row],[Branch]],Reference_Tables!$A$11:$A$36,0))</f>
        <v>Meena Iyer</v>
      </c>
      <c r="L316" s="35"/>
    </row>
    <row r="317" spans="2:12" ht="15.6" x14ac:dyDescent="0.3">
      <c r="B317" s="15">
        <f>DATEDIF(Loan_Data!K:K,Loan_Data!L:L,"D")</f>
        <v>23</v>
      </c>
      <c r="C317" s="15">
        <f ca="1">DATEDIF(LoanData[[#This Row],[Approval_Date]],TODAY(),"M")</f>
        <v>60</v>
      </c>
      <c r="D317" s="31">
        <f>EDATE(LoanData[[#This Row],[Approval_Date]],LoanData[[#This Row],[Loan_Term_Months]])</f>
        <v>49882</v>
      </c>
      <c r="E317" t="str">
        <f t="shared" ca="1" si="4"/>
        <v>NO</v>
      </c>
      <c r="F317" s="33">
        <f>IFERROR(LoanData[[#This Row],[EMI]]/LoanData[[#This Row],[Monthly_Income]]*100," ")</f>
        <v>7.2340655638884463</v>
      </c>
      <c r="G317" t="str" cm="1">
        <f t="array" ref="G317">_xlfn.IFS(F317&gt;40, "High DTI Risk",F317&gt;=25, "Moderate DTI",F317&lt;25, "Low DTI")</f>
        <v>Low DTI</v>
      </c>
      <c r="H317" t="str" cm="1">
        <f t="array" ref="H3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17" t="str">
        <f>_xlfn.XLOOKUP(H317,Reference_Tables!$B$2:$B$7,Reference_Tables!$C$2:$C$7,,0,1)</f>
        <v>HR</v>
      </c>
      <c r="J317" t="str">
        <f>INDEX(Reference_Tables!$D$11:$D$36,MATCH(LoanData[[#This Row],[Branch]],Reference_Tables!$A$11:$A$36,0))</f>
        <v>Tapan Panda</v>
      </c>
      <c r="L317" s="35"/>
    </row>
    <row r="318" spans="2:12" ht="15.6" x14ac:dyDescent="0.3">
      <c r="B318" s="15">
        <f>DATEDIF(Loan_Data!K:K,Loan_Data!L:L,"D")</f>
        <v>21</v>
      </c>
      <c r="C318" s="15">
        <f ca="1">DATEDIF(LoanData[[#This Row],[Approval_Date]],TODAY(),"M")</f>
        <v>38</v>
      </c>
      <c r="D318" s="31">
        <f>EDATE(LoanData[[#This Row],[Approval_Date]],LoanData[[#This Row],[Loan_Term_Months]])</f>
        <v>46916</v>
      </c>
      <c r="E318" t="str">
        <f t="shared" ca="1" si="4"/>
        <v>NO</v>
      </c>
      <c r="F318" s="33">
        <f>IFERROR(LoanData[[#This Row],[EMI]]/LoanData[[#This Row],[Monthly_Income]]*100," ")</f>
        <v>10.817805851856265</v>
      </c>
      <c r="G318" t="str" cm="1">
        <f t="array" ref="G318">_xlfn.IFS(F318&gt;40, "High DTI Risk",F318&gt;=25, "Moderate DTI",F318&lt;25, "Low DTI")</f>
        <v>Low DTI</v>
      </c>
      <c r="H318" t="str" cm="1">
        <f t="array" ref="H3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18" t="str">
        <f>_xlfn.XLOOKUP(H318,Reference_Tables!$B$2:$B$7,Reference_Tables!$C$2:$C$7,,0,1)</f>
        <v>HR</v>
      </c>
      <c r="J318" t="str">
        <f>INDEX(Reference_Tables!$D$11:$D$36,MATCH(LoanData[[#This Row],[Branch]],Reference_Tables!$A$11:$A$36,0))</f>
        <v>Tapan Panda</v>
      </c>
      <c r="L318" s="35"/>
    </row>
    <row r="319" spans="2:12" ht="15.6" x14ac:dyDescent="0.3">
      <c r="B319" s="15">
        <f>DATEDIF(Loan_Data!K:K,Loan_Data!L:L,"D")</f>
        <v>14</v>
      </c>
      <c r="C319" s="15">
        <f ca="1">DATEDIF(LoanData[[#This Row],[Approval_Date]],TODAY(),"M")</f>
        <v>40</v>
      </c>
      <c r="D319" s="31">
        <f>EDATE(LoanData[[#This Row],[Approval_Date]],LoanData[[#This Row],[Loan_Term_Months]])</f>
        <v>50483</v>
      </c>
      <c r="E319" t="str">
        <f t="shared" ca="1" si="4"/>
        <v>NO</v>
      </c>
      <c r="F319" s="33">
        <f>IFERROR(LoanData[[#This Row],[EMI]]/LoanData[[#This Row],[Monthly_Income]]*100," ")</f>
        <v>11.349029905178702</v>
      </c>
      <c r="G319" t="str" cm="1">
        <f t="array" ref="G319">_xlfn.IFS(F319&gt;40, "High DTI Risk",F319&gt;=25, "Moderate DTI",F319&lt;25, "Low DTI")</f>
        <v>Low DTI</v>
      </c>
      <c r="H319" t="str" cm="1">
        <f t="array" ref="H3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319" t="str">
        <f>_xlfn.XLOOKUP(H319,Reference_Tables!$B$2:$B$7,Reference_Tables!$C$2:$C$7,,0,1)</f>
        <v>UC</v>
      </c>
      <c r="J319" t="str">
        <f>INDEX(Reference_Tables!$D$11:$D$36,MATCH(LoanData[[#This Row],[Branch]],Reference_Tables!$A$11:$A$36,0))</f>
        <v>Suresh Menon</v>
      </c>
      <c r="L319" s="35"/>
    </row>
    <row r="320" spans="2:12" ht="15.6" x14ac:dyDescent="0.3">
      <c r="B320" s="15">
        <f>DATEDIF(Loan_Data!K:K,Loan_Data!L:L,"D")</f>
        <v>19</v>
      </c>
      <c r="C320" s="15">
        <f ca="1">DATEDIF(LoanData[[#This Row],[Approval_Date]],TODAY(),"M")</f>
        <v>33</v>
      </c>
      <c r="D320" s="31">
        <f>EDATE(LoanData[[#This Row],[Approval_Date]],LoanData[[#This Row],[Loan_Term_Months]])</f>
        <v>45951</v>
      </c>
      <c r="E320" t="str">
        <f t="shared" ca="1" si="4"/>
        <v>YES</v>
      </c>
      <c r="F320" s="33">
        <f>IFERROR(LoanData[[#This Row],[EMI]]/LoanData[[#This Row],[Monthly_Income]]*100," ")</f>
        <v>21.136230370020893</v>
      </c>
      <c r="G320" t="str" cm="1">
        <f t="array" ref="G320">_xlfn.IFS(F320&gt;40, "High DTI Risk",F320&gt;=25, "Moderate DTI",F320&lt;25, "Low DTI")</f>
        <v>Low DTI</v>
      </c>
      <c r="H320" t="str" cm="1">
        <f t="array" ref="H3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20" t="str">
        <f>_xlfn.XLOOKUP(H320,Reference_Tables!$B$2:$B$7,Reference_Tables!$C$2:$C$7,,0,1)</f>
        <v>LR</v>
      </c>
      <c r="J320" t="str">
        <f>INDEX(Reference_Tables!$D$11:$D$36,MATCH(LoanData[[#This Row],[Branch]],Reference_Tables!$A$11:$A$36,0))</f>
        <v>Arvind Pillai</v>
      </c>
      <c r="L320" s="35"/>
    </row>
    <row r="321" spans="2:12" ht="15.6" x14ac:dyDescent="0.3">
      <c r="B321" s="15">
        <f>DATEDIF(Loan_Data!K:K,Loan_Data!L:L,"D")</f>
        <v>7</v>
      </c>
      <c r="C321" s="15">
        <f ca="1">DATEDIF(LoanData[[#This Row],[Approval_Date]],TODAY(),"M")</f>
        <v>44</v>
      </c>
      <c r="D321" s="31">
        <f>EDATE(LoanData[[#This Row],[Approval_Date]],LoanData[[#This Row],[Loan_Term_Months]])</f>
        <v>50365</v>
      </c>
      <c r="E321" t="str">
        <f t="shared" ca="1" si="4"/>
        <v>NO</v>
      </c>
      <c r="F321" s="33">
        <f>IFERROR(LoanData[[#This Row],[EMI]]/LoanData[[#This Row],[Monthly_Income]]*100," ")</f>
        <v>4.3506737661770591</v>
      </c>
      <c r="G321" t="str" cm="1">
        <f t="array" ref="G321">_xlfn.IFS(F321&gt;40, "High DTI Risk",F321&gt;=25, "Moderate DTI",F321&lt;25, "Low DTI")</f>
        <v>Low DTI</v>
      </c>
      <c r="H321" t="str" cm="1">
        <f t="array" ref="H3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21" t="str">
        <f>_xlfn.XLOOKUP(H321,Reference_Tables!$B$2:$B$7,Reference_Tables!$C$2:$C$7,,0,1)</f>
        <v>MR</v>
      </c>
      <c r="J321" t="str">
        <f>INDEX(Reference_Tables!$D$11:$D$36,MATCH(LoanData[[#This Row],[Branch]],Reference_Tables!$A$11:$A$36,0))</f>
        <v>Sandeep Saxena</v>
      </c>
      <c r="L321" s="35"/>
    </row>
    <row r="322" spans="2:12" ht="15.6" x14ac:dyDescent="0.3">
      <c r="B322" s="15">
        <f>DATEDIF(Loan_Data!K:K,Loan_Data!L:L,"D")</f>
        <v>5</v>
      </c>
      <c r="C322" s="15">
        <f ca="1">DATEDIF(LoanData[[#This Row],[Approval_Date]],TODAY(),"M")</f>
        <v>32</v>
      </c>
      <c r="D322" s="31">
        <f>EDATE(LoanData[[#This Row],[Approval_Date]],LoanData[[#This Row],[Loan_Term_Months]])</f>
        <v>48929</v>
      </c>
      <c r="E322" t="str">
        <f t="shared" ref="E322:E385" ca="1" si="5">IF(D322&lt;TODAY(),"YES","NO")</f>
        <v>NO</v>
      </c>
      <c r="F322" s="33">
        <f>IFERROR(LoanData[[#This Row],[EMI]]/LoanData[[#This Row],[Monthly_Income]]*100," ")</f>
        <v>9.7723101290392709</v>
      </c>
      <c r="G322" t="str" cm="1">
        <f t="array" ref="G322">_xlfn.IFS(F322&gt;40, "High DTI Risk",F322&gt;=25, "Moderate DTI",F322&lt;25, "Low DTI")</f>
        <v>Low DTI</v>
      </c>
      <c r="H322" t="str" cm="1">
        <f t="array" ref="H3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22" t="str">
        <f>_xlfn.XLOOKUP(H322,Reference_Tables!$B$2:$B$7,Reference_Tables!$C$2:$C$7,,0,1)</f>
        <v>LR</v>
      </c>
      <c r="J322" t="str">
        <f>INDEX(Reference_Tables!$D$11:$D$36,MATCH(LoanData[[#This Row],[Branch]],Reference_Tables!$A$11:$A$36,0))</f>
        <v>Meena Iyer</v>
      </c>
      <c r="L322" s="35"/>
    </row>
    <row r="323" spans="2:12" ht="15.6" x14ac:dyDescent="0.3">
      <c r="B323" s="15">
        <f>DATEDIF(Loan_Data!K:K,Loan_Data!L:L,"D")</f>
        <v>5</v>
      </c>
      <c r="C323" s="15">
        <f ca="1">DATEDIF(LoanData[[#This Row],[Approval_Date]],TODAY(),"M")</f>
        <v>58</v>
      </c>
      <c r="D323" s="31">
        <f>EDATE(LoanData[[#This Row],[Approval_Date]],LoanData[[#This Row],[Loan_Term_Months]])</f>
        <v>46291</v>
      </c>
      <c r="E323" t="str">
        <f t="shared" ca="1" si="5"/>
        <v>NO</v>
      </c>
      <c r="F323" s="33">
        <f>IFERROR(LoanData[[#This Row],[EMI]]/LoanData[[#This Row],[Monthly_Income]]*100," ")</f>
        <v>12.052185479445518</v>
      </c>
      <c r="G323" t="str" cm="1">
        <f t="array" ref="G323">_xlfn.IFS(F323&gt;40, "High DTI Risk",F323&gt;=25, "Moderate DTI",F323&lt;25, "Low DTI")</f>
        <v>Low DTI</v>
      </c>
      <c r="H323" t="str" cm="1">
        <f t="array" ref="H3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23" t="str">
        <f>_xlfn.XLOOKUP(H323,Reference_Tables!$B$2:$B$7,Reference_Tables!$C$2:$C$7,,0,1)</f>
        <v>VHR</v>
      </c>
      <c r="J323" t="str">
        <f>INDEX(Reference_Tables!$D$11:$D$36,MATCH(LoanData[[#This Row],[Branch]],Reference_Tables!$A$11:$A$36,0))</f>
        <v>Vikram Malhotra</v>
      </c>
      <c r="L323" s="35"/>
    </row>
    <row r="324" spans="2:12" ht="15.6" x14ac:dyDescent="0.3">
      <c r="B324" s="15">
        <f>DATEDIF(Loan_Data!K:K,Loan_Data!L:L,"D")</f>
        <v>9</v>
      </c>
      <c r="C324" s="15">
        <f ca="1">DATEDIF(LoanData[[#This Row],[Approval_Date]],TODAY(),"M")</f>
        <v>49</v>
      </c>
      <c r="D324" s="31">
        <f>EDATE(LoanData[[#This Row],[Approval_Date]],LoanData[[#This Row],[Loan_Term_Months]])</f>
        <v>52047</v>
      </c>
      <c r="E324" t="str">
        <f t="shared" ca="1" si="5"/>
        <v>NO</v>
      </c>
      <c r="F324" s="33">
        <f>IFERROR(LoanData[[#This Row],[EMI]]/LoanData[[#This Row],[Monthly_Income]]*100," ")</f>
        <v>2.9868024192904903</v>
      </c>
      <c r="G324" t="str" cm="1">
        <f t="array" ref="G324">_xlfn.IFS(F324&gt;40, "High DTI Risk",F324&gt;=25, "Moderate DTI",F324&lt;25, "Low DTI")</f>
        <v>Low DTI</v>
      </c>
      <c r="H324" t="str" cm="1">
        <f t="array" ref="H3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24" t="str">
        <f>_xlfn.XLOOKUP(H324,Reference_Tables!$B$2:$B$7,Reference_Tables!$C$2:$C$7,,0,1)</f>
        <v>VHR</v>
      </c>
      <c r="J324" t="str">
        <f>INDEX(Reference_Tables!$D$11:$D$36,MATCH(LoanData[[#This Row],[Branch]],Reference_Tables!$A$11:$A$36,0))</f>
        <v>Deepak Nair</v>
      </c>
      <c r="L324" s="35"/>
    </row>
    <row r="325" spans="2:12" ht="15.6" x14ac:dyDescent="0.3">
      <c r="B325" s="15">
        <f>DATEDIF(Loan_Data!K:K,Loan_Data!L:L,"D")</f>
        <v>14</v>
      </c>
      <c r="C325" s="15">
        <f ca="1">DATEDIF(LoanData[[#This Row],[Approval_Date]],TODAY(),"M")</f>
        <v>56</v>
      </c>
      <c r="D325" s="31">
        <f>EDATE(LoanData[[#This Row],[Approval_Date]],LoanData[[#This Row],[Loan_Term_Months]])</f>
        <v>47096</v>
      </c>
      <c r="E325" t="str">
        <f t="shared" ca="1" si="5"/>
        <v>NO</v>
      </c>
      <c r="F325" s="33">
        <f>IFERROR(LoanData[[#This Row],[EMI]]/LoanData[[#This Row],[Monthly_Income]]*100," ")</f>
        <v>20.777068877194615</v>
      </c>
      <c r="G325" t="str" cm="1">
        <f t="array" ref="G325">_xlfn.IFS(F325&gt;40, "High DTI Risk",F325&gt;=25, "Moderate DTI",F325&lt;25, "Low DTI")</f>
        <v>Low DTI</v>
      </c>
      <c r="H325" t="str" cm="1">
        <f t="array" ref="H3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25" t="str">
        <f>_xlfn.XLOOKUP(H325,Reference_Tables!$B$2:$B$7,Reference_Tables!$C$2:$C$7,,0,1)</f>
        <v>MR</v>
      </c>
      <c r="J325" t="str">
        <f>INDEX(Reference_Tables!$D$11:$D$36,MATCH(LoanData[[#This Row],[Branch]],Reference_Tables!$A$11:$A$36,0))</f>
        <v>Sachin Deshpande</v>
      </c>
      <c r="L325" s="35"/>
    </row>
    <row r="326" spans="2:12" ht="15.6" x14ac:dyDescent="0.3">
      <c r="B326" s="15">
        <f>DATEDIF(Loan_Data!K:K,Loan_Data!L:L,"D")</f>
        <v>27</v>
      </c>
      <c r="C326" s="15">
        <f ca="1">DATEDIF(LoanData[[#This Row],[Approval_Date]],TODAY(),"M")</f>
        <v>37</v>
      </c>
      <c r="D326" s="31">
        <f>EDATE(LoanData[[#This Row],[Approval_Date]],LoanData[[#This Row],[Loan_Term_Months]])</f>
        <v>48750</v>
      </c>
      <c r="E326" t="str">
        <f t="shared" ca="1" si="5"/>
        <v>NO</v>
      </c>
      <c r="F326" s="33">
        <f>IFERROR(LoanData[[#This Row],[EMI]]/LoanData[[#This Row],[Monthly_Income]]*100," ")</f>
        <v>3.2093313806195471</v>
      </c>
      <c r="G326" t="str" cm="1">
        <f t="array" ref="G326">_xlfn.IFS(F326&gt;40, "High DTI Risk",F326&gt;=25, "Moderate DTI",F326&lt;25, "Low DTI")</f>
        <v>Low DTI</v>
      </c>
      <c r="H326" t="str" cm="1">
        <f t="array" ref="H3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26" t="str">
        <f>_xlfn.XLOOKUP(H326,Reference_Tables!$B$2:$B$7,Reference_Tables!$C$2:$C$7,,0,1)</f>
        <v>LR</v>
      </c>
      <c r="J326" t="str">
        <f>INDEX(Reference_Tables!$D$11:$D$36,MATCH(LoanData[[#This Row],[Branch]],Reference_Tables!$A$11:$A$36,0))</f>
        <v>Ananya Sharma</v>
      </c>
      <c r="L326" s="35"/>
    </row>
    <row r="327" spans="2:12" ht="15.6" x14ac:dyDescent="0.3">
      <c r="B327" s="15">
        <f>DATEDIF(Loan_Data!K:K,Loan_Data!L:L,"D")</f>
        <v>20</v>
      </c>
      <c r="C327" s="15">
        <f ca="1">DATEDIF(LoanData[[#This Row],[Approval_Date]],TODAY(),"M")</f>
        <v>60</v>
      </c>
      <c r="D327" s="31">
        <f>EDATE(LoanData[[#This Row],[Approval_Date]],LoanData[[#This Row],[Loan_Term_Months]])</f>
        <v>46244</v>
      </c>
      <c r="E327" t="str">
        <f t="shared" ca="1" si="5"/>
        <v>YES</v>
      </c>
      <c r="F327" s="33">
        <f>IFERROR(LoanData[[#This Row],[EMI]]/LoanData[[#This Row],[Monthly_Income]]*100," ")</f>
        <v>20.563201061391872</v>
      </c>
      <c r="G327" t="str" cm="1">
        <f t="array" ref="G327">_xlfn.IFS(F327&gt;40, "High DTI Risk",F327&gt;=25, "Moderate DTI",F327&lt;25, "Low DTI")</f>
        <v>Low DTI</v>
      </c>
      <c r="H327" t="str" cm="1">
        <f t="array" ref="H3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27" t="str">
        <f>_xlfn.XLOOKUP(H327,Reference_Tables!$B$2:$B$7,Reference_Tables!$C$2:$C$7,,0,1)</f>
        <v>VHR</v>
      </c>
      <c r="J327" t="str">
        <f>INDEX(Reference_Tables!$D$11:$D$36,MATCH(LoanData[[#This Row],[Branch]],Reference_Tables!$A$11:$A$36,0))</f>
        <v>Sandeep Saxena</v>
      </c>
      <c r="L327" s="35"/>
    </row>
    <row r="328" spans="2:12" ht="15.6" x14ac:dyDescent="0.3">
      <c r="B328" s="15">
        <f>DATEDIF(Loan_Data!K:K,Loan_Data!L:L,"D")</f>
        <v>21</v>
      </c>
      <c r="C328" s="15">
        <f ca="1">DATEDIF(LoanData[[#This Row],[Approval_Date]],TODAY(),"M")</f>
        <v>34</v>
      </c>
      <c r="D328" s="31">
        <f>EDATE(LoanData[[#This Row],[Approval_Date]],LoanData[[#This Row],[Loan_Term_Months]])</f>
        <v>45920</v>
      </c>
      <c r="E328" t="str">
        <f t="shared" ca="1" si="5"/>
        <v>YES</v>
      </c>
      <c r="F328" s="33">
        <f>IFERROR(LoanData[[#This Row],[EMI]]/LoanData[[#This Row],[Monthly_Income]]*100," ")</f>
        <v>10.099046908387885</v>
      </c>
      <c r="G328" t="str" cm="1">
        <f t="array" ref="G328">_xlfn.IFS(F328&gt;40, "High DTI Risk",F328&gt;=25, "Moderate DTI",F328&lt;25, "Low DTI")</f>
        <v>Low DTI</v>
      </c>
      <c r="H328" t="str" cm="1">
        <f t="array" ref="H3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28" t="str">
        <f>_xlfn.XLOOKUP(H328,Reference_Tables!$B$2:$B$7,Reference_Tables!$C$2:$C$7,,0,1)</f>
        <v>MR</v>
      </c>
      <c r="J328" t="str">
        <f>INDEX(Reference_Tables!$D$11:$D$36,MATCH(LoanData[[#This Row],[Branch]],Reference_Tables!$A$11:$A$36,0))</f>
        <v>Jigar Mehta</v>
      </c>
      <c r="L328" s="35"/>
    </row>
    <row r="329" spans="2:12" ht="15.6" x14ac:dyDescent="0.3">
      <c r="B329" s="15">
        <f>DATEDIF(Loan_Data!K:K,Loan_Data!L:L,"D")</f>
        <v>13</v>
      </c>
      <c r="C329" s="15">
        <f ca="1">DATEDIF(LoanData[[#This Row],[Approval_Date]],TODAY(),"M")</f>
        <v>32</v>
      </c>
      <c r="D329" s="31">
        <f>EDATE(LoanData[[#This Row],[Approval_Date]],LoanData[[#This Row],[Loan_Term_Months]])</f>
        <v>46724</v>
      </c>
      <c r="E329" t="str">
        <f t="shared" ca="1" si="5"/>
        <v>NO</v>
      </c>
      <c r="F329" s="33">
        <f>IFERROR(LoanData[[#This Row],[EMI]]/LoanData[[#This Row],[Monthly_Income]]*100," ")</f>
        <v>9.0198120982363594</v>
      </c>
      <c r="G329" t="str" cm="1">
        <f t="array" ref="G329">_xlfn.IFS(F329&gt;40, "High DTI Risk",F329&gt;=25, "Moderate DTI",F329&lt;25, "Low DTI")</f>
        <v>Low DTI</v>
      </c>
      <c r="H329" t="str" cm="1">
        <f t="array" ref="H3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29" t="str">
        <f>_xlfn.XLOOKUP(H329,Reference_Tables!$B$2:$B$7,Reference_Tables!$C$2:$C$7,,0,1)</f>
        <v>LR</v>
      </c>
      <c r="J329" t="str">
        <f>INDEX(Reference_Tables!$D$11:$D$36,MATCH(LoanData[[#This Row],[Branch]],Reference_Tables!$A$11:$A$36,0))</f>
        <v>Nilesh Shah</v>
      </c>
      <c r="L329" s="35"/>
    </row>
    <row r="330" spans="2:12" ht="15.6" x14ac:dyDescent="0.3">
      <c r="B330" s="15">
        <f>DATEDIF(Loan_Data!K:K,Loan_Data!L:L,"D")</f>
        <v>9</v>
      </c>
      <c r="C330" s="15">
        <f ca="1">DATEDIF(LoanData[[#This Row],[Approval_Date]],TODAY(),"M")</f>
        <v>66</v>
      </c>
      <c r="D330" s="31">
        <f>EDATE(LoanData[[#This Row],[Approval_Date]],LoanData[[#This Row],[Loan_Term_Months]])</f>
        <v>49710</v>
      </c>
      <c r="E330" t="str">
        <f t="shared" ca="1" si="5"/>
        <v>NO</v>
      </c>
      <c r="F330" s="33">
        <f>IFERROR(LoanData[[#This Row],[EMI]]/LoanData[[#This Row],[Monthly_Income]]*100," ")</f>
        <v>2.3049866016121725</v>
      </c>
      <c r="G330" t="str" cm="1">
        <f t="array" ref="G330">_xlfn.IFS(F330&gt;40, "High DTI Risk",F330&gt;=25, "Moderate DTI",F330&lt;25, "Low DTI")</f>
        <v>Low DTI</v>
      </c>
      <c r="H330" t="str" cm="1">
        <f t="array" ref="H3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30" t="str">
        <f>_xlfn.XLOOKUP(H330,Reference_Tables!$B$2:$B$7,Reference_Tables!$C$2:$C$7,,0,1)</f>
        <v>VHR</v>
      </c>
      <c r="J330" t="str">
        <f>INDEX(Reference_Tables!$D$11:$D$36,MATCH(LoanData[[#This Row],[Branch]],Reference_Tables!$A$11:$A$36,0))</f>
        <v>Puja Chatterjee</v>
      </c>
      <c r="L330" s="35"/>
    </row>
    <row r="331" spans="2:12" ht="15.6" x14ac:dyDescent="0.3">
      <c r="B331" s="15">
        <f>DATEDIF(Loan_Data!K:K,Loan_Data!L:L,"D")</f>
        <v>19</v>
      </c>
      <c r="C331" s="15">
        <f ca="1">DATEDIF(LoanData[[#This Row],[Approval_Date]],TODAY(),"M")</f>
        <v>46</v>
      </c>
      <c r="D331" s="31">
        <f>EDATE(LoanData[[#This Row],[Approval_Date]],LoanData[[#This Row],[Loan_Term_Months]])</f>
        <v>46660</v>
      </c>
      <c r="E331" t="str">
        <f t="shared" ca="1" si="5"/>
        <v>NO</v>
      </c>
      <c r="F331" s="33">
        <f>IFERROR(LoanData[[#This Row],[EMI]]/LoanData[[#This Row],[Monthly_Income]]*100," ")</f>
        <v>3.0130059417112833</v>
      </c>
      <c r="G331" t="str" cm="1">
        <f t="array" ref="G331">_xlfn.IFS(F331&gt;40, "High DTI Risk",F331&gt;=25, "Moderate DTI",F331&lt;25, "Low DTI")</f>
        <v>Low DTI</v>
      </c>
      <c r="H331" t="str" cm="1">
        <f t="array" ref="H3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31" t="str">
        <f>_xlfn.XLOOKUP(H331,Reference_Tables!$B$2:$B$7,Reference_Tables!$C$2:$C$7,,0,1)</f>
        <v>MR</v>
      </c>
      <c r="J331" t="str">
        <f>INDEX(Reference_Tables!$D$11:$D$36,MATCH(LoanData[[#This Row],[Branch]],Reference_Tables!$A$11:$A$36,0))</f>
        <v>Arvind Pillai</v>
      </c>
      <c r="L331" s="35"/>
    </row>
    <row r="332" spans="2:12" ht="15.6" x14ac:dyDescent="0.3">
      <c r="B332" s="15">
        <f>DATEDIF(Loan_Data!K:K,Loan_Data!L:L,"D")</f>
        <v>10</v>
      </c>
      <c r="C332" s="15">
        <f ca="1">DATEDIF(LoanData[[#This Row],[Approval_Date]],TODAY(),"M")</f>
        <v>42</v>
      </c>
      <c r="D332" s="31">
        <f>EDATE(LoanData[[#This Row],[Approval_Date]],LoanData[[#This Row],[Loan_Term_Months]])</f>
        <v>45339</v>
      </c>
      <c r="E332" t="str">
        <f t="shared" ca="1" si="5"/>
        <v>YES</v>
      </c>
      <c r="F332" s="33">
        <f>IFERROR(LoanData[[#This Row],[EMI]]/LoanData[[#This Row],[Monthly_Income]]*100," ")</f>
        <v>9.0685945727014996</v>
      </c>
      <c r="G332" t="str" cm="1">
        <f t="array" ref="G332">_xlfn.IFS(F332&gt;40, "High DTI Risk",F332&gt;=25, "Moderate DTI",F332&lt;25, "Low DTI")</f>
        <v>Low DTI</v>
      </c>
      <c r="H332" t="str" cm="1">
        <f t="array" ref="H3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32" t="str">
        <f>_xlfn.XLOOKUP(H332,Reference_Tables!$B$2:$B$7,Reference_Tables!$C$2:$C$7,,0,1)</f>
        <v>LR</v>
      </c>
      <c r="J332" t="str">
        <f>INDEX(Reference_Tables!$D$11:$D$36,MATCH(LoanData[[#This Row],[Branch]],Reference_Tables!$A$11:$A$36,0))</f>
        <v>Puja Chatterjee</v>
      </c>
      <c r="L332" s="35"/>
    </row>
    <row r="333" spans="2:12" ht="15.6" x14ac:dyDescent="0.3">
      <c r="B333" s="15">
        <f>DATEDIF(Loan_Data!K:K,Loan_Data!L:L,"D")</f>
        <v>19</v>
      </c>
      <c r="C333" s="15">
        <f ca="1">DATEDIF(LoanData[[#This Row],[Approval_Date]],TODAY(),"M")</f>
        <v>45</v>
      </c>
      <c r="D333" s="31">
        <f>EDATE(LoanData[[#This Row],[Approval_Date]],LoanData[[#This Row],[Loan_Term_Months]])</f>
        <v>45231</v>
      </c>
      <c r="E333" t="str">
        <f t="shared" ca="1" si="5"/>
        <v>YES</v>
      </c>
      <c r="F333" s="33">
        <f>IFERROR(LoanData[[#This Row],[EMI]]/LoanData[[#This Row],[Monthly_Income]]*100," ")</f>
        <v>41.60773710482529</v>
      </c>
      <c r="G333" t="str" cm="1">
        <f t="array" ref="G333">_xlfn.IFS(F333&gt;40, "High DTI Risk",F333&gt;=25, "Moderate DTI",F333&lt;25, "Low DTI")</f>
        <v>High DTI Risk</v>
      </c>
      <c r="H333" t="str" cm="1">
        <f t="array" ref="H3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33" t="str">
        <f>_xlfn.XLOOKUP(H333,Reference_Tables!$B$2:$B$7,Reference_Tables!$C$2:$C$7,,0,1)</f>
        <v>LR</v>
      </c>
      <c r="J333" t="str">
        <f>INDEX(Reference_Tables!$D$11:$D$36,MATCH(LoanData[[#This Row],[Branch]],Reference_Tables!$A$11:$A$36,0))</f>
        <v>Sandeep Saxena</v>
      </c>
      <c r="L333" s="35"/>
    </row>
    <row r="334" spans="2:12" ht="15.6" x14ac:dyDescent="0.3">
      <c r="B334" s="15">
        <f>DATEDIF(Loan_Data!K:K,Loan_Data!L:L,"D")</f>
        <v>23</v>
      </c>
      <c r="C334" s="15">
        <f ca="1">DATEDIF(LoanData[[#This Row],[Approval_Date]],TODAY(),"M")</f>
        <v>32</v>
      </c>
      <c r="D334" s="31">
        <f>EDATE(LoanData[[#This Row],[Approval_Date]],LoanData[[#This Row],[Loan_Term_Months]])</f>
        <v>46371</v>
      </c>
      <c r="E334" t="str">
        <f t="shared" ca="1" si="5"/>
        <v>NO</v>
      </c>
      <c r="F334" s="33">
        <f>IFERROR(LoanData[[#This Row],[EMI]]/LoanData[[#This Row],[Monthly_Income]]*100," ")</f>
        <v>9.9302090387033797</v>
      </c>
      <c r="G334" t="str" cm="1">
        <f t="array" ref="G334">_xlfn.IFS(F334&gt;40, "High DTI Risk",F334&gt;=25, "Moderate DTI",F334&lt;25, "Low DTI")</f>
        <v>Low DTI</v>
      </c>
      <c r="H334" t="str" cm="1">
        <f t="array" ref="H3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34" t="str">
        <f>_xlfn.XLOOKUP(H334,Reference_Tables!$B$2:$B$7,Reference_Tables!$C$2:$C$7,,0,1)</f>
        <v>MR</v>
      </c>
      <c r="J334" t="str">
        <f>INDEX(Reference_Tables!$D$11:$D$36,MATCH(LoanData[[#This Row],[Branch]],Reference_Tables!$A$11:$A$36,0))</f>
        <v>Kavita Joshi</v>
      </c>
      <c r="L334" s="35"/>
    </row>
    <row r="335" spans="2:12" ht="15.6" x14ac:dyDescent="0.3">
      <c r="B335" s="15">
        <f>DATEDIF(Loan_Data!K:K,Loan_Data!L:L,"D")</f>
        <v>16</v>
      </c>
      <c r="C335" s="15">
        <f ca="1">DATEDIF(LoanData[[#This Row],[Approval_Date]],TODAY(),"M")</f>
        <v>63</v>
      </c>
      <c r="D335" s="31">
        <f>EDATE(LoanData[[#This Row],[Approval_Date]],LoanData[[#This Row],[Loan_Term_Months]])</f>
        <v>44699</v>
      </c>
      <c r="E335" t="str">
        <f t="shared" ca="1" si="5"/>
        <v>YES</v>
      </c>
      <c r="F335" s="33">
        <f>IFERROR(LoanData[[#This Row],[EMI]]/LoanData[[#This Row],[Monthly_Income]]*100," ")</f>
        <v>35.354843701640362</v>
      </c>
      <c r="G335" t="str" cm="1">
        <f t="array" ref="G335">_xlfn.IFS(F335&gt;40, "High DTI Risk",F335&gt;=25, "Moderate DTI",F335&lt;25, "Low DTI")</f>
        <v>Moderate DTI</v>
      </c>
      <c r="H335" t="str" cm="1">
        <f t="array" ref="H3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35" t="str">
        <f>_xlfn.XLOOKUP(H335,Reference_Tables!$B$2:$B$7,Reference_Tables!$C$2:$C$7,,0,1)</f>
        <v>LR</v>
      </c>
      <c r="J335" t="str">
        <f>INDEX(Reference_Tables!$D$11:$D$36,MATCH(LoanData[[#This Row],[Branch]],Reference_Tables!$A$11:$A$36,0))</f>
        <v>Lakshmi Reddy</v>
      </c>
      <c r="L335" s="35"/>
    </row>
    <row r="336" spans="2:12" ht="15.6" x14ac:dyDescent="0.3">
      <c r="B336" s="15">
        <f>DATEDIF(Loan_Data!K:K,Loan_Data!L:L,"D")</f>
        <v>18</v>
      </c>
      <c r="C336" s="15">
        <f ca="1">DATEDIF(LoanData[[#This Row],[Approval_Date]],TODAY(),"M")</f>
        <v>31</v>
      </c>
      <c r="D336" s="31">
        <f>EDATE(LoanData[[#This Row],[Approval_Date]],LoanData[[#This Row],[Loan_Term_Months]])</f>
        <v>46013</v>
      </c>
      <c r="E336" t="str">
        <f t="shared" ca="1" si="5"/>
        <v>YES</v>
      </c>
      <c r="F336" s="33">
        <f>IFERROR(LoanData[[#This Row],[EMI]]/LoanData[[#This Row],[Monthly_Income]]*100," ")</f>
        <v>14.852301368381198</v>
      </c>
      <c r="G336" t="str" cm="1">
        <f t="array" ref="G336">_xlfn.IFS(F336&gt;40, "High DTI Risk",F336&gt;=25, "Moderate DTI",F336&lt;25, "Low DTI")</f>
        <v>Low DTI</v>
      </c>
      <c r="H336" t="str" cm="1">
        <f t="array" ref="H3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36" t="str">
        <f>_xlfn.XLOOKUP(H336,Reference_Tables!$B$2:$B$7,Reference_Tables!$C$2:$C$7,,0,1)</f>
        <v>MR</v>
      </c>
      <c r="J336" t="str">
        <f>INDEX(Reference_Tables!$D$11:$D$36,MATCH(LoanData[[#This Row],[Branch]],Reference_Tables!$A$11:$A$36,0))</f>
        <v>Tapan Panda</v>
      </c>
      <c r="L336" s="35"/>
    </row>
    <row r="337" spans="2:12" ht="15.6" x14ac:dyDescent="0.3">
      <c r="B337" s="15">
        <f>DATEDIF(Loan_Data!K:K,Loan_Data!L:L,"D")</f>
        <v>3</v>
      </c>
      <c r="C337" s="15">
        <f ca="1">DATEDIF(LoanData[[#This Row],[Approval_Date]],TODAY(),"M")</f>
        <v>46</v>
      </c>
      <c r="D337" s="31">
        <f>EDATE(LoanData[[#This Row],[Approval_Date]],LoanData[[#This Row],[Loan_Term_Months]])</f>
        <v>48501</v>
      </c>
      <c r="E337" t="str">
        <f t="shared" ca="1" si="5"/>
        <v>NO</v>
      </c>
      <c r="F337" s="33">
        <f>IFERROR(LoanData[[#This Row],[EMI]]/LoanData[[#This Row],[Monthly_Income]]*100," ")</f>
        <v>7.2273913109810364</v>
      </c>
      <c r="G337" t="str" cm="1">
        <f t="array" ref="G337">_xlfn.IFS(F337&gt;40, "High DTI Risk",F337&gt;=25, "Moderate DTI",F337&lt;25, "Low DTI")</f>
        <v>Low DTI</v>
      </c>
      <c r="H337" t="str" cm="1">
        <f t="array" ref="H3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37" t="str">
        <f>_xlfn.XLOOKUP(H337,Reference_Tables!$B$2:$B$7,Reference_Tables!$C$2:$C$7,,0,1)</f>
        <v>VHR</v>
      </c>
      <c r="J337" t="str">
        <f>INDEX(Reference_Tables!$D$11:$D$36,MATCH(LoanData[[#This Row],[Branch]],Reference_Tables!$A$11:$A$36,0))</f>
        <v>Sandeep Saxena</v>
      </c>
      <c r="L337" s="35"/>
    </row>
    <row r="338" spans="2:12" ht="15.6" x14ac:dyDescent="0.3">
      <c r="B338" s="15">
        <f>DATEDIF(Loan_Data!K:K,Loan_Data!L:L,"D")</f>
        <v>21</v>
      </c>
      <c r="C338" s="15">
        <f ca="1">DATEDIF(LoanData[[#This Row],[Approval_Date]],TODAY(),"M")</f>
        <v>56</v>
      </c>
      <c r="D338" s="31">
        <f>EDATE(LoanData[[#This Row],[Approval_Date]],LoanData[[#This Row],[Loan_Term_Months]])</f>
        <v>48182</v>
      </c>
      <c r="E338" t="str">
        <f t="shared" ca="1" si="5"/>
        <v>NO</v>
      </c>
      <c r="F338" s="33">
        <f>IFERROR(LoanData[[#This Row],[EMI]]/LoanData[[#This Row],[Monthly_Income]]*100," ")</f>
        <v>3.3359308213322816</v>
      </c>
      <c r="G338" t="str" cm="1">
        <f t="array" ref="G338">_xlfn.IFS(F338&gt;40, "High DTI Risk",F338&gt;=25, "Moderate DTI",F338&lt;25, "Low DTI")</f>
        <v>Low DTI</v>
      </c>
      <c r="H338" t="str" cm="1">
        <f t="array" ref="H3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38" t="str">
        <f>_xlfn.XLOOKUP(H338,Reference_Tables!$B$2:$B$7,Reference_Tables!$C$2:$C$7,,0,1)</f>
        <v>VHR</v>
      </c>
      <c r="J338" t="str">
        <f>INDEX(Reference_Tables!$D$11:$D$36,MATCH(LoanData[[#This Row],[Branch]],Reference_Tables!$A$11:$A$36,0))</f>
        <v>Suresh Menon</v>
      </c>
      <c r="L338" s="35"/>
    </row>
    <row r="339" spans="2:12" ht="15.6" x14ac:dyDescent="0.3">
      <c r="B339" s="15">
        <f>DATEDIF(Loan_Data!K:K,Loan_Data!L:L,"D")</f>
        <v>10</v>
      </c>
      <c r="C339" s="15">
        <f ca="1">DATEDIF(LoanData[[#This Row],[Approval_Date]],TODAY(),"M")</f>
        <v>34</v>
      </c>
      <c r="D339" s="31">
        <f>EDATE(LoanData[[#This Row],[Approval_Date]],LoanData[[#This Row],[Loan_Term_Months]])</f>
        <v>45926</v>
      </c>
      <c r="E339" t="str">
        <f t="shared" ca="1" si="5"/>
        <v>YES</v>
      </c>
      <c r="F339" s="33">
        <f>IFERROR(LoanData[[#This Row],[EMI]]/LoanData[[#This Row],[Monthly_Income]]*100," ")</f>
        <v>10.66606397010332</v>
      </c>
      <c r="G339" t="str" cm="1">
        <f t="array" ref="G339">_xlfn.IFS(F339&gt;40, "High DTI Risk",F339&gt;=25, "Moderate DTI",F339&lt;25, "Low DTI")</f>
        <v>Low DTI</v>
      </c>
      <c r="H339" t="str" cm="1">
        <f t="array" ref="H3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39" t="str">
        <f>_xlfn.XLOOKUP(H339,Reference_Tables!$B$2:$B$7,Reference_Tables!$C$2:$C$7,,0,1)</f>
        <v>LR</v>
      </c>
      <c r="J339" t="str">
        <f>INDEX(Reference_Tables!$D$11:$D$36,MATCH(LoanData[[#This Row],[Branch]],Reference_Tables!$A$11:$A$36,0))</f>
        <v>Hetal Patel</v>
      </c>
      <c r="L339" s="35"/>
    </row>
    <row r="340" spans="2:12" ht="15.6" x14ac:dyDescent="0.3">
      <c r="B340" s="15">
        <f>DATEDIF(Loan_Data!K:K,Loan_Data!L:L,"D")</f>
        <v>24</v>
      </c>
      <c r="C340" s="15">
        <f ca="1">DATEDIF(LoanData[[#This Row],[Approval_Date]],TODAY(),"M")</f>
        <v>34</v>
      </c>
      <c r="D340" s="31">
        <f>EDATE(LoanData[[#This Row],[Approval_Date]],LoanData[[#This Row],[Loan_Term_Months]])</f>
        <v>48862</v>
      </c>
      <c r="E340" t="str">
        <f t="shared" ca="1" si="5"/>
        <v>NO</v>
      </c>
      <c r="F340" s="33">
        <f>IFERROR(LoanData[[#This Row],[EMI]]/LoanData[[#This Row],[Monthly_Income]]*100," ")</f>
        <v>7.949619582419901</v>
      </c>
      <c r="G340" t="str" cm="1">
        <f t="array" ref="G340">_xlfn.IFS(F340&gt;40, "High DTI Risk",F340&gt;=25, "Moderate DTI",F340&lt;25, "Low DTI")</f>
        <v>Low DTI</v>
      </c>
      <c r="H340" t="str" cm="1">
        <f t="array" ref="H3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40" t="str">
        <f>_xlfn.XLOOKUP(H340,Reference_Tables!$B$2:$B$7,Reference_Tables!$C$2:$C$7,,0,1)</f>
        <v>VHR</v>
      </c>
      <c r="J340" t="str">
        <f>INDEX(Reference_Tables!$D$11:$D$36,MATCH(LoanData[[#This Row],[Branch]],Reference_Tables!$A$11:$A$36,0))</f>
        <v>Tapan Panda</v>
      </c>
      <c r="L340" s="35"/>
    </row>
    <row r="341" spans="2:12" ht="15.6" x14ac:dyDescent="0.3">
      <c r="B341" s="15">
        <f>DATEDIF(Loan_Data!K:K,Loan_Data!L:L,"D")</f>
        <v>27</v>
      </c>
      <c r="C341" s="15">
        <f ca="1">DATEDIF(LoanData[[#This Row],[Approval_Date]],TODAY(),"M")</f>
        <v>55</v>
      </c>
      <c r="D341" s="31">
        <f>EDATE(LoanData[[#This Row],[Approval_Date]],LoanData[[#This Row],[Loan_Term_Months]])</f>
        <v>45669</v>
      </c>
      <c r="E341" t="str">
        <f t="shared" ca="1" si="5"/>
        <v>YES</v>
      </c>
      <c r="F341" s="33">
        <f>IFERROR(LoanData[[#This Row],[EMI]]/LoanData[[#This Row],[Monthly_Income]]*100," ")</f>
        <v>6.1262243214813425</v>
      </c>
      <c r="G341" t="str" cm="1">
        <f t="array" ref="G341">_xlfn.IFS(F341&gt;40, "High DTI Risk",F341&gt;=25, "Moderate DTI",F341&lt;25, "Low DTI")</f>
        <v>Low DTI</v>
      </c>
      <c r="H341" t="str" cm="1">
        <f t="array" ref="H3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41" t="str">
        <f>_xlfn.XLOOKUP(H341,Reference_Tables!$B$2:$B$7,Reference_Tables!$C$2:$C$7,,0,1)</f>
        <v>LR</v>
      </c>
      <c r="J341" t="str">
        <f>INDEX(Reference_Tables!$D$11:$D$36,MATCH(LoanData[[#This Row],[Branch]],Reference_Tables!$A$11:$A$36,0))</f>
        <v>Suman Tiwari</v>
      </c>
      <c r="L341" s="35"/>
    </row>
    <row r="342" spans="2:12" ht="15.6" x14ac:dyDescent="0.3">
      <c r="B342" s="15">
        <f>DATEDIF(Loan_Data!K:K,Loan_Data!L:L,"D")</f>
        <v>13</v>
      </c>
      <c r="C342" s="15">
        <f ca="1">DATEDIF(LoanData[[#This Row],[Approval_Date]],TODAY(),"M")</f>
        <v>57</v>
      </c>
      <c r="D342" s="31">
        <f>EDATE(LoanData[[#This Row],[Approval_Date]],LoanData[[#This Row],[Loan_Term_Months]])</f>
        <v>45969</v>
      </c>
      <c r="E342" t="str">
        <f t="shared" ca="1" si="5"/>
        <v>YES</v>
      </c>
      <c r="F342" s="33">
        <f>IFERROR(LoanData[[#This Row],[EMI]]/LoanData[[#This Row],[Monthly_Income]]*100," ")</f>
        <v>13.735422347773548</v>
      </c>
      <c r="G342" t="str" cm="1">
        <f t="array" ref="G342">_xlfn.IFS(F342&gt;40, "High DTI Risk",F342&gt;=25, "Moderate DTI",F342&lt;25, "Low DTI")</f>
        <v>Low DTI</v>
      </c>
      <c r="H342" t="str" cm="1">
        <f t="array" ref="H3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42" t="str">
        <f>_xlfn.XLOOKUP(H342,Reference_Tables!$B$2:$B$7,Reference_Tables!$C$2:$C$7,,0,1)</f>
        <v>VHR</v>
      </c>
      <c r="J342" t="str">
        <f>INDEX(Reference_Tables!$D$11:$D$36,MATCH(LoanData[[#This Row],[Branch]],Reference_Tables!$A$11:$A$36,0))</f>
        <v>Ravi Verma</v>
      </c>
      <c r="L342" s="35"/>
    </row>
    <row r="343" spans="2:12" ht="15.6" x14ac:dyDescent="0.3">
      <c r="B343" s="15">
        <f>DATEDIF(Loan_Data!K:K,Loan_Data!L:L,"D")</f>
        <v>10</v>
      </c>
      <c r="C343" s="15">
        <f ca="1">DATEDIF(LoanData[[#This Row],[Approval_Date]],TODAY(),"M")</f>
        <v>37</v>
      </c>
      <c r="D343" s="31">
        <f>EDATE(LoanData[[#This Row],[Approval_Date]],LoanData[[#This Row],[Loan_Term_Months]])</f>
        <v>52407</v>
      </c>
      <c r="E343" t="str">
        <f t="shared" ca="1" si="5"/>
        <v>NO</v>
      </c>
      <c r="F343" s="33">
        <f>IFERROR(LoanData[[#This Row],[EMI]]/LoanData[[#This Row],[Monthly_Income]]*100," ")</f>
        <v>2.0594417779951701</v>
      </c>
      <c r="G343" t="str" cm="1">
        <f t="array" ref="G343">_xlfn.IFS(F343&gt;40, "High DTI Risk",F343&gt;=25, "Moderate DTI",F343&lt;25, "Low DTI")</f>
        <v>Low DTI</v>
      </c>
      <c r="H343" t="str" cm="1">
        <f t="array" ref="H3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43" t="str">
        <f>_xlfn.XLOOKUP(H343,Reference_Tables!$B$2:$B$7,Reference_Tables!$C$2:$C$7,,0,1)</f>
        <v>VHR</v>
      </c>
      <c r="J343" t="str">
        <f>INDEX(Reference_Tables!$D$11:$D$36,MATCH(LoanData[[#This Row],[Branch]],Reference_Tables!$A$11:$A$36,0))</f>
        <v>Anil Mishra</v>
      </c>
      <c r="L343" s="35"/>
    </row>
    <row r="344" spans="2:12" ht="15.6" x14ac:dyDescent="0.3">
      <c r="B344" s="15">
        <f>DATEDIF(Loan_Data!K:K,Loan_Data!L:L,"D")</f>
        <v>25</v>
      </c>
      <c r="C344" s="15">
        <f ca="1">DATEDIF(LoanData[[#This Row],[Approval_Date]],TODAY(),"M")</f>
        <v>66</v>
      </c>
      <c r="D344" s="31">
        <f>EDATE(LoanData[[#This Row],[Approval_Date]],LoanData[[#This Row],[Loan_Term_Months]])</f>
        <v>45702</v>
      </c>
      <c r="E344" t="str">
        <f t="shared" ca="1" si="5"/>
        <v>YES</v>
      </c>
      <c r="F344" s="33">
        <f>IFERROR(LoanData[[#This Row],[EMI]]/LoanData[[#This Row],[Monthly_Income]]*100," ")</f>
        <v>32.047777593727574</v>
      </c>
      <c r="G344" t="str" cm="1">
        <f t="array" ref="G344">_xlfn.IFS(F344&gt;40, "High DTI Risk",F344&gt;=25, "Moderate DTI",F344&lt;25, "Low DTI")</f>
        <v>Moderate DTI</v>
      </c>
      <c r="H344" t="str" cm="1">
        <f t="array" ref="H3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44" t="str">
        <f>_xlfn.XLOOKUP(H344,Reference_Tables!$B$2:$B$7,Reference_Tables!$C$2:$C$7,,0,1)</f>
        <v>HR</v>
      </c>
      <c r="J344" t="str">
        <f>INDEX(Reference_Tables!$D$11:$D$36,MATCH(LoanData[[#This Row],[Branch]],Reference_Tables!$A$11:$A$36,0))</f>
        <v>Sachin Deshpande</v>
      </c>
      <c r="L344" s="35"/>
    </row>
    <row r="345" spans="2:12" ht="15.6" x14ac:dyDescent="0.3">
      <c r="B345" s="15">
        <f>DATEDIF(Loan_Data!K:K,Loan_Data!L:L,"D")</f>
        <v>4</v>
      </c>
      <c r="C345" s="15">
        <f ca="1">DATEDIF(LoanData[[#This Row],[Approval_Date]],TODAY(),"M")</f>
        <v>55</v>
      </c>
      <c r="D345" s="31">
        <f>EDATE(LoanData[[#This Row],[Approval_Date]],LoanData[[#This Row],[Loan_Term_Months]])</f>
        <v>45672</v>
      </c>
      <c r="E345" t="str">
        <f t="shared" ca="1" si="5"/>
        <v>YES</v>
      </c>
      <c r="F345" s="33">
        <f>IFERROR(LoanData[[#This Row],[EMI]]/LoanData[[#This Row],[Monthly_Income]]*100," ")</f>
        <v>6.7139432661590561</v>
      </c>
      <c r="G345" t="str" cm="1">
        <f t="array" ref="G345">_xlfn.IFS(F345&gt;40, "High DTI Risk",F345&gt;=25, "Moderate DTI",F345&lt;25, "Low DTI")</f>
        <v>Low DTI</v>
      </c>
      <c r="H345" t="str" cm="1">
        <f t="array" ref="H3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45" t="str">
        <f>_xlfn.XLOOKUP(H345,Reference_Tables!$B$2:$B$7,Reference_Tables!$C$2:$C$7,,0,1)</f>
        <v>VHR</v>
      </c>
      <c r="J345" t="str">
        <f>INDEX(Reference_Tables!$D$11:$D$36,MATCH(LoanData[[#This Row],[Branch]],Reference_Tables!$A$11:$A$36,0))</f>
        <v>Meena Iyer</v>
      </c>
      <c r="L345" s="35"/>
    </row>
    <row r="346" spans="2:12" ht="15.6" x14ac:dyDescent="0.3">
      <c r="B346" s="15">
        <f>DATEDIF(Loan_Data!K:K,Loan_Data!L:L,"D")</f>
        <v>29</v>
      </c>
      <c r="C346" s="15">
        <f ca="1">DATEDIF(LoanData[[#This Row],[Approval_Date]],TODAY(),"M")</f>
        <v>43</v>
      </c>
      <c r="D346" s="31">
        <f>EDATE(LoanData[[#This Row],[Approval_Date]],LoanData[[#This Row],[Loan_Term_Months]])</f>
        <v>47492</v>
      </c>
      <c r="E346" t="str">
        <f t="shared" ca="1" si="5"/>
        <v>NO</v>
      </c>
      <c r="F346" s="33">
        <f>IFERROR(LoanData[[#This Row],[EMI]]/LoanData[[#This Row],[Monthly_Income]]*100," ")</f>
        <v>8.0596192964757627</v>
      </c>
      <c r="G346" t="str" cm="1">
        <f t="array" ref="G346">_xlfn.IFS(F346&gt;40, "High DTI Risk",F346&gt;=25, "Moderate DTI",F346&lt;25, "Low DTI")</f>
        <v>Low DTI</v>
      </c>
      <c r="H346" t="str" cm="1">
        <f t="array" ref="H3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46" t="str">
        <f>_xlfn.XLOOKUP(H346,Reference_Tables!$B$2:$B$7,Reference_Tables!$C$2:$C$7,,0,1)</f>
        <v>LR</v>
      </c>
      <c r="J346" t="str">
        <f>INDEX(Reference_Tables!$D$11:$D$36,MATCH(LoanData[[#This Row],[Branch]],Reference_Tables!$A$11:$A$36,0))</f>
        <v>Priyanka Gupta</v>
      </c>
      <c r="L346" s="35"/>
    </row>
    <row r="347" spans="2:12" ht="15.6" x14ac:dyDescent="0.3">
      <c r="B347" s="15">
        <f>DATEDIF(Loan_Data!K:K,Loan_Data!L:L,"D")</f>
        <v>23</v>
      </c>
      <c r="C347" s="15">
        <f ca="1">DATEDIF(LoanData[[#This Row],[Approval_Date]],TODAY(),"M")</f>
        <v>30</v>
      </c>
      <c r="D347" s="31">
        <f>EDATE(LoanData[[#This Row],[Approval_Date]],LoanData[[#This Row],[Loan_Term_Months]])</f>
        <v>46773</v>
      </c>
      <c r="E347" t="str">
        <f t="shared" ca="1" si="5"/>
        <v>NO</v>
      </c>
      <c r="F347" s="33">
        <f>IFERROR(LoanData[[#This Row],[EMI]]/LoanData[[#This Row],[Monthly_Income]]*100," ")</f>
        <v>10.242412112245001</v>
      </c>
      <c r="G347" t="str" cm="1">
        <f t="array" ref="G347">_xlfn.IFS(F347&gt;40, "High DTI Risk",F347&gt;=25, "Moderate DTI",F347&lt;25, "Low DTI")</f>
        <v>Low DTI</v>
      </c>
      <c r="H347" t="str" cm="1">
        <f t="array" ref="H3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47" t="str">
        <f>_xlfn.XLOOKUP(H347,Reference_Tables!$B$2:$B$7,Reference_Tables!$C$2:$C$7,,0,1)</f>
        <v>LR</v>
      </c>
      <c r="J347" t="str">
        <f>INDEX(Reference_Tables!$D$11:$D$36,MATCH(LoanData[[#This Row],[Branch]],Reference_Tables!$A$11:$A$36,0))</f>
        <v>Tapan Panda</v>
      </c>
      <c r="L347" s="35"/>
    </row>
    <row r="348" spans="2:12" ht="15.6" x14ac:dyDescent="0.3">
      <c r="B348" s="15">
        <f>DATEDIF(Loan_Data!K:K,Loan_Data!L:L,"D")</f>
        <v>17</v>
      </c>
      <c r="C348" s="15">
        <f ca="1">DATEDIF(LoanData[[#This Row],[Approval_Date]],TODAY(),"M")</f>
        <v>51</v>
      </c>
      <c r="D348" s="31">
        <f>EDATE(LoanData[[#This Row],[Approval_Date]],LoanData[[#This Row],[Loan_Term_Months]])</f>
        <v>45785</v>
      </c>
      <c r="E348" t="str">
        <f t="shared" ca="1" si="5"/>
        <v>YES</v>
      </c>
      <c r="F348" s="33">
        <f>IFERROR(LoanData[[#This Row],[EMI]]/LoanData[[#This Row],[Monthly_Income]]*100," ")</f>
        <v>6.2722993737114399</v>
      </c>
      <c r="G348" t="str" cm="1">
        <f t="array" ref="G348">_xlfn.IFS(F348&gt;40, "High DTI Risk",F348&gt;=25, "Moderate DTI",F348&lt;25, "Low DTI")</f>
        <v>Low DTI</v>
      </c>
      <c r="H348" t="str" cm="1">
        <f t="array" ref="H3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48" t="str">
        <f>_xlfn.XLOOKUP(H348,Reference_Tables!$B$2:$B$7,Reference_Tables!$C$2:$C$7,,0,1)</f>
        <v>MR</v>
      </c>
      <c r="J348" t="str">
        <f>INDEX(Reference_Tables!$D$11:$D$36,MATCH(LoanData[[#This Row],[Branch]],Reference_Tables!$A$11:$A$36,0))</f>
        <v>Suman Tiwari</v>
      </c>
      <c r="L348" s="35"/>
    </row>
    <row r="349" spans="2:12" ht="15.6" x14ac:dyDescent="0.3">
      <c r="B349" s="15">
        <f>DATEDIF(Loan_Data!K:K,Loan_Data!L:L,"D")</f>
        <v>16</v>
      </c>
      <c r="C349" s="15">
        <f ca="1">DATEDIF(LoanData[[#This Row],[Approval_Date]],TODAY(),"M")</f>
        <v>47</v>
      </c>
      <c r="D349" s="31">
        <f>EDATE(LoanData[[#This Row],[Approval_Date]],LoanData[[#This Row],[Loan_Term_Months]])</f>
        <v>50299</v>
      </c>
      <c r="E349" t="str">
        <f t="shared" ca="1" si="5"/>
        <v>NO</v>
      </c>
      <c r="F349" s="33">
        <f>IFERROR(LoanData[[#This Row],[EMI]]/LoanData[[#This Row],[Monthly_Income]]*100," ")</f>
        <v>1.789638649709983</v>
      </c>
      <c r="G349" t="str" cm="1">
        <f t="array" ref="G349">_xlfn.IFS(F349&gt;40, "High DTI Risk",F349&gt;=25, "Moderate DTI",F349&lt;25, "Low DTI")</f>
        <v>Low DTI</v>
      </c>
      <c r="H349" t="str" cm="1">
        <f t="array" ref="H3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49" t="str">
        <f>_xlfn.XLOOKUP(H349,Reference_Tables!$B$2:$B$7,Reference_Tables!$C$2:$C$7,,0,1)</f>
        <v>VHR</v>
      </c>
      <c r="J349" t="str">
        <f>INDEX(Reference_Tables!$D$11:$D$36,MATCH(LoanData[[#This Row],[Branch]],Reference_Tables!$A$11:$A$36,0))</f>
        <v>Sachin Deshpande</v>
      </c>
      <c r="L349" s="35"/>
    </row>
    <row r="350" spans="2:12" ht="15.6" x14ac:dyDescent="0.3">
      <c r="B350" s="15">
        <f>DATEDIF(Loan_Data!K:K,Loan_Data!L:L,"D")</f>
        <v>22</v>
      </c>
      <c r="C350" s="15">
        <f ca="1">DATEDIF(LoanData[[#This Row],[Approval_Date]],TODAY(),"M")</f>
        <v>55</v>
      </c>
      <c r="D350" s="31">
        <f>EDATE(LoanData[[#This Row],[Approval_Date]],LoanData[[#This Row],[Loan_Term_Months]])</f>
        <v>45290</v>
      </c>
      <c r="E350" t="str">
        <f t="shared" ca="1" si="5"/>
        <v>YES</v>
      </c>
      <c r="F350" s="33">
        <f>IFERROR(LoanData[[#This Row],[EMI]]/LoanData[[#This Row],[Monthly_Income]]*100," ")</f>
        <v>8.7603582242162741</v>
      </c>
      <c r="G350" t="str" cm="1">
        <f t="array" ref="G350">_xlfn.IFS(F350&gt;40, "High DTI Risk",F350&gt;=25, "Moderate DTI",F350&lt;25, "Low DTI")</f>
        <v>Low DTI</v>
      </c>
      <c r="H350" t="str" cm="1">
        <f t="array" ref="H3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50" t="str">
        <f>_xlfn.XLOOKUP(H350,Reference_Tables!$B$2:$B$7,Reference_Tables!$C$2:$C$7,,0,1)</f>
        <v>HR</v>
      </c>
      <c r="J350" t="str">
        <f>INDEX(Reference_Tables!$D$11:$D$36,MATCH(LoanData[[#This Row],[Branch]],Reference_Tables!$A$11:$A$36,0))</f>
        <v>Jigar Mehta</v>
      </c>
      <c r="L350" s="35"/>
    </row>
    <row r="351" spans="2:12" ht="15.6" x14ac:dyDescent="0.3">
      <c r="B351" s="15">
        <f>DATEDIF(Loan_Data!K:K,Loan_Data!L:L,"D")</f>
        <v>21</v>
      </c>
      <c r="C351" s="15">
        <f ca="1">DATEDIF(LoanData[[#This Row],[Approval_Date]],TODAY(),"M")</f>
        <v>57</v>
      </c>
      <c r="D351" s="31">
        <f>EDATE(LoanData[[#This Row],[Approval_Date]],LoanData[[#This Row],[Loan_Term_Months]])</f>
        <v>45232</v>
      </c>
      <c r="E351" t="str">
        <f t="shared" ca="1" si="5"/>
        <v>YES</v>
      </c>
      <c r="F351" s="33">
        <f>IFERROR(LoanData[[#This Row],[EMI]]/LoanData[[#This Row],[Monthly_Income]]*100," ")</f>
        <v>15.366541687119447</v>
      </c>
      <c r="G351" t="str" cm="1">
        <f t="array" ref="G351">_xlfn.IFS(F351&gt;40, "High DTI Risk",F351&gt;=25, "Moderate DTI",F351&lt;25, "Low DTI")</f>
        <v>Low DTI</v>
      </c>
      <c r="H351" t="str" cm="1">
        <f t="array" ref="H3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51" t="str">
        <f>_xlfn.XLOOKUP(H351,Reference_Tables!$B$2:$B$7,Reference_Tables!$C$2:$C$7,,0,1)</f>
        <v>HR</v>
      </c>
      <c r="J351" t="str">
        <f>INDEX(Reference_Tables!$D$11:$D$36,MATCH(LoanData[[#This Row],[Branch]],Reference_Tables!$A$11:$A$36,0))</f>
        <v>Nilesh Shah</v>
      </c>
      <c r="L351" s="35"/>
    </row>
    <row r="352" spans="2:12" ht="15.6" x14ac:dyDescent="0.3">
      <c r="B352" s="15">
        <f>DATEDIF(Loan_Data!K:K,Loan_Data!L:L,"D")</f>
        <v>30</v>
      </c>
      <c r="C352" s="15">
        <f ca="1">DATEDIF(LoanData[[#This Row],[Approval_Date]],TODAY(),"M")</f>
        <v>35</v>
      </c>
      <c r="D352" s="31">
        <f>EDATE(LoanData[[#This Row],[Approval_Date]],LoanData[[#This Row],[Loan_Term_Months]])</f>
        <v>46272</v>
      </c>
      <c r="E352" t="str">
        <f t="shared" ca="1" si="5"/>
        <v>NO</v>
      </c>
      <c r="F352" s="33">
        <f>IFERROR(LoanData[[#This Row],[EMI]]/LoanData[[#This Row],[Monthly_Income]]*100," ")</f>
        <v>31.476536805796947</v>
      </c>
      <c r="G352" t="str" cm="1">
        <f t="array" ref="G352">_xlfn.IFS(F352&gt;40, "High DTI Risk",F352&gt;=25, "Moderate DTI",F352&lt;25, "Low DTI")</f>
        <v>Moderate DTI</v>
      </c>
      <c r="H352" t="str" cm="1">
        <f t="array" ref="H3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52" t="str">
        <f>_xlfn.XLOOKUP(H352,Reference_Tables!$B$2:$B$7,Reference_Tables!$C$2:$C$7,,0,1)</f>
        <v>MR</v>
      </c>
      <c r="J352" t="str">
        <f>INDEX(Reference_Tables!$D$11:$D$36,MATCH(LoanData[[#This Row],[Branch]],Reference_Tables!$A$11:$A$36,0))</f>
        <v>Hetal Patel</v>
      </c>
      <c r="L352" s="35"/>
    </row>
    <row r="353" spans="2:12" ht="15.6" x14ac:dyDescent="0.3">
      <c r="B353" s="15">
        <f>DATEDIF(Loan_Data!K:K,Loan_Data!L:L,"D")</f>
        <v>21</v>
      </c>
      <c r="C353" s="15">
        <f ca="1">DATEDIF(LoanData[[#This Row],[Approval_Date]],TODAY(),"M")</f>
        <v>35</v>
      </c>
      <c r="D353" s="31">
        <f>EDATE(LoanData[[#This Row],[Approval_Date]],LoanData[[#This Row],[Loan_Term_Months]])</f>
        <v>47005</v>
      </c>
      <c r="E353" t="str">
        <f t="shared" ca="1" si="5"/>
        <v>NO</v>
      </c>
      <c r="F353" s="33">
        <f>IFERROR(LoanData[[#This Row],[EMI]]/LoanData[[#This Row],[Monthly_Income]]*100," ")</f>
        <v>8.2038391551004377</v>
      </c>
      <c r="G353" t="str" cm="1">
        <f t="array" ref="G353">_xlfn.IFS(F353&gt;40, "High DTI Risk",F353&gt;=25, "Moderate DTI",F353&lt;25, "Low DTI")</f>
        <v>Low DTI</v>
      </c>
      <c r="H353" t="str" cm="1">
        <f t="array" ref="H3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53" t="str">
        <f>_xlfn.XLOOKUP(H353,Reference_Tables!$B$2:$B$7,Reference_Tables!$C$2:$C$7,,0,1)</f>
        <v>LR</v>
      </c>
      <c r="J353" t="str">
        <f>INDEX(Reference_Tables!$D$11:$D$36,MATCH(LoanData[[#This Row],[Branch]],Reference_Tables!$A$11:$A$36,0))</f>
        <v>Rahul Kapoor</v>
      </c>
      <c r="L353" s="35"/>
    </row>
    <row r="354" spans="2:12" ht="15.6" x14ac:dyDescent="0.3">
      <c r="B354" s="15">
        <f>DATEDIF(Loan_Data!K:K,Loan_Data!L:L,"D")</f>
        <v>6</v>
      </c>
      <c r="C354" s="15">
        <f ca="1">DATEDIF(LoanData[[#This Row],[Approval_Date]],TODAY(),"M")</f>
        <v>40</v>
      </c>
      <c r="D354" s="31">
        <f>EDATE(LoanData[[#This Row],[Approval_Date]],LoanData[[#This Row],[Loan_Term_Months]])</f>
        <v>45761</v>
      </c>
      <c r="E354" t="str">
        <f t="shared" ca="1" si="5"/>
        <v>YES</v>
      </c>
      <c r="F354" s="33">
        <f>IFERROR(LoanData[[#This Row],[EMI]]/LoanData[[#This Row],[Monthly_Income]]*100," ")</f>
        <v>12.669932572132629</v>
      </c>
      <c r="G354" t="str" cm="1">
        <f t="array" ref="G354">_xlfn.IFS(F354&gt;40, "High DTI Risk",F354&gt;=25, "Moderate DTI",F354&lt;25, "Low DTI")</f>
        <v>Low DTI</v>
      </c>
      <c r="H354" t="str" cm="1">
        <f t="array" ref="H3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54" t="str">
        <f>_xlfn.XLOOKUP(H354,Reference_Tables!$B$2:$B$7,Reference_Tables!$C$2:$C$7,,0,1)</f>
        <v>VHR</v>
      </c>
      <c r="J354" t="str">
        <f>INDEX(Reference_Tables!$D$11:$D$36,MATCH(LoanData[[#This Row],[Branch]],Reference_Tables!$A$11:$A$36,0))</f>
        <v>Puja Chatterjee</v>
      </c>
      <c r="L354" s="35"/>
    </row>
    <row r="355" spans="2:12" ht="15.6" x14ac:dyDescent="0.3">
      <c r="B355" s="15">
        <f>DATEDIF(Loan_Data!K:K,Loan_Data!L:L,"D")</f>
        <v>22</v>
      </c>
      <c r="C355" s="15">
        <f ca="1">DATEDIF(LoanData[[#This Row],[Approval_Date]],TODAY(),"M")</f>
        <v>44</v>
      </c>
      <c r="D355" s="31">
        <f>EDATE(LoanData[[#This Row],[Approval_Date]],LoanData[[#This Row],[Loan_Term_Months]])</f>
        <v>50391</v>
      </c>
      <c r="E355" t="str">
        <f t="shared" ca="1" si="5"/>
        <v>NO</v>
      </c>
      <c r="F355" s="33">
        <f>IFERROR(LoanData[[#This Row],[EMI]]/LoanData[[#This Row],[Monthly_Income]]*100," ")</f>
        <v>11.419587729106908</v>
      </c>
      <c r="G355" t="str" cm="1">
        <f t="array" ref="G355">_xlfn.IFS(F355&gt;40, "High DTI Risk",F355&gt;=25, "Moderate DTI",F355&lt;25, "Low DTI")</f>
        <v>Low DTI</v>
      </c>
      <c r="H355" t="str" cm="1">
        <f t="array" ref="H3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55" t="str">
        <f>_xlfn.XLOOKUP(H355,Reference_Tables!$B$2:$B$7,Reference_Tables!$C$2:$C$7,,0,1)</f>
        <v>MR</v>
      </c>
      <c r="J355" t="str">
        <f>INDEX(Reference_Tables!$D$11:$D$36,MATCH(LoanData[[#This Row],[Branch]],Reference_Tables!$A$11:$A$36,0))</f>
        <v>Santhosh Rao</v>
      </c>
      <c r="L355" s="35"/>
    </row>
    <row r="356" spans="2:12" ht="15.6" x14ac:dyDescent="0.3">
      <c r="B356" s="15">
        <f>DATEDIF(Loan_Data!K:K,Loan_Data!L:L,"D")</f>
        <v>21</v>
      </c>
      <c r="C356" s="15">
        <f ca="1">DATEDIF(LoanData[[#This Row],[Approval_Date]],TODAY(),"M")</f>
        <v>47</v>
      </c>
      <c r="D356" s="31">
        <f>EDATE(LoanData[[#This Row],[Approval_Date]],LoanData[[#This Row],[Loan_Term_Months]])</f>
        <v>50300</v>
      </c>
      <c r="E356" t="str">
        <f t="shared" ca="1" si="5"/>
        <v>NO</v>
      </c>
      <c r="F356" s="33">
        <f>IFERROR(LoanData[[#This Row],[EMI]]/LoanData[[#This Row],[Monthly_Income]]*100," ")</f>
        <v>50.947539850061865</v>
      </c>
      <c r="G356" t="str" cm="1">
        <f t="array" ref="G356">_xlfn.IFS(F356&gt;40, "High DTI Risk",F356&gt;=25, "Moderate DTI",F356&lt;25, "Low DTI")</f>
        <v>High DTI Risk</v>
      </c>
      <c r="H356" t="str" cm="1">
        <f t="array" ref="H3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56" t="str">
        <f>_xlfn.XLOOKUP(H356,Reference_Tables!$B$2:$B$7,Reference_Tables!$C$2:$C$7,,0,1)</f>
        <v>VHR</v>
      </c>
      <c r="J356" t="str">
        <f>INDEX(Reference_Tables!$D$11:$D$36,MATCH(LoanData[[#This Row],[Branch]],Reference_Tables!$A$11:$A$36,0))</f>
        <v>Jigar Mehta</v>
      </c>
      <c r="L356" s="35"/>
    </row>
    <row r="357" spans="2:12" ht="15.6" x14ac:dyDescent="0.3">
      <c r="B357" s="15">
        <f>DATEDIF(Loan_Data!K:K,Loan_Data!L:L,"D")</f>
        <v>26</v>
      </c>
      <c r="C357" s="15">
        <f ca="1">DATEDIF(LoanData[[#This Row],[Approval_Date]],TODAY(),"M")</f>
        <v>50</v>
      </c>
      <c r="D357" s="31">
        <f>EDATE(LoanData[[#This Row],[Approval_Date]],LoanData[[#This Row],[Loan_Term_Months]])</f>
        <v>48361</v>
      </c>
      <c r="E357" t="str">
        <f t="shared" ca="1" si="5"/>
        <v>NO</v>
      </c>
      <c r="F357" s="33">
        <f>IFERROR(LoanData[[#This Row],[EMI]]/LoanData[[#This Row],[Monthly_Income]]*100," ")</f>
        <v>2.0101688216024578</v>
      </c>
      <c r="G357" t="str" cm="1">
        <f t="array" ref="G357">_xlfn.IFS(F357&gt;40, "High DTI Risk",F357&gt;=25, "Moderate DTI",F357&lt;25, "Low DTI")</f>
        <v>Low DTI</v>
      </c>
      <c r="H357" t="str" cm="1">
        <f t="array" ref="H3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57" t="str">
        <f>_xlfn.XLOOKUP(H357,Reference_Tables!$B$2:$B$7,Reference_Tables!$C$2:$C$7,,0,1)</f>
        <v>VHR</v>
      </c>
      <c r="J357" t="str">
        <f>INDEX(Reference_Tables!$D$11:$D$36,MATCH(LoanData[[#This Row],[Branch]],Reference_Tables!$A$11:$A$36,0))</f>
        <v>Priyanka Gupta</v>
      </c>
      <c r="L357" s="35"/>
    </row>
    <row r="358" spans="2:12" ht="15.6" x14ac:dyDescent="0.3">
      <c r="B358" s="15">
        <f>DATEDIF(Loan_Data!K:K,Loan_Data!L:L,"D")</f>
        <v>4</v>
      </c>
      <c r="C358" s="15">
        <f ca="1">DATEDIF(LoanData[[#This Row],[Approval_Date]],TODAY(),"M")</f>
        <v>36</v>
      </c>
      <c r="D358" s="31">
        <f>EDATE(LoanData[[#This Row],[Approval_Date]],LoanData[[#This Row],[Loan_Term_Months]])</f>
        <v>46245</v>
      </c>
      <c r="E358" t="str">
        <f t="shared" ca="1" si="5"/>
        <v>YES</v>
      </c>
      <c r="F358" s="33">
        <f>IFERROR(LoanData[[#This Row],[EMI]]/LoanData[[#This Row],[Monthly_Income]]*100," ")</f>
        <v>11.656554111074316</v>
      </c>
      <c r="G358" t="str" cm="1">
        <f t="array" ref="G358">_xlfn.IFS(F358&gt;40, "High DTI Risk",F358&gt;=25, "Moderate DTI",F358&lt;25, "Low DTI")</f>
        <v>Low DTI</v>
      </c>
      <c r="H358" t="str" cm="1">
        <f t="array" ref="H3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58" t="str">
        <f>_xlfn.XLOOKUP(H358,Reference_Tables!$B$2:$B$7,Reference_Tables!$C$2:$C$7,,0,1)</f>
        <v>VHR</v>
      </c>
      <c r="J358" t="str">
        <f>INDEX(Reference_Tables!$D$11:$D$36,MATCH(LoanData[[#This Row],[Branch]],Reference_Tables!$A$11:$A$36,0))</f>
        <v>Arvind Pillai</v>
      </c>
      <c r="L358" s="35"/>
    </row>
    <row r="359" spans="2:12" ht="15.6" x14ac:dyDescent="0.3">
      <c r="B359" s="15">
        <f>DATEDIF(Loan_Data!K:K,Loan_Data!L:L,"D")</f>
        <v>28</v>
      </c>
      <c r="C359" s="15">
        <f ca="1">DATEDIF(LoanData[[#This Row],[Approval_Date]],TODAY(),"M")</f>
        <v>61</v>
      </c>
      <c r="D359" s="31">
        <f>EDATE(LoanData[[#This Row],[Approval_Date]],LoanData[[#This Row],[Loan_Term_Months]])</f>
        <v>45117</v>
      </c>
      <c r="E359" t="str">
        <f t="shared" ca="1" si="5"/>
        <v>YES</v>
      </c>
      <c r="F359" s="33">
        <f>IFERROR(LoanData[[#This Row],[EMI]]/LoanData[[#This Row],[Monthly_Income]]*100," ")</f>
        <v>43.137667207982453</v>
      </c>
      <c r="G359" t="str" cm="1">
        <f t="array" ref="G359">_xlfn.IFS(F359&gt;40, "High DTI Risk",F359&gt;=25, "Moderate DTI",F359&lt;25, "Low DTI")</f>
        <v>High DTI Risk</v>
      </c>
      <c r="H359" t="str" cm="1">
        <f t="array" ref="H3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59" t="str">
        <f>_xlfn.XLOOKUP(H359,Reference_Tables!$B$2:$B$7,Reference_Tables!$C$2:$C$7,,0,1)</f>
        <v>HR</v>
      </c>
      <c r="J359" t="str">
        <f>INDEX(Reference_Tables!$D$11:$D$36,MATCH(LoanData[[#This Row],[Branch]],Reference_Tables!$A$11:$A$36,0))</f>
        <v>Sandeep Saxena</v>
      </c>
      <c r="L359" s="35"/>
    </row>
    <row r="360" spans="2:12" ht="15.6" x14ac:dyDescent="0.3">
      <c r="B360" s="15">
        <f>DATEDIF(Loan_Data!K:K,Loan_Data!L:L,"D")</f>
        <v>11</v>
      </c>
      <c r="C360" s="15">
        <f ca="1">DATEDIF(LoanData[[#This Row],[Approval_Date]],TODAY(),"M")</f>
        <v>41</v>
      </c>
      <c r="D360" s="31">
        <f>EDATE(LoanData[[#This Row],[Approval_Date]],LoanData[[#This Row],[Loan_Term_Months]])</f>
        <v>46447</v>
      </c>
      <c r="E360" t="str">
        <f t="shared" ca="1" si="5"/>
        <v>NO</v>
      </c>
      <c r="F360" s="33">
        <f>IFERROR(LoanData[[#This Row],[EMI]]/LoanData[[#This Row],[Monthly_Income]]*100," ")</f>
        <v>2.9570119175282761</v>
      </c>
      <c r="G360" t="str" cm="1">
        <f t="array" ref="G360">_xlfn.IFS(F360&gt;40, "High DTI Risk",F360&gt;=25, "Moderate DTI",F360&lt;25, "Low DTI")</f>
        <v>Low DTI</v>
      </c>
      <c r="H360" t="str" cm="1">
        <f t="array" ref="H3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60" t="str">
        <f>_xlfn.XLOOKUP(H360,Reference_Tables!$B$2:$B$7,Reference_Tables!$C$2:$C$7,,0,1)</f>
        <v>VHR</v>
      </c>
      <c r="J360" t="str">
        <f>INDEX(Reference_Tables!$D$11:$D$36,MATCH(LoanData[[#This Row],[Branch]],Reference_Tables!$A$11:$A$36,0))</f>
        <v>Debashis Das</v>
      </c>
      <c r="L360" s="35"/>
    </row>
    <row r="361" spans="2:12" ht="15.6" x14ac:dyDescent="0.3">
      <c r="B361" s="15">
        <f>DATEDIF(Loan_Data!K:K,Loan_Data!L:L,"D")</f>
        <v>12</v>
      </c>
      <c r="C361" s="15">
        <f ca="1">DATEDIF(LoanData[[#This Row],[Approval_Date]],TODAY(),"M")</f>
        <v>38</v>
      </c>
      <c r="D361" s="31">
        <f>EDATE(LoanData[[#This Row],[Approval_Date]],LoanData[[#This Row],[Loan_Term_Months]])</f>
        <v>48740</v>
      </c>
      <c r="E361" t="str">
        <f t="shared" ca="1" si="5"/>
        <v>NO</v>
      </c>
      <c r="F361" s="33">
        <f>IFERROR(LoanData[[#This Row],[EMI]]/LoanData[[#This Row],[Monthly_Income]]*100," ")</f>
        <v>18.384486764673948</v>
      </c>
      <c r="G361" t="str" cm="1">
        <f t="array" ref="G361">_xlfn.IFS(F361&gt;40, "High DTI Risk",F361&gt;=25, "Moderate DTI",F361&lt;25, "Low DTI")</f>
        <v>Low DTI</v>
      </c>
      <c r="H361" t="str" cm="1">
        <f t="array" ref="H3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61" t="str">
        <f>_xlfn.XLOOKUP(H361,Reference_Tables!$B$2:$B$7,Reference_Tables!$C$2:$C$7,,0,1)</f>
        <v>LR</v>
      </c>
      <c r="J361" t="str">
        <f>INDEX(Reference_Tables!$D$11:$D$36,MATCH(LoanData[[#This Row],[Branch]],Reference_Tables!$A$11:$A$36,0))</f>
        <v>Hetal Patel</v>
      </c>
      <c r="L361" s="35"/>
    </row>
    <row r="362" spans="2:12" ht="15.6" x14ac:dyDescent="0.3">
      <c r="B362" s="15">
        <f>DATEDIF(Loan_Data!K:K,Loan_Data!L:L,"D")</f>
        <v>17</v>
      </c>
      <c r="C362" s="15">
        <f ca="1">DATEDIF(LoanData[[#This Row],[Approval_Date]],TODAY(),"M")</f>
        <v>58</v>
      </c>
      <c r="D362" s="31">
        <f>EDATE(LoanData[[#This Row],[Approval_Date]],LoanData[[#This Row],[Loan_Term_Months]])</f>
        <v>45929</v>
      </c>
      <c r="E362" t="str">
        <f t="shared" ca="1" si="5"/>
        <v>YES</v>
      </c>
      <c r="F362" s="33">
        <f>IFERROR(LoanData[[#This Row],[EMI]]/LoanData[[#This Row],[Monthly_Income]]*100," ")</f>
        <v>6.494099934895833</v>
      </c>
      <c r="G362" t="str" cm="1">
        <f t="array" ref="G362">_xlfn.IFS(F362&gt;40, "High DTI Risk",F362&gt;=25, "Moderate DTI",F362&lt;25, "Low DTI")</f>
        <v>Low DTI</v>
      </c>
      <c r="H362" t="str" cm="1">
        <f t="array" ref="H3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62" t="str">
        <f>_xlfn.XLOOKUP(H362,Reference_Tables!$B$2:$B$7,Reference_Tables!$C$2:$C$7,,0,1)</f>
        <v>LR</v>
      </c>
      <c r="J362" t="str">
        <f>INDEX(Reference_Tables!$D$11:$D$36,MATCH(LoanData[[#This Row],[Branch]],Reference_Tables!$A$11:$A$36,0))</f>
        <v>Priyanka Gupta</v>
      </c>
      <c r="L362" s="35"/>
    </row>
    <row r="363" spans="2:12" ht="15.6" x14ac:dyDescent="0.3">
      <c r="B363" s="15">
        <f>DATEDIF(Loan_Data!K:K,Loan_Data!L:L,"D")</f>
        <v>11</v>
      </c>
      <c r="C363" s="15">
        <f ca="1">DATEDIF(LoanData[[#This Row],[Approval_Date]],TODAY(),"M")</f>
        <v>59</v>
      </c>
      <c r="D363" s="31">
        <f>EDATE(LoanData[[#This Row],[Approval_Date]],LoanData[[#This Row],[Loan_Term_Months]])</f>
        <v>44794</v>
      </c>
      <c r="E363" t="str">
        <f t="shared" ca="1" si="5"/>
        <v>YES</v>
      </c>
      <c r="F363" s="33">
        <f>IFERROR(LoanData[[#This Row],[EMI]]/LoanData[[#This Row],[Monthly_Income]]*100," ")</f>
        <v>32.549182591406165</v>
      </c>
      <c r="G363" t="str" cm="1">
        <f t="array" ref="G363">_xlfn.IFS(F363&gt;40, "High DTI Risk",F363&gt;=25, "Moderate DTI",F363&lt;25, "Low DTI")</f>
        <v>Moderate DTI</v>
      </c>
      <c r="H363" t="str" cm="1">
        <f t="array" ref="H3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63" t="str">
        <f>_xlfn.XLOOKUP(H363,Reference_Tables!$B$2:$B$7,Reference_Tables!$C$2:$C$7,,0,1)</f>
        <v>MR</v>
      </c>
      <c r="J363" t="str">
        <f>INDEX(Reference_Tables!$D$11:$D$36,MATCH(LoanData[[#This Row],[Branch]],Reference_Tables!$A$11:$A$36,0))</f>
        <v>Santhosh Rao</v>
      </c>
      <c r="L363" s="35"/>
    </row>
    <row r="364" spans="2:12" ht="15.6" x14ac:dyDescent="0.3">
      <c r="B364" s="15">
        <f>DATEDIF(Loan_Data!K:K,Loan_Data!L:L,"D")</f>
        <v>5</v>
      </c>
      <c r="C364" s="15">
        <f ca="1">DATEDIF(LoanData[[#This Row],[Approval_Date]],TODAY(),"M")</f>
        <v>50</v>
      </c>
      <c r="D364" s="31">
        <f>EDATE(LoanData[[#This Row],[Approval_Date]],LoanData[[#This Row],[Loan_Term_Months]])</f>
        <v>45093</v>
      </c>
      <c r="E364" t="str">
        <f t="shared" ca="1" si="5"/>
        <v>YES</v>
      </c>
      <c r="F364" s="33">
        <f>IFERROR(LoanData[[#This Row],[EMI]]/LoanData[[#This Row],[Monthly_Income]]*100," ")</f>
        <v>132.95024634219169</v>
      </c>
      <c r="G364" t="str" cm="1">
        <f t="array" ref="G364">_xlfn.IFS(F364&gt;40, "High DTI Risk",F364&gt;=25, "Moderate DTI",F364&lt;25, "Low DTI")</f>
        <v>High DTI Risk</v>
      </c>
      <c r="H364" t="str" cm="1">
        <f t="array" ref="H3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64" t="str">
        <f>_xlfn.XLOOKUP(H364,Reference_Tables!$B$2:$B$7,Reference_Tables!$C$2:$C$7,,0,1)</f>
        <v>MR</v>
      </c>
      <c r="J364" t="str">
        <f>INDEX(Reference_Tables!$D$11:$D$36,MATCH(LoanData[[#This Row],[Branch]],Reference_Tables!$A$11:$A$36,0))</f>
        <v>Deepak Nair</v>
      </c>
      <c r="L364" s="35"/>
    </row>
    <row r="365" spans="2:12" ht="15.6" x14ac:dyDescent="0.3">
      <c r="B365" s="15">
        <f>DATEDIF(Loan_Data!K:K,Loan_Data!L:L,"D")</f>
        <v>7</v>
      </c>
      <c r="C365" s="15">
        <f ca="1">DATEDIF(LoanData[[#This Row],[Approval_Date]],TODAY(),"M")</f>
        <v>52</v>
      </c>
      <c r="D365" s="31">
        <f>EDATE(LoanData[[#This Row],[Approval_Date]],LoanData[[#This Row],[Loan_Term_Months]])</f>
        <v>45004</v>
      </c>
      <c r="E365" t="str">
        <f t="shared" ca="1" si="5"/>
        <v>YES</v>
      </c>
      <c r="F365" s="33">
        <f>IFERROR(LoanData[[#This Row],[EMI]]/LoanData[[#This Row],[Monthly_Income]]*100," ")</f>
        <v>21.248240055793659</v>
      </c>
      <c r="G365" t="str" cm="1">
        <f t="array" ref="G365">_xlfn.IFS(F365&gt;40, "High DTI Risk",F365&gt;=25, "Moderate DTI",F365&lt;25, "Low DTI")</f>
        <v>Low DTI</v>
      </c>
      <c r="H365" t="str" cm="1">
        <f t="array" ref="H3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65" t="str">
        <f>_xlfn.XLOOKUP(H365,Reference_Tables!$B$2:$B$7,Reference_Tables!$C$2:$C$7,,0,1)</f>
        <v>LR</v>
      </c>
      <c r="J365" t="str">
        <f>INDEX(Reference_Tables!$D$11:$D$36,MATCH(LoanData[[#This Row],[Branch]],Reference_Tables!$A$11:$A$36,0))</f>
        <v>Rituparna Bora</v>
      </c>
      <c r="L365" s="35"/>
    </row>
    <row r="366" spans="2:12" ht="15.6" x14ac:dyDescent="0.3">
      <c r="B366" s="15">
        <f>DATEDIF(Loan_Data!K:K,Loan_Data!L:L,"D")</f>
        <v>10</v>
      </c>
      <c r="C366" s="15">
        <f ca="1">DATEDIF(LoanData[[#This Row],[Approval_Date]],TODAY(),"M")</f>
        <v>46</v>
      </c>
      <c r="D366" s="31">
        <f>EDATE(LoanData[[#This Row],[Approval_Date]],LoanData[[#This Row],[Loan_Term_Months]])</f>
        <v>45938</v>
      </c>
      <c r="E366" t="str">
        <f t="shared" ca="1" si="5"/>
        <v>YES</v>
      </c>
      <c r="F366" s="33">
        <f>IFERROR(LoanData[[#This Row],[EMI]]/LoanData[[#This Row],[Monthly_Income]]*100," ")</f>
        <v>9.5778216253582187</v>
      </c>
      <c r="G366" t="str" cm="1">
        <f t="array" ref="G366">_xlfn.IFS(F366&gt;40, "High DTI Risk",F366&gt;=25, "Moderate DTI",F366&lt;25, "Low DTI")</f>
        <v>Low DTI</v>
      </c>
      <c r="H366" t="str" cm="1">
        <f t="array" ref="H3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66" t="str">
        <f>_xlfn.XLOOKUP(H366,Reference_Tables!$B$2:$B$7,Reference_Tables!$C$2:$C$7,,0,1)</f>
        <v>LR</v>
      </c>
      <c r="J366" t="str">
        <f>INDEX(Reference_Tables!$D$11:$D$36,MATCH(LoanData[[#This Row],[Branch]],Reference_Tables!$A$11:$A$36,0))</f>
        <v>Anil Mishra</v>
      </c>
      <c r="L366" s="35"/>
    </row>
    <row r="367" spans="2:12" ht="15.6" x14ac:dyDescent="0.3">
      <c r="B367" s="15">
        <f>DATEDIF(Loan_Data!K:K,Loan_Data!L:L,"D")</f>
        <v>23</v>
      </c>
      <c r="C367" s="15">
        <f ca="1">DATEDIF(LoanData[[#This Row],[Approval_Date]],TODAY(),"M")</f>
        <v>50</v>
      </c>
      <c r="D367" s="31">
        <f>EDATE(LoanData[[#This Row],[Approval_Date]],LoanData[[#This Row],[Loan_Term_Months]])</f>
        <v>52005</v>
      </c>
      <c r="E367" t="str">
        <f t="shared" ca="1" si="5"/>
        <v>NO</v>
      </c>
      <c r="F367" s="33">
        <f>IFERROR(LoanData[[#This Row],[EMI]]/LoanData[[#This Row],[Monthly_Income]]*100," ")</f>
        <v>1.2299221520448202</v>
      </c>
      <c r="G367" t="str" cm="1">
        <f t="array" ref="G367">_xlfn.IFS(F367&gt;40, "High DTI Risk",F367&gt;=25, "Moderate DTI",F367&lt;25, "Low DTI")</f>
        <v>Low DTI</v>
      </c>
      <c r="H367" t="str" cm="1">
        <f t="array" ref="H3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67" t="str">
        <f>_xlfn.XLOOKUP(H367,Reference_Tables!$B$2:$B$7,Reference_Tables!$C$2:$C$7,,0,1)</f>
        <v>LR</v>
      </c>
      <c r="J367" t="str">
        <f>INDEX(Reference_Tables!$D$11:$D$36,MATCH(LoanData[[#This Row],[Branch]],Reference_Tables!$A$11:$A$36,0))</f>
        <v>Ravi Verma</v>
      </c>
      <c r="L367" s="35"/>
    </row>
    <row r="368" spans="2:12" ht="15.6" x14ac:dyDescent="0.3">
      <c r="B368" s="15">
        <f>DATEDIF(Loan_Data!K:K,Loan_Data!L:L,"D")</f>
        <v>23</v>
      </c>
      <c r="C368" s="15">
        <f ca="1">DATEDIF(LoanData[[#This Row],[Approval_Date]],TODAY(),"M")</f>
        <v>36</v>
      </c>
      <c r="D368" s="31">
        <f>EDATE(LoanData[[#This Row],[Approval_Date]],LoanData[[#This Row],[Loan_Term_Months]])</f>
        <v>45871</v>
      </c>
      <c r="E368" t="str">
        <f t="shared" ca="1" si="5"/>
        <v>YES</v>
      </c>
      <c r="F368" s="33">
        <f>IFERROR(LoanData[[#This Row],[EMI]]/LoanData[[#This Row],[Monthly_Income]]*100," ")</f>
        <v>5.2157460953508492</v>
      </c>
      <c r="G368" t="str" cm="1">
        <f t="array" ref="G368">_xlfn.IFS(F368&gt;40, "High DTI Risk",F368&gt;=25, "Moderate DTI",F368&lt;25, "Low DTI")</f>
        <v>Low DTI</v>
      </c>
      <c r="H368" t="str" cm="1">
        <f t="array" ref="H3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68" t="str">
        <f>_xlfn.XLOOKUP(H368,Reference_Tables!$B$2:$B$7,Reference_Tables!$C$2:$C$7,,0,1)</f>
        <v>HR</v>
      </c>
      <c r="J368" t="str">
        <f>INDEX(Reference_Tables!$D$11:$D$36,MATCH(LoanData[[#This Row],[Branch]],Reference_Tables!$A$11:$A$36,0))</f>
        <v>Ravi Verma</v>
      </c>
      <c r="L368" s="35"/>
    </row>
    <row r="369" spans="2:12" ht="15.6" x14ac:dyDescent="0.3">
      <c r="B369" s="15">
        <f>DATEDIF(Loan_Data!K:K,Loan_Data!L:L,"D")</f>
        <v>12</v>
      </c>
      <c r="C369" s="15">
        <f ca="1">DATEDIF(LoanData[[#This Row],[Approval_Date]],TODAY(),"M")</f>
        <v>50</v>
      </c>
      <c r="D369" s="31">
        <f>EDATE(LoanData[[#This Row],[Approval_Date]],LoanData[[#This Row],[Loan_Term_Months]])</f>
        <v>46550</v>
      </c>
      <c r="E369" t="str">
        <f t="shared" ca="1" si="5"/>
        <v>NO</v>
      </c>
      <c r="F369" s="33">
        <f>IFERROR(LoanData[[#This Row],[EMI]]/LoanData[[#This Row],[Monthly_Income]]*100," ")</f>
        <v>14.594664988905127</v>
      </c>
      <c r="G369" t="str" cm="1">
        <f t="array" ref="G369">_xlfn.IFS(F369&gt;40, "High DTI Risk",F369&gt;=25, "Moderate DTI",F369&lt;25, "Low DTI")</f>
        <v>Low DTI</v>
      </c>
      <c r="H369" t="str" cm="1">
        <f t="array" ref="H3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69" t="str">
        <f>_xlfn.XLOOKUP(H369,Reference_Tables!$B$2:$B$7,Reference_Tables!$C$2:$C$7,,0,1)</f>
        <v>MR</v>
      </c>
      <c r="J369" t="str">
        <f>INDEX(Reference_Tables!$D$11:$D$36,MATCH(LoanData[[#This Row],[Branch]],Reference_Tables!$A$11:$A$36,0))</f>
        <v>Suresh Menon</v>
      </c>
      <c r="L369" s="35"/>
    </row>
    <row r="370" spans="2:12" ht="15.6" x14ac:dyDescent="0.3">
      <c r="B370" s="15">
        <f>DATEDIF(Loan_Data!K:K,Loan_Data!L:L,"D")</f>
        <v>5</v>
      </c>
      <c r="C370" s="15">
        <f ca="1">DATEDIF(LoanData[[#This Row],[Approval_Date]],TODAY(),"M")</f>
        <v>66</v>
      </c>
      <c r="D370" s="31">
        <f>EDATE(LoanData[[#This Row],[Approval_Date]],LoanData[[#This Row],[Loan_Term_Months]])</f>
        <v>46778</v>
      </c>
      <c r="E370" t="str">
        <f t="shared" ca="1" si="5"/>
        <v>NO</v>
      </c>
      <c r="F370" s="33">
        <f>IFERROR(LoanData[[#This Row],[EMI]]/LoanData[[#This Row],[Monthly_Income]]*100," ")</f>
        <v>20.940689030529903</v>
      </c>
      <c r="G370" t="str" cm="1">
        <f t="array" ref="G370">_xlfn.IFS(F370&gt;40, "High DTI Risk",F370&gt;=25, "Moderate DTI",F370&lt;25, "Low DTI")</f>
        <v>Low DTI</v>
      </c>
      <c r="H370" t="str" cm="1">
        <f t="array" ref="H3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70" t="str">
        <f>_xlfn.XLOOKUP(H370,Reference_Tables!$B$2:$B$7,Reference_Tables!$C$2:$C$7,,0,1)</f>
        <v>VHR</v>
      </c>
      <c r="J370" t="str">
        <f>INDEX(Reference_Tables!$D$11:$D$36,MATCH(LoanData[[#This Row],[Branch]],Reference_Tables!$A$11:$A$36,0))</f>
        <v>Kavita Joshi</v>
      </c>
      <c r="L370" s="35"/>
    </row>
    <row r="371" spans="2:12" ht="15.6" x14ac:dyDescent="0.3">
      <c r="B371" s="15">
        <f>DATEDIF(Loan_Data!K:K,Loan_Data!L:L,"D")</f>
        <v>17</v>
      </c>
      <c r="C371" s="15">
        <f ca="1">DATEDIF(LoanData[[#This Row],[Approval_Date]],TODAY(),"M")</f>
        <v>55</v>
      </c>
      <c r="D371" s="31">
        <f>EDATE(LoanData[[#This Row],[Approval_Date]],LoanData[[#This Row],[Loan_Term_Months]])</f>
        <v>45646</v>
      </c>
      <c r="E371" t="str">
        <f t="shared" ca="1" si="5"/>
        <v>YES</v>
      </c>
      <c r="F371" s="33">
        <f>IFERROR(LoanData[[#This Row],[EMI]]/LoanData[[#This Row],[Monthly_Income]]*100," ")</f>
        <v>6.0560105609138422</v>
      </c>
      <c r="G371" t="str" cm="1">
        <f t="array" ref="G371">_xlfn.IFS(F371&gt;40, "High DTI Risk",F371&gt;=25, "Moderate DTI",F371&lt;25, "Low DTI")</f>
        <v>Low DTI</v>
      </c>
      <c r="H371" t="str" cm="1">
        <f t="array" ref="H3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71" t="str">
        <f>_xlfn.XLOOKUP(H371,Reference_Tables!$B$2:$B$7,Reference_Tables!$C$2:$C$7,,0,1)</f>
        <v>VHR</v>
      </c>
      <c r="J371" t="str">
        <f>INDEX(Reference_Tables!$D$11:$D$36,MATCH(LoanData[[#This Row],[Branch]],Reference_Tables!$A$11:$A$36,0))</f>
        <v>Deepak Nair</v>
      </c>
      <c r="L371" s="35"/>
    </row>
    <row r="372" spans="2:12" ht="15.6" x14ac:dyDescent="0.3">
      <c r="B372" s="15">
        <f>DATEDIF(Loan_Data!K:K,Loan_Data!L:L,"D")</f>
        <v>27</v>
      </c>
      <c r="C372" s="15">
        <f ca="1">DATEDIF(LoanData[[#This Row],[Approval_Date]],TODAY(),"M")</f>
        <v>33</v>
      </c>
      <c r="D372" s="31">
        <f>EDATE(LoanData[[#This Row],[Approval_Date]],LoanData[[#This Row],[Loan_Term_Months]])</f>
        <v>45597</v>
      </c>
      <c r="E372" t="str">
        <f t="shared" ca="1" si="5"/>
        <v>YES</v>
      </c>
      <c r="F372" s="33">
        <f>IFERROR(LoanData[[#This Row],[EMI]]/LoanData[[#This Row],[Monthly_Income]]*100," ")</f>
        <v>31.084700824077387</v>
      </c>
      <c r="G372" t="str" cm="1">
        <f t="array" ref="G372">_xlfn.IFS(F372&gt;40, "High DTI Risk",F372&gt;=25, "Moderate DTI",F372&lt;25, "Low DTI")</f>
        <v>Moderate DTI</v>
      </c>
      <c r="H372" t="str" cm="1">
        <f t="array" ref="H3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72" t="str">
        <f>_xlfn.XLOOKUP(H372,Reference_Tables!$B$2:$B$7,Reference_Tables!$C$2:$C$7,,0,1)</f>
        <v>MR</v>
      </c>
      <c r="J372" t="str">
        <f>INDEX(Reference_Tables!$D$11:$D$36,MATCH(LoanData[[#This Row],[Branch]],Reference_Tables!$A$11:$A$36,0))</f>
        <v>Amit Kumar</v>
      </c>
      <c r="L372" s="35"/>
    </row>
    <row r="373" spans="2:12" ht="15.6" x14ac:dyDescent="0.3">
      <c r="B373" s="15">
        <f>DATEDIF(Loan_Data!K:K,Loan_Data!L:L,"D")</f>
        <v>18</v>
      </c>
      <c r="C373" s="15">
        <f ca="1">DATEDIF(LoanData[[#This Row],[Approval_Date]],TODAY(),"M")</f>
        <v>45</v>
      </c>
      <c r="D373" s="31">
        <f>EDATE(LoanData[[#This Row],[Approval_Date]],LoanData[[#This Row],[Loan_Term_Months]])</f>
        <v>45590</v>
      </c>
      <c r="E373" t="str">
        <f t="shared" ca="1" si="5"/>
        <v>YES</v>
      </c>
      <c r="F373" s="33">
        <f>IFERROR(LoanData[[#This Row],[EMI]]/LoanData[[#This Row],[Monthly_Income]]*100," ")</f>
        <v>8.8177351847527348</v>
      </c>
      <c r="G373" t="str" cm="1">
        <f t="array" ref="G373">_xlfn.IFS(F373&gt;40, "High DTI Risk",F373&gt;=25, "Moderate DTI",F373&lt;25, "Low DTI")</f>
        <v>Low DTI</v>
      </c>
      <c r="H373" t="str" cm="1">
        <f t="array" ref="H3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73" t="str">
        <f>_xlfn.XLOOKUP(H373,Reference_Tables!$B$2:$B$7,Reference_Tables!$C$2:$C$7,,0,1)</f>
        <v>MR</v>
      </c>
      <c r="J373" t="str">
        <f>INDEX(Reference_Tables!$D$11:$D$36,MATCH(LoanData[[#This Row],[Branch]],Reference_Tables!$A$11:$A$36,0))</f>
        <v>Sachin Deshpande</v>
      </c>
      <c r="L373" s="35"/>
    </row>
    <row r="374" spans="2:12" ht="15.6" x14ac:dyDescent="0.3">
      <c r="B374" s="15">
        <f>DATEDIF(Loan_Data!K:K,Loan_Data!L:L,"D")</f>
        <v>19</v>
      </c>
      <c r="C374" s="15">
        <f ca="1">DATEDIF(LoanData[[#This Row],[Approval_Date]],TODAY(),"M")</f>
        <v>61</v>
      </c>
      <c r="D374" s="31">
        <f>EDATE(LoanData[[#This Row],[Approval_Date]],LoanData[[#This Row],[Loan_Term_Months]])</f>
        <v>51677</v>
      </c>
      <c r="E374" t="str">
        <f t="shared" ca="1" si="5"/>
        <v>NO</v>
      </c>
      <c r="F374" s="33">
        <f>IFERROR(LoanData[[#This Row],[EMI]]/LoanData[[#This Row],[Monthly_Income]]*100," ")</f>
        <v>1.5528874823609988</v>
      </c>
      <c r="G374" t="str" cm="1">
        <f t="array" ref="G374">_xlfn.IFS(F374&gt;40, "High DTI Risk",F374&gt;=25, "Moderate DTI",F374&lt;25, "Low DTI")</f>
        <v>Low DTI</v>
      </c>
      <c r="H374" t="str" cm="1">
        <f t="array" ref="H3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74" t="str">
        <f>_xlfn.XLOOKUP(H374,Reference_Tables!$B$2:$B$7,Reference_Tables!$C$2:$C$7,,0,1)</f>
        <v>HR</v>
      </c>
      <c r="J374" t="str">
        <f>INDEX(Reference_Tables!$D$11:$D$36,MATCH(LoanData[[#This Row],[Branch]],Reference_Tables!$A$11:$A$36,0))</f>
        <v>Arvind Pillai</v>
      </c>
      <c r="L374" s="35"/>
    </row>
    <row r="375" spans="2:12" ht="15.6" x14ac:dyDescent="0.3">
      <c r="B375" s="15">
        <f>DATEDIF(Loan_Data!K:K,Loan_Data!L:L,"D")</f>
        <v>24</v>
      </c>
      <c r="C375" s="15">
        <f ca="1">DATEDIF(LoanData[[#This Row],[Approval_Date]],TODAY(),"M")</f>
        <v>53</v>
      </c>
      <c r="D375" s="31">
        <f>EDATE(LoanData[[#This Row],[Approval_Date]],LoanData[[#This Row],[Loan_Term_Months]])</f>
        <v>48269</v>
      </c>
      <c r="E375" t="str">
        <f t="shared" ca="1" si="5"/>
        <v>NO</v>
      </c>
      <c r="F375" s="33">
        <f>IFERROR(LoanData[[#This Row],[EMI]]/LoanData[[#This Row],[Monthly_Income]]*100," ")</f>
        <v>5.5275046470823277</v>
      </c>
      <c r="G375" t="str" cm="1">
        <f t="array" ref="G375">_xlfn.IFS(F375&gt;40, "High DTI Risk",F375&gt;=25, "Moderate DTI",F375&lt;25, "Low DTI")</f>
        <v>Low DTI</v>
      </c>
      <c r="H375" t="str" cm="1">
        <f t="array" ref="H3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75" t="str">
        <f>_xlfn.XLOOKUP(H375,Reference_Tables!$B$2:$B$7,Reference_Tables!$C$2:$C$7,,0,1)</f>
        <v>LR</v>
      </c>
      <c r="J375" t="str">
        <f>INDEX(Reference_Tables!$D$11:$D$36,MATCH(LoanData[[#This Row],[Branch]],Reference_Tables!$A$11:$A$36,0))</f>
        <v>Priya Yadav</v>
      </c>
      <c r="L375" s="35"/>
    </row>
    <row r="376" spans="2:12" ht="15.6" x14ac:dyDescent="0.3">
      <c r="B376" s="15">
        <f>DATEDIF(Loan_Data!K:K,Loan_Data!L:L,"D")</f>
        <v>14</v>
      </c>
      <c r="C376" s="15">
        <f ca="1">DATEDIF(LoanData[[#This Row],[Approval_Date]],TODAY(),"M")</f>
        <v>63</v>
      </c>
      <c r="D376" s="31">
        <f>EDATE(LoanData[[#This Row],[Approval_Date]],LoanData[[#This Row],[Loan_Term_Months]])</f>
        <v>46159</v>
      </c>
      <c r="E376" t="str">
        <f t="shared" ca="1" si="5"/>
        <v>YES</v>
      </c>
      <c r="F376" s="33">
        <f>IFERROR(LoanData[[#This Row],[EMI]]/LoanData[[#This Row],[Monthly_Income]]*100," ")</f>
        <v>4.6539495357408578</v>
      </c>
      <c r="G376" t="str" cm="1">
        <f t="array" ref="G376">_xlfn.IFS(F376&gt;40, "High DTI Risk",F376&gt;=25, "Moderate DTI",F376&lt;25, "Low DTI")</f>
        <v>Low DTI</v>
      </c>
      <c r="H376" t="str" cm="1">
        <f t="array" ref="H3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76" t="str">
        <f>_xlfn.XLOOKUP(H376,Reference_Tables!$B$2:$B$7,Reference_Tables!$C$2:$C$7,,0,1)</f>
        <v>LR</v>
      </c>
      <c r="J376" t="str">
        <f>INDEX(Reference_Tables!$D$11:$D$36,MATCH(LoanData[[#This Row],[Branch]],Reference_Tables!$A$11:$A$36,0))</f>
        <v>Hetal Patel</v>
      </c>
      <c r="L376" s="35"/>
    </row>
    <row r="377" spans="2:12" ht="15.6" x14ac:dyDescent="0.3">
      <c r="B377" s="15">
        <f>DATEDIF(Loan_Data!K:K,Loan_Data!L:L,"D")</f>
        <v>11</v>
      </c>
      <c r="C377" s="15">
        <f ca="1">DATEDIF(LoanData[[#This Row],[Approval_Date]],TODAY(),"M")</f>
        <v>38</v>
      </c>
      <c r="D377" s="31">
        <f>EDATE(LoanData[[#This Row],[Approval_Date]],LoanData[[#This Row],[Loan_Term_Months]])</f>
        <v>46164</v>
      </c>
      <c r="E377" t="str">
        <f t="shared" ca="1" si="5"/>
        <v>YES</v>
      </c>
      <c r="F377" s="33">
        <f>IFERROR(LoanData[[#This Row],[EMI]]/LoanData[[#This Row],[Monthly_Income]]*100," ")</f>
        <v>9.2314593757835421</v>
      </c>
      <c r="G377" t="str" cm="1">
        <f t="array" ref="G377">_xlfn.IFS(F377&gt;40, "High DTI Risk",F377&gt;=25, "Moderate DTI",F377&lt;25, "Low DTI")</f>
        <v>Low DTI</v>
      </c>
      <c r="H377" t="str" cm="1">
        <f t="array" ref="H3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77" t="str">
        <f>_xlfn.XLOOKUP(H377,Reference_Tables!$B$2:$B$7,Reference_Tables!$C$2:$C$7,,0,1)</f>
        <v>LR</v>
      </c>
      <c r="J377" t="str">
        <f>INDEX(Reference_Tables!$D$11:$D$36,MATCH(LoanData[[#This Row],[Branch]],Reference_Tables!$A$11:$A$36,0))</f>
        <v>Tapan Panda</v>
      </c>
      <c r="L377" s="35"/>
    </row>
    <row r="378" spans="2:12" ht="15.6" x14ac:dyDescent="0.3">
      <c r="B378" s="15">
        <f>DATEDIF(Loan_Data!K:K,Loan_Data!L:L,"D")</f>
        <v>20</v>
      </c>
      <c r="C378" s="15">
        <f ca="1">DATEDIF(LoanData[[#This Row],[Approval_Date]],TODAY(),"M")</f>
        <v>44</v>
      </c>
      <c r="D378" s="31">
        <f>EDATE(LoanData[[#This Row],[Approval_Date]],LoanData[[#This Row],[Loan_Term_Months]])</f>
        <v>47467</v>
      </c>
      <c r="E378" t="str">
        <f t="shared" ca="1" si="5"/>
        <v>NO</v>
      </c>
      <c r="F378" s="33">
        <f>IFERROR(LoanData[[#This Row],[EMI]]/LoanData[[#This Row],[Monthly_Income]]*100," ")</f>
        <v>8.1198506079582149</v>
      </c>
      <c r="G378" t="str" cm="1">
        <f t="array" ref="G378">_xlfn.IFS(F378&gt;40, "High DTI Risk",F378&gt;=25, "Moderate DTI",F378&lt;25, "Low DTI")</f>
        <v>Low DTI</v>
      </c>
      <c r="H378" t="str" cm="1">
        <f t="array" ref="H3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78" t="str">
        <f>_xlfn.XLOOKUP(H378,Reference_Tables!$B$2:$B$7,Reference_Tables!$C$2:$C$7,,0,1)</f>
        <v>LR</v>
      </c>
      <c r="J378" t="str">
        <f>INDEX(Reference_Tables!$D$11:$D$36,MATCH(LoanData[[#This Row],[Branch]],Reference_Tables!$A$11:$A$36,0))</f>
        <v>Meena Iyer</v>
      </c>
      <c r="L378" s="35"/>
    </row>
    <row r="379" spans="2:12" ht="15.6" x14ac:dyDescent="0.3">
      <c r="B379" s="15">
        <f>DATEDIF(Loan_Data!K:K,Loan_Data!L:L,"D")</f>
        <v>5</v>
      </c>
      <c r="C379" s="15">
        <f ca="1">DATEDIF(LoanData[[#This Row],[Approval_Date]],TODAY(),"M")</f>
        <v>42</v>
      </c>
      <c r="D379" s="31">
        <f>EDATE(LoanData[[#This Row],[Approval_Date]],LoanData[[#This Row],[Loan_Term_Months]])</f>
        <v>45702</v>
      </c>
      <c r="E379" t="str">
        <f t="shared" ca="1" si="5"/>
        <v>YES</v>
      </c>
      <c r="F379" s="33">
        <f>IFERROR(LoanData[[#This Row],[EMI]]/LoanData[[#This Row],[Monthly_Income]]*100," ")</f>
        <v>14.726476771613168</v>
      </c>
      <c r="G379" t="str" cm="1">
        <f t="array" ref="G379">_xlfn.IFS(F379&gt;40, "High DTI Risk",F379&gt;=25, "Moderate DTI",F379&lt;25, "Low DTI")</f>
        <v>Low DTI</v>
      </c>
      <c r="H379" t="str" cm="1">
        <f t="array" ref="H3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79" t="str">
        <f>_xlfn.XLOOKUP(H379,Reference_Tables!$B$2:$B$7,Reference_Tables!$C$2:$C$7,,0,1)</f>
        <v>LR</v>
      </c>
      <c r="J379" t="str">
        <f>INDEX(Reference_Tables!$D$11:$D$36,MATCH(LoanData[[#This Row],[Branch]],Reference_Tables!$A$11:$A$36,0))</f>
        <v>Anil Mishra</v>
      </c>
      <c r="L379" s="35"/>
    </row>
    <row r="380" spans="2:12" ht="15.6" x14ac:dyDescent="0.3">
      <c r="B380" s="15">
        <f>DATEDIF(Loan_Data!K:K,Loan_Data!L:L,"D")</f>
        <v>9</v>
      </c>
      <c r="C380" s="15">
        <f ca="1">DATEDIF(LoanData[[#This Row],[Approval_Date]],TODAY(),"M")</f>
        <v>54</v>
      </c>
      <c r="D380" s="31">
        <f>EDATE(LoanData[[#This Row],[Approval_Date]],LoanData[[#This Row],[Loan_Term_Months]])</f>
        <v>51892</v>
      </c>
      <c r="E380" t="str">
        <f t="shared" ca="1" si="5"/>
        <v>NO</v>
      </c>
      <c r="F380" s="33">
        <f>IFERROR(LoanData[[#This Row],[EMI]]/LoanData[[#This Row],[Monthly_Income]]*100," ")</f>
        <v>7.2619875924284703</v>
      </c>
      <c r="G380" t="str" cm="1">
        <f t="array" ref="G380">_xlfn.IFS(F380&gt;40, "High DTI Risk",F380&gt;=25, "Moderate DTI",F380&lt;25, "Low DTI")</f>
        <v>Low DTI</v>
      </c>
      <c r="H380" t="str" cm="1">
        <f t="array" ref="H3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80" t="str">
        <f>_xlfn.XLOOKUP(H380,Reference_Tables!$B$2:$B$7,Reference_Tables!$C$2:$C$7,,0,1)</f>
        <v>HR</v>
      </c>
      <c r="J380" t="str">
        <f>INDEX(Reference_Tables!$D$11:$D$36,MATCH(LoanData[[#This Row],[Branch]],Reference_Tables!$A$11:$A$36,0))</f>
        <v>Jigar Mehta</v>
      </c>
      <c r="L380" s="35"/>
    </row>
    <row r="381" spans="2:12" ht="15.6" x14ac:dyDescent="0.3">
      <c r="B381" s="15">
        <f>DATEDIF(Loan_Data!K:K,Loan_Data!L:L,"D")</f>
        <v>18</v>
      </c>
      <c r="C381" s="15">
        <f ca="1">DATEDIF(LoanData[[#This Row],[Approval_Date]],TODAY(),"M")</f>
        <v>59</v>
      </c>
      <c r="D381" s="31">
        <f>EDATE(LoanData[[#This Row],[Approval_Date]],LoanData[[#This Row],[Loan_Term_Months]])</f>
        <v>46991</v>
      </c>
      <c r="E381" t="str">
        <f t="shared" ca="1" si="5"/>
        <v>NO</v>
      </c>
      <c r="F381" s="33">
        <f>IFERROR(LoanData[[#This Row],[EMI]]/LoanData[[#This Row],[Monthly_Income]]*100," ")</f>
        <v>4.8630168630168633</v>
      </c>
      <c r="G381" t="str" cm="1">
        <f t="array" ref="G381">_xlfn.IFS(F381&gt;40, "High DTI Risk",F381&gt;=25, "Moderate DTI",F381&lt;25, "Low DTI")</f>
        <v>Low DTI</v>
      </c>
      <c r="H381" t="str" cm="1">
        <f t="array" ref="H3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81" t="str">
        <f>_xlfn.XLOOKUP(H381,Reference_Tables!$B$2:$B$7,Reference_Tables!$C$2:$C$7,,0,1)</f>
        <v>VHR</v>
      </c>
      <c r="J381" t="str">
        <f>INDEX(Reference_Tables!$D$11:$D$36,MATCH(LoanData[[#This Row],[Branch]],Reference_Tables!$A$11:$A$36,0))</f>
        <v>Meena Iyer</v>
      </c>
      <c r="L381" s="35"/>
    </row>
    <row r="382" spans="2:12" ht="15.6" x14ac:dyDescent="0.3">
      <c r="B382" s="15">
        <f>DATEDIF(Loan_Data!K:K,Loan_Data!L:L,"D")</f>
        <v>23</v>
      </c>
      <c r="C382" s="15">
        <f ca="1">DATEDIF(LoanData[[#This Row],[Approval_Date]],TODAY(),"M")</f>
        <v>63</v>
      </c>
      <c r="D382" s="31">
        <f>EDATE(LoanData[[#This Row],[Approval_Date]],LoanData[[#This Row],[Loan_Term_Months]])</f>
        <v>51631</v>
      </c>
      <c r="E382" t="str">
        <f t="shared" ca="1" si="5"/>
        <v>NO</v>
      </c>
      <c r="F382" s="33">
        <f>IFERROR(LoanData[[#This Row],[EMI]]/LoanData[[#This Row],[Monthly_Income]]*100," ")</f>
        <v>0.87358532473170381</v>
      </c>
      <c r="G382" t="str" cm="1">
        <f t="array" ref="G382">_xlfn.IFS(F382&gt;40, "High DTI Risk",F382&gt;=25, "Moderate DTI",F382&lt;25, "Low DTI")</f>
        <v>Low DTI</v>
      </c>
      <c r="H382" t="str" cm="1">
        <f t="array" ref="H3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82" t="str">
        <f>_xlfn.XLOOKUP(H382,Reference_Tables!$B$2:$B$7,Reference_Tables!$C$2:$C$7,,0,1)</f>
        <v>LR</v>
      </c>
      <c r="J382" t="str">
        <f>INDEX(Reference_Tables!$D$11:$D$36,MATCH(LoanData[[#This Row],[Branch]],Reference_Tables!$A$11:$A$36,0))</f>
        <v>Amit Kumar</v>
      </c>
      <c r="L382" s="35"/>
    </row>
    <row r="383" spans="2:12" ht="15.6" x14ac:dyDescent="0.3">
      <c r="B383" s="15">
        <f>DATEDIF(Loan_Data!K:K,Loan_Data!L:L,"D")</f>
        <v>12</v>
      </c>
      <c r="C383" s="15">
        <f ca="1">DATEDIF(LoanData[[#This Row],[Approval_Date]],TODAY(),"M")</f>
        <v>37</v>
      </c>
      <c r="D383" s="31">
        <f>EDATE(LoanData[[#This Row],[Approval_Date]],LoanData[[#This Row],[Loan_Term_Months]])</f>
        <v>45472</v>
      </c>
      <c r="E383" t="str">
        <f t="shared" ca="1" si="5"/>
        <v>YES</v>
      </c>
      <c r="F383" s="33">
        <f>IFERROR(LoanData[[#This Row],[EMI]]/LoanData[[#This Row],[Monthly_Income]]*100," ")</f>
        <v>10.620840369060835</v>
      </c>
      <c r="G383" t="str" cm="1">
        <f t="array" ref="G383">_xlfn.IFS(F383&gt;40, "High DTI Risk",F383&gt;=25, "Moderate DTI",F383&lt;25, "Low DTI")</f>
        <v>Low DTI</v>
      </c>
      <c r="H383" t="str" cm="1">
        <f t="array" ref="H3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83" t="str">
        <f>_xlfn.XLOOKUP(H383,Reference_Tables!$B$2:$B$7,Reference_Tables!$C$2:$C$7,,0,1)</f>
        <v>LR</v>
      </c>
      <c r="J383" t="str">
        <f>INDEX(Reference_Tables!$D$11:$D$36,MATCH(LoanData[[#This Row],[Branch]],Reference_Tables!$A$11:$A$36,0))</f>
        <v>Deepak Nair</v>
      </c>
      <c r="L383" s="35"/>
    </row>
    <row r="384" spans="2:12" ht="15.6" x14ac:dyDescent="0.3">
      <c r="B384" s="15">
        <f>DATEDIF(Loan_Data!K:K,Loan_Data!L:L,"D")</f>
        <v>14</v>
      </c>
      <c r="C384" s="15">
        <f ca="1">DATEDIF(LoanData[[#This Row],[Approval_Date]],TODAY(),"M")</f>
        <v>60</v>
      </c>
      <c r="D384" s="31">
        <f>EDATE(LoanData[[#This Row],[Approval_Date]],LoanData[[#This Row],[Loan_Term_Months]])</f>
        <v>46241</v>
      </c>
      <c r="E384" t="str">
        <f t="shared" ca="1" si="5"/>
        <v>YES</v>
      </c>
      <c r="F384" s="33">
        <f>IFERROR(LoanData[[#This Row],[EMI]]/LoanData[[#This Row],[Monthly_Income]]*100," ")</f>
        <v>8.6805476795873204</v>
      </c>
      <c r="G384" t="str" cm="1">
        <f t="array" ref="G384">_xlfn.IFS(F384&gt;40, "High DTI Risk",F384&gt;=25, "Moderate DTI",F384&lt;25, "Low DTI")</f>
        <v>Low DTI</v>
      </c>
      <c r="H384" t="str" cm="1">
        <f t="array" ref="H3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84" t="str">
        <f>_xlfn.XLOOKUP(H384,Reference_Tables!$B$2:$B$7,Reference_Tables!$C$2:$C$7,,0,1)</f>
        <v>VHR</v>
      </c>
      <c r="J384" t="str">
        <f>INDEX(Reference_Tables!$D$11:$D$36,MATCH(LoanData[[#This Row],[Branch]],Reference_Tables!$A$11:$A$36,0))</f>
        <v>Rahul Kapoor</v>
      </c>
      <c r="L384" s="35"/>
    </row>
    <row r="385" spans="2:12" ht="15.6" x14ac:dyDescent="0.3">
      <c r="B385" s="15">
        <f>DATEDIF(Loan_Data!K:K,Loan_Data!L:L,"D")</f>
        <v>8</v>
      </c>
      <c r="C385" s="15">
        <f ca="1">DATEDIF(LoanData[[#This Row],[Approval_Date]],TODAY(),"M")</f>
        <v>64</v>
      </c>
      <c r="D385" s="31">
        <f>EDATE(LoanData[[#This Row],[Approval_Date]],LoanData[[#This Row],[Loan_Term_Months]])</f>
        <v>46855</v>
      </c>
      <c r="E385" t="str">
        <f t="shared" ca="1" si="5"/>
        <v>NO</v>
      </c>
      <c r="F385" s="33" t="str">
        <f>IFERROR(LoanData[[#This Row],[EMI]]/LoanData[[#This Row],[Monthly_Income]]*100," ")</f>
        <v xml:space="preserve"> </v>
      </c>
      <c r="G385" t="str" cm="1">
        <f t="array" ref="G385">_xlfn.IFS(F385&gt;40, "High DTI Risk",F385&gt;=25, "Moderate DTI",F385&lt;25, "Low DTI")</f>
        <v>High DTI Risk</v>
      </c>
      <c r="H385" t="str" cm="1">
        <f t="array" ref="H3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85" t="str">
        <f>_xlfn.XLOOKUP(H385,Reference_Tables!$B$2:$B$7,Reference_Tables!$C$2:$C$7,,0,1)</f>
        <v>LR</v>
      </c>
      <c r="J385" t="str">
        <f>INDEX(Reference_Tables!$D$11:$D$36,MATCH(LoanData[[#This Row],[Branch]],Reference_Tables!$A$11:$A$36,0))</f>
        <v>Anil Mishra</v>
      </c>
      <c r="L385" s="35"/>
    </row>
    <row r="386" spans="2:12" ht="15.6" x14ac:dyDescent="0.3">
      <c r="B386" s="15">
        <f>DATEDIF(Loan_Data!K:K,Loan_Data!L:L,"D")</f>
        <v>27</v>
      </c>
      <c r="C386" s="15">
        <f ca="1">DATEDIF(LoanData[[#This Row],[Approval_Date]],TODAY(),"M")</f>
        <v>33</v>
      </c>
      <c r="D386" s="31">
        <f>EDATE(LoanData[[#This Row],[Approval_Date]],LoanData[[#This Row],[Loan_Term_Months]])</f>
        <v>46683</v>
      </c>
      <c r="E386" t="str">
        <f t="shared" ref="E386:E449" ca="1" si="6">IF(D386&lt;TODAY(),"YES","NO")</f>
        <v>NO</v>
      </c>
      <c r="F386" s="33">
        <f>IFERROR(LoanData[[#This Row],[EMI]]/LoanData[[#This Row],[Monthly_Income]]*100," ")</f>
        <v>11.66317895822589</v>
      </c>
      <c r="G386" t="str" cm="1">
        <f t="array" ref="G386">_xlfn.IFS(F386&gt;40, "High DTI Risk",F386&gt;=25, "Moderate DTI",F386&lt;25, "Low DTI")</f>
        <v>Low DTI</v>
      </c>
      <c r="H386" t="str" cm="1">
        <f t="array" ref="H3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86" t="str">
        <f>_xlfn.XLOOKUP(H386,Reference_Tables!$B$2:$B$7,Reference_Tables!$C$2:$C$7,,0,1)</f>
        <v>HR</v>
      </c>
      <c r="J386" t="str">
        <f>INDEX(Reference_Tables!$D$11:$D$36,MATCH(LoanData[[#This Row],[Branch]],Reference_Tables!$A$11:$A$36,0))</f>
        <v>Tapan Panda</v>
      </c>
      <c r="L386" s="35"/>
    </row>
    <row r="387" spans="2:12" ht="15.6" x14ac:dyDescent="0.3">
      <c r="B387" s="15">
        <f>DATEDIF(Loan_Data!K:K,Loan_Data!L:L,"D")</f>
        <v>30</v>
      </c>
      <c r="C387" s="15">
        <f ca="1">DATEDIF(LoanData[[#This Row],[Approval_Date]],TODAY(),"M")</f>
        <v>48</v>
      </c>
      <c r="D387" s="31">
        <f>EDATE(LoanData[[#This Row],[Approval_Date]],LoanData[[#This Row],[Loan_Term_Months]])</f>
        <v>45879</v>
      </c>
      <c r="E387" t="str">
        <f t="shared" ca="1" si="6"/>
        <v>YES</v>
      </c>
      <c r="F387" s="33">
        <f>IFERROR(LoanData[[#This Row],[EMI]]/LoanData[[#This Row],[Monthly_Income]]*100," ")</f>
        <v>13.368638343538915</v>
      </c>
      <c r="G387" t="str" cm="1">
        <f t="array" ref="G387">_xlfn.IFS(F387&gt;40, "High DTI Risk",F387&gt;=25, "Moderate DTI",F387&lt;25, "Low DTI")</f>
        <v>Low DTI</v>
      </c>
      <c r="H387" t="str" cm="1">
        <f t="array" ref="H3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87" t="str">
        <f>_xlfn.XLOOKUP(H387,Reference_Tables!$B$2:$B$7,Reference_Tables!$C$2:$C$7,,0,1)</f>
        <v>HR</v>
      </c>
      <c r="J387" t="str">
        <f>INDEX(Reference_Tables!$D$11:$D$36,MATCH(LoanData[[#This Row],[Branch]],Reference_Tables!$A$11:$A$36,0))</f>
        <v>Priya Yadav</v>
      </c>
      <c r="L387" s="35"/>
    </row>
    <row r="388" spans="2:12" ht="15.6" x14ac:dyDescent="0.3">
      <c r="B388" s="15">
        <f>DATEDIF(Loan_Data!K:K,Loan_Data!L:L,"D")</f>
        <v>16</v>
      </c>
      <c r="C388" s="15">
        <f ca="1">DATEDIF(LoanData[[#This Row],[Approval_Date]],TODAY(),"M")</f>
        <v>64</v>
      </c>
      <c r="D388" s="31">
        <f>EDATE(LoanData[[#This Row],[Approval_Date]],LoanData[[#This Row],[Loan_Term_Months]])</f>
        <v>45765</v>
      </c>
      <c r="E388" t="str">
        <f t="shared" ca="1" si="6"/>
        <v>YES</v>
      </c>
      <c r="F388" s="33">
        <f>IFERROR(LoanData[[#This Row],[EMI]]/LoanData[[#This Row],[Monthly_Income]]*100," ")</f>
        <v>2.0506810824756814</v>
      </c>
      <c r="G388" t="str" cm="1">
        <f t="array" ref="G388">_xlfn.IFS(F388&gt;40, "High DTI Risk",F388&gt;=25, "Moderate DTI",F388&lt;25, "Low DTI")</f>
        <v>Low DTI</v>
      </c>
      <c r="H388" t="str" cm="1">
        <f t="array" ref="H3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88" t="str">
        <f>_xlfn.XLOOKUP(H388,Reference_Tables!$B$2:$B$7,Reference_Tables!$C$2:$C$7,,0,1)</f>
        <v>VHR</v>
      </c>
      <c r="J388" t="str">
        <f>INDEX(Reference_Tables!$D$11:$D$36,MATCH(LoanData[[#This Row],[Branch]],Reference_Tables!$A$11:$A$36,0))</f>
        <v>Deepak Nair</v>
      </c>
      <c r="L388" s="35"/>
    </row>
    <row r="389" spans="2:12" ht="15.6" x14ac:dyDescent="0.3">
      <c r="B389" s="15">
        <f>DATEDIF(Loan_Data!K:K,Loan_Data!L:L,"D")</f>
        <v>20</v>
      </c>
      <c r="C389" s="15">
        <f ca="1">DATEDIF(LoanData[[#This Row],[Approval_Date]],TODAY(),"M")</f>
        <v>61</v>
      </c>
      <c r="D389" s="31">
        <f>EDATE(LoanData[[#This Row],[Approval_Date]],LoanData[[#This Row],[Loan_Term_Months]])</f>
        <v>45110</v>
      </c>
      <c r="E389" t="str">
        <f t="shared" ca="1" si="6"/>
        <v>YES</v>
      </c>
      <c r="F389" s="33">
        <f>IFERROR(LoanData[[#This Row],[EMI]]/LoanData[[#This Row],[Monthly_Income]]*100," ")</f>
        <v>61.032945853159063</v>
      </c>
      <c r="G389" t="str" cm="1">
        <f t="array" ref="G389">_xlfn.IFS(F389&gt;40, "High DTI Risk",F389&gt;=25, "Moderate DTI",F389&lt;25, "Low DTI")</f>
        <v>High DTI Risk</v>
      </c>
      <c r="H389" t="str" cm="1">
        <f t="array" ref="H3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89" t="str">
        <f>_xlfn.XLOOKUP(H389,Reference_Tables!$B$2:$B$7,Reference_Tables!$C$2:$C$7,,0,1)</f>
        <v>HR</v>
      </c>
      <c r="J389" t="str">
        <f>INDEX(Reference_Tables!$D$11:$D$36,MATCH(LoanData[[#This Row],[Branch]],Reference_Tables!$A$11:$A$36,0))</f>
        <v>Tapan Panda</v>
      </c>
      <c r="L389" s="35"/>
    </row>
    <row r="390" spans="2:12" ht="15.6" x14ac:dyDescent="0.3">
      <c r="B390" s="15">
        <f>DATEDIF(Loan_Data!K:K,Loan_Data!L:L,"D")</f>
        <v>25</v>
      </c>
      <c r="C390" s="15">
        <f ca="1">DATEDIF(LoanData[[#This Row],[Approval_Date]],TODAY(),"M")</f>
        <v>50</v>
      </c>
      <c r="D390" s="31">
        <f>EDATE(LoanData[[#This Row],[Approval_Date]],LoanData[[#This Row],[Loan_Term_Months]])</f>
        <v>46540</v>
      </c>
      <c r="E390" t="str">
        <f t="shared" ca="1" si="6"/>
        <v>NO</v>
      </c>
      <c r="F390" s="33">
        <f>IFERROR(LoanData[[#This Row],[EMI]]/LoanData[[#This Row],[Monthly_Income]]*100," ")</f>
        <v>7.349827074093664</v>
      </c>
      <c r="G390" t="str" cm="1">
        <f t="array" ref="G390">_xlfn.IFS(F390&gt;40, "High DTI Risk",F390&gt;=25, "Moderate DTI",F390&lt;25, "Low DTI")</f>
        <v>Low DTI</v>
      </c>
      <c r="H390" t="str" cm="1">
        <f t="array" ref="H3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90" t="str">
        <f>_xlfn.XLOOKUP(H390,Reference_Tables!$B$2:$B$7,Reference_Tables!$C$2:$C$7,,0,1)</f>
        <v>VHR</v>
      </c>
      <c r="J390" t="str">
        <f>INDEX(Reference_Tables!$D$11:$D$36,MATCH(LoanData[[#This Row],[Branch]],Reference_Tables!$A$11:$A$36,0))</f>
        <v>Lakshmi Reddy</v>
      </c>
      <c r="L390" s="35"/>
    </row>
    <row r="391" spans="2:12" ht="15.6" x14ac:dyDescent="0.3">
      <c r="B391" s="15">
        <f>DATEDIF(Loan_Data!K:K,Loan_Data!L:L,"D")</f>
        <v>6</v>
      </c>
      <c r="C391" s="15">
        <f ca="1">DATEDIF(LoanData[[#This Row],[Approval_Date]],TODAY(),"M")</f>
        <v>35</v>
      </c>
      <c r="D391" s="31">
        <f>EDATE(LoanData[[#This Row],[Approval_Date]],LoanData[[#This Row],[Loan_Term_Months]])</f>
        <v>52471</v>
      </c>
      <c r="E391" t="str">
        <f t="shared" ca="1" si="6"/>
        <v>NO</v>
      </c>
      <c r="F391" s="33">
        <f>IFERROR(LoanData[[#This Row],[EMI]]/LoanData[[#This Row],[Monthly_Income]]*100," ")</f>
        <v>6.1654348082381851</v>
      </c>
      <c r="G391" t="str" cm="1">
        <f t="array" ref="G391">_xlfn.IFS(F391&gt;40, "High DTI Risk",F391&gt;=25, "Moderate DTI",F391&lt;25, "Low DTI")</f>
        <v>Low DTI</v>
      </c>
      <c r="H391" t="str" cm="1">
        <f t="array" ref="H3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91" t="str">
        <f>_xlfn.XLOOKUP(H391,Reference_Tables!$B$2:$B$7,Reference_Tables!$C$2:$C$7,,0,1)</f>
        <v>MR</v>
      </c>
      <c r="J391" t="str">
        <f>INDEX(Reference_Tables!$D$11:$D$36,MATCH(LoanData[[#This Row],[Branch]],Reference_Tables!$A$11:$A$36,0))</f>
        <v>Puja Chatterjee</v>
      </c>
      <c r="L391" s="35"/>
    </row>
    <row r="392" spans="2:12" ht="15.6" x14ac:dyDescent="0.3">
      <c r="B392" s="15">
        <f>DATEDIF(Loan_Data!K:K,Loan_Data!L:L,"D")</f>
        <v>14</v>
      </c>
      <c r="C392" s="15">
        <f ca="1">DATEDIF(LoanData[[#This Row],[Approval_Date]],TODAY(),"M")</f>
        <v>44</v>
      </c>
      <c r="D392" s="31">
        <f>EDATE(LoanData[[#This Row],[Approval_Date]],LoanData[[#This Row],[Loan_Term_Months]])</f>
        <v>45985</v>
      </c>
      <c r="E392" t="str">
        <f t="shared" ca="1" si="6"/>
        <v>YES</v>
      </c>
      <c r="F392" s="33">
        <f>IFERROR(LoanData[[#This Row],[EMI]]/LoanData[[#This Row],[Monthly_Income]]*100," ")</f>
        <v>7.6770595897101934</v>
      </c>
      <c r="G392" t="str" cm="1">
        <f t="array" ref="G392">_xlfn.IFS(F392&gt;40, "High DTI Risk",F392&gt;=25, "Moderate DTI",F392&lt;25, "Low DTI")</f>
        <v>Low DTI</v>
      </c>
      <c r="H392" t="str" cm="1">
        <f t="array" ref="H3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92" t="str">
        <f>_xlfn.XLOOKUP(H392,Reference_Tables!$B$2:$B$7,Reference_Tables!$C$2:$C$7,,0,1)</f>
        <v>VHR</v>
      </c>
      <c r="J392" t="str">
        <f>INDEX(Reference_Tables!$D$11:$D$36,MATCH(LoanData[[#This Row],[Branch]],Reference_Tables!$A$11:$A$36,0))</f>
        <v>Puja Chatterjee</v>
      </c>
      <c r="L392" s="35"/>
    </row>
    <row r="393" spans="2:12" ht="15.6" x14ac:dyDescent="0.3">
      <c r="B393" s="15">
        <f>DATEDIF(Loan_Data!K:K,Loan_Data!L:L,"D")</f>
        <v>6</v>
      </c>
      <c r="C393" s="15">
        <f ca="1">DATEDIF(LoanData[[#This Row],[Approval_Date]],TODAY(),"M")</f>
        <v>64</v>
      </c>
      <c r="D393" s="31">
        <f>EDATE(LoanData[[#This Row],[Approval_Date]],LoanData[[#This Row],[Loan_Term_Months]])</f>
        <v>46854</v>
      </c>
      <c r="E393" t="str">
        <f t="shared" ca="1" si="6"/>
        <v>NO</v>
      </c>
      <c r="F393" s="33">
        <f>IFERROR(LoanData[[#This Row],[EMI]]/LoanData[[#This Row],[Monthly_Income]]*100," ")</f>
        <v>1.6838139955631177</v>
      </c>
      <c r="G393" t="str" cm="1">
        <f t="array" ref="G393">_xlfn.IFS(F393&gt;40, "High DTI Risk",F393&gt;=25, "Moderate DTI",F393&lt;25, "Low DTI")</f>
        <v>Low DTI</v>
      </c>
      <c r="H393" t="str" cm="1">
        <f t="array" ref="H3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93" t="str">
        <f>_xlfn.XLOOKUP(H393,Reference_Tables!$B$2:$B$7,Reference_Tables!$C$2:$C$7,,0,1)</f>
        <v>LR</v>
      </c>
      <c r="J393" t="str">
        <f>INDEX(Reference_Tables!$D$11:$D$36,MATCH(LoanData[[#This Row],[Branch]],Reference_Tables!$A$11:$A$36,0))</f>
        <v>Sachin Deshpande</v>
      </c>
      <c r="L393" s="35"/>
    </row>
    <row r="394" spans="2:12" ht="15.6" x14ac:dyDescent="0.3">
      <c r="B394" s="15">
        <f>DATEDIF(Loan_Data!K:K,Loan_Data!L:L,"D")</f>
        <v>7</v>
      </c>
      <c r="C394" s="15">
        <f ca="1">DATEDIF(LoanData[[#This Row],[Approval_Date]],TODAY(),"M")</f>
        <v>59</v>
      </c>
      <c r="D394" s="31">
        <f>EDATE(LoanData[[#This Row],[Approval_Date]],LoanData[[#This Row],[Loan_Term_Months]])</f>
        <v>47002</v>
      </c>
      <c r="E394" t="str">
        <f t="shared" ca="1" si="6"/>
        <v>NO</v>
      </c>
      <c r="F394" s="33">
        <f>IFERROR(LoanData[[#This Row],[EMI]]/LoanData[[#This Row],[Monthly_Income]]*100," ")</f>
        <v>1.5130886299387569</v>
      </c>
      <c r="G394" t="str" cm="1">
        <f t="array" ref="G394">_xlfn.IFS(F394&gt;40, "High DTI Risk",F394&gt;=25, "Moderate DTI",F394&lt;25, "Low DTI")</f>
        <v>Low DTI</v>
      </c>
      <c r="H394" t="str" cm="1">
        <f t="array" ref="H3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94" t="str">
        <f>_xlfn.XLOOKUP(H394,Reference_Tables!$B$2:$B$7,Reference_Tables!$C$2:$C$7,,0,1)</f>
        <v>VHR</v>
      </c>
      <c r="J394" t="str">
        <f>INDEX(Reference_Tables!$D$11:$D$36,MATCH(LoanData[[#This Row],[Branch]],Reference_Tables!$A$11:$A$36,0))</f>
        <v>Santhosh Rao</v>
      </c>
      <c r="L394" s="35"/>
    </row>
    <row r="395" spans="2:12" ht="15.6" x14ac:dyDescent="0.3">
      <c r="B395" s="15">
        <f>DATEDIF(Loan_Data!K:K,Loan_Data!L:L,"D")</f>
        <v>28</v>
      </c>
      <c r="C395" s="15">
        <f ca="1">DATEDIF(LoanData[[#This Row],[Approval_Date]],TODAY(),"M")</f>
        <v>39</v>
      </c>
      <c r="D395" s="31">
        <f>EDATE(LoanData[[#This Row],[Approval_Date]],LoanData[[#This Row],[Loan_Term_Months]])</f>
        <v>45779</v>
      </c>
      <c r="E395" t="str">
        <f t="shared" ca="1" si="6"/>
        <v>YES</v>
      </c>
      <c r="F395" s="33">
        <f>IFERROR(LoanData[[#This Row],[EMI]]/LoanData[[#This Row],[Monthly_Income]]*100," ")</f>
        <v>34.930674871964314</v>
      </c>
      <c r="G395" t="str" cm="1">
        <f t="array" ref="G395">_xlfn.IFS(F395&gt;40, "High DTI Risk",F395&gt;=25, "Moderate DTI",F395&lt;25, "Low DTI")</f>
        <v>Moderate DTI</v>
      </c>
      <c r="H395" t="str" cm="1">
        <f t="array" ref="H3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395" t="str">
        <f>_xlfn.XLOOKUP(H395,Reference_Tables!$B$2:$B$7,Reference_Tables!$C$2:$C$7,,0,1)</f>
        <v>HR</v>
      </c>
      <c r="J395" t="str">
        <f>INDEX(Reference_Tables!$D$11:$D$36,MATCH(LoanData[[#This Row],[Branch]],Reference_Tables!$A$11:$A$36,0))</f>
        <v>Debashis Das</v>
      </c>
      <c r="L395" s="35"/>
    </row>
    <row r="396" spans="2:12" ht="15.6" x14ac:dyDescent="0.3">
      <c r="B396" s="15">
        <f>DATEDIF(Loan_Data!K:K,Loan_Data!L:L,"D")</f>
        <v>10</v>
      </c>
      <c r="C396" s="15">
        <f ca="1">DATEDIF(LoanData[[#This Row],[Approval_Date]],TODAY(),"M")</f>
        <v>33</v>
      </c>
      <c r="D396" s="31">
        <f>EDATE(LoanData[[#This Row],[Approval_Date]],LoanData[[#This Row],[Loan_Term_Months]])</f>
        <v>45612</v>
      </c>
      <c r="E396" t="str">
        <f t="shared" ca="1" si="6"/>
        <v>YES</v>
      </c>
      <c r="F396" s="33">
        <f>IFERROR(LoanData[[#This Row],[EMI]]/LoanData[[#This Row],[Monthly_Income]]*100," ")</f>
        <v>25.578545396329115</v>
      </c>
      <c r="G396" t="str" cm="1">
        <f t="array" ref="G396">_xlfn.IFS(F396&gt;40, "High DTI Risk",F396&gt;=25, "Moderate DTI",F396&lt;25, "Low DTI")</f>
        <v>Moderate DTI</v>
      </c>
      <c r="H396" t="str" cm="1">
        <f t="array" ref="H3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96" t="str">
        <f>_xlfn.XLOOKUP(H396,Reference_Tables!$B$2:$B$7,Reference_Tables!$C$2:$C$7,,0,1)</f>
        <v>VHR</v>
      </c>
      <c r="J396" t="str">
        <f>INDEX(Reference_Tables!$D$11:$D$36,MATCH(LoanData[[#This Row],[Branch]],Reference_Tables!$A$11:$A$36,0))</f>
        <v>Ravi Verma</v>
      </c>
      <c r="L396" s="35"/>
    </row>
    <row r="397" spans="2:12" ht="15.6" x14ac:dyDescent="0.3">
      <c r="B397" s="15">
        <f>DATEDIF(Loan_Data!K:K,Loan_Data!L:L,"D")</f>
        <v>21</v>
      </c>
      <c r="C397" s="15">
        <f ca="1">DATEDIF(LoanData[[#This Row],[Approval_Date]],TODAY(),"M")</f>
        <v>40</v>
      </c>
      <c r="D397" s="31">
        <f>EDATE(LoanData[[#This Row],[Approval_Date]],LoanData[[#This Row],[Loan_Term_Months]])</f>
        <v>45395</v>
      </c>
      <c r="E397" t="str">
        <f t="shared" ca="1" si="6"/>
        <v>YES</v>
      </c>
      <c r="F397" s="33">
        <f>IFERROR(LoanData[[#This Row],[EMI]]/LoanData[[#This Row],[Monthly_Income]]*100," ")</f>
        <v>28.808416810965642</v>
      </c>
      <c r="G397" t="str" cm="1">
        <f t="array" ref="G397">_xlfn.IFS(F397&gt;40, "High DTI Risk",F397&gt;=25, "Moderate DTI",F397&lt;25, "Low DTI")</f>
        <v>Moderate DTI</v>
      </c>
      <c r="H397" t="str" cm="1">
        <f t="array" ref="H3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397" t="str">
        <f>_xlfn.XLOOKUP(H397,Reference_Tables!$B$2:$B$7,Reference_Tables!$C$2:$C$7,,0,1)</f>
        <v>VHR</v>
      </c>
      <c r="J397" t="str">
        <f>INDEX(Reference_Tables!$D$11:$D$36,MATCH(LoanData[[#This Row],[Branch]],Reference_Tables!$A$11:$A$36,0))</f>
        <v>Puja Chatterjee</v>
      </c>
      <c r="L397" s="35"/>
    </row>
    <row r="398" spans="2:12" ht="15.6" x14ac:dyDescent="0.3">
      <c r="B398" s="15">
        <f>DATEDIF(Loan_Data!K:K,Loan_Data!L:L,"D")</f>
        <v>21</v>
      </c>
      <c r="C398" s="15">
        <f ca="1">DATEDIF(LoanData[[#This Row],[Approval_Date]],TODAY(),"M")</f>
        <v>42</v>
      </c>
      <c r="D398" s="31">
        <f>EDATE(LoanData[[#This Row],[Approval_Date]],LoanData[[#This Row],[Loan_Term_Months]])</f>
        <v>45337</v>
      </c>
      <c r="E398" t="str">
        <f t="shared" ca="1" si="6"/>
        <v>YES</v>
      </c>
      <c r="F398" s="33">
        <f>IFERROR(LoanData[[#This Row],[EMI]]/LoanData[[#This Row],[Monthly_Income]]*100," ")</f>
        <v>22.313265286988479</v>
      </c>
      <c r="G398" t="str" cm="1">
        <f t="array" ref="G398">_xlfn.IFS(F398&gt;40, "High DTI Risk",F398&gt;=25, "Moderate DTI",F398&lt;25, "Low DTI")</f>
        <v>Low DTI</v>
      </c>
      <c r="H398" t="str" cm="1">
        <f t="array" ref="H3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398" t="str">
        <f>_xlfn.XLOOKUP(H398,Reference_Tables!$B$2:$B$7,Reference_Tables!$C$2:$C$7,,0,1)</f>
        <v>LR</v>
      </c>
      <c r="J398" t="str">
        <f>INDEX(Reference_Tables!$D$11:$D$36,MATCH(LoanData[[#This Row],[Branch]],Reference_Tables!$A$11:$A$36,0))</f>
        <v>Rituparna Bora</v>
      </c>
      <c r="L398" s="35"/>
    </row>
    <row r="399" spans="2:12" ht="15.6" x14ac:dyDescent="0.3">
      <c r="B399" s="15">
        <f>DATEDIF(Loan_Data!K:K,Loan_Data!L:L,"D")</f>
        <v>12</v>
      </c>
      <c r="C399" s="15">
        <f ca="1">DATEDIF(LoanData[[#This Row],[Approval_Date]],TODAY(),"M")</f>
        <v>50</v>
      </c>
      <c r="D399" s="31">
        <f>EDATE(LoanData[[#This Row],[Approval_Date]],LoanData[[#This Row],[Loan_Term_Months]])</f>
        <v>45434</v>
      </c>
      <c r="E399" t="str">
        <f t="shared" ca="1" si="6"/>
        <v>YES</v>
      </c>
      <c r="F399" s="33">
        <f>IFERROR(LoanData[[#This Row],[EMI]]/LoanData[[#This Row],[Monthly_Income]]*100," ")</f>
        <v>6.1657732176020446</v>
      </c>
      <c r="G399" t="str" cm="1">
        <f t="array" ref="G399">_xlfn.IFS(F399&gt;40, "High DTI Risk",F399&gt;=25, "Moderate DTI",F399&lt;25, "Low DTI")</f>
        <v>Low DTI</v>
      </c>
      <c r="H399" t="str" cm="1">
        <f t="array" ref="H3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399" t="str">
        <f>_xlfn.XLOOKUP(H399,Reference_Tables!$B$2:$B$7,Reference_Tables!$C$2:$C$7,,0,1)</f>
        <v>MR</v>
      </c>
      <c r="J399" t="str">
        <f>INDEX(Reference_Tables!$D$11:$D$36,MATCH(LoanData[[#This Row],[Branch]],Reference_Tables!$A$11:$A$36,0))</f>
        <v>Ananya Sharma</v>
      </c>
      <c r="L399" s="35"/>
    </row>
    <row r="400" spans="2:12" ht="15.6" x14ac:dyDescent="0.3">
      <c r="B400" s="15">
        <f>DATEDIF(Loan_Data!K:K,Loan_Data!L:L,"D")</f>
        <v>26</v>
      </c>
      <c r="C400" s="15">
        <f ca="1">DATEDIF(LoanData[[#This Row],[Approval_Date]],TODAY(),"M")</f>
        <v>42</v>
      </c>
      <c r="D400" s="31">
        <f>EDATE(LoanData[[#This Row],[Approval_Date]],LoanData[[#This Row],[Loan_Term_Months]])</f>
        <v>46417</v>
      </c>
      <c r="E400" t="str">
        <f t="shared" ca="1" si="6"/>
        <v>NO</v>
      </c>
      <c r="F400" s="33">
        <f>IFERROR(LoanData[[#This Row],[EMI]]/LoanData[[#This Row],[Monthly_Income]]*100," ")</f>
        <v>21.989038012670889</v>
      </c>
      <c r="G400" t="str" cm="1">
        <f t="array" ref="G400">_xlfn.IFS(F400&gt;40, "High DTI Risk",F400&gt;=25, "Moderate DTI",F400&lt;25, "Low DTI")</f>
        <v>Low DTI</v>
      </c>
      <c r="H400" t="str" cm="1">
        <f t="array" ref="H4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00" t="str">
        <f>_xlfn.XLOOKUP(H400,Reference_Tables!$B$2:$B$7,Reference_Tables!$C$2:$C$7,,0,1)</f>
        <v>MR</v>
      </c>
      <c r="J400" t="str">
        <f>INDEX(Reference_Tables!$D$11:$D$36,MATCH(LoanData[[#This Row],[Branch]],Reference_Tables!$A$11:$A$36,0))</f>
        <v>Santhosh Rao</v>
      </c>
      <c r="L400" s="35"/>
    </row>
    <row r="401" spans="2:12" ht="15.6" x14ac:dyDescent="0.3">
      <c r="B401" s="15">
        <f>DATEDIF(Loan_Data!K:K,Loan_Data!L:L,"D")</f>
        <v>17</v>
      </c>
      <c r="C401" s="15">
        <f ca="1">DATEDIF(LoanData[[#This Row],[Approval_Date]],TODAY(),"M")</f>
        <v>51</v>
      </c>
      <c r="D401" s="31">
        <f>EDATE(LoanData[[#This Row],[Approval_Date]],LoanData[[#This Row],[Loan_Term_Months]])</f>
        <v>45401</v>
      </c>
      <c r="E401" t="str">
        <f t="shared" ca="1" si="6"/>
        <v>YES</v>
      </c>
      <c r="F401" s="33">
        <f>IFERROR(LoanData[[#This Row],[EMI]]/LoanData[[#This Row],[Monthly_Income]]*100," ")</f>
        <v>73.404650690495529</v>
      </c>
      <c r="G401" t="str" cm="1">
        <f t="array" ref="G401">_xlfn.IFS(F401&gt;40, "High DTI Risk",F401&gt;=25, "Moderate DTI",F401&lt;25, "Low DTI")</f>
        <v>High DTI Risk</v>
      </c>
      <c r="H401" t="str" cm="1">
        <f t="array" ref="H4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01" t="str">
        <f>_xlfn.XLOOKUP(H401,Reference_Tables!$B$2:$B$7,Reference_Tables!$C$2:$C$7,,0,1)</f>
        <v>LR</v>
      </c>
      <c r="J401" t="str">
        <f>INDEX(Reference_Tables!$D$11:$D$36,MATCH(LoanData[[#This Row],[Branch]],Reference_Tables!$A$11:$A$36,0))</f>
        <v>Sandeep Saxena</v>
      </c>
      <c r="L401" s="35"/>
    </row>
    <row r="402" spans="2:12" ht="15.6" x14ac:dyDescent="0.3">
      <c r="B402" s="15">
        <f>DATEDIF(Loan_Data!K:K,Loan_Data!L:L,"D")</f>
        <v>3</v>
      </c>
      <c r="C402" s="15">
        <f ca="1">DATEDIF(LoanData[[#This Row],[Approval_Date]],TODAY(),"M")</f>
        <v>54</v>
      </c>
      <c r="D402" s="31">
        <f>EDATE(LoanData[[#This Row],[Approval_Date]],LoanData[[#This Row],[Loan_Term_Months]])</f>
        <v>45340</v>
      </c>
      <c r="E402" t="str">
        <f t="shared" ca="1" si="6"/>
        <v>YES</v>
      </c>
      <c r="F402" s="33">
        <f>IFERROR(LoanData[[#This Row],[EMI]]/LoanData[[#This Row],[Monthly_Income]]*100," ")</f>
        <v>112.51693386884412</v>
      </c>
      <c r="G402" t="str" cm="1">
        <f t="array" ref="G402">_xlfn.IFS(F402&gt;40, "High DTI Risk",F402&gt;=25, "Moderate DTI",F402&lt;25, "Low DTI")</f>
        <v>High DTI Risk</v>
      </c>
      <c r="H402" t="str" cm="1">
        <f t="array" ref="H4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02" t="str">
        <f>_xlfn.XLOOKUP(H402,Reference_Tables!$B$2:$B$7,Reference_Tables!$C$2:$C$7,,0,1)</f>
        <v>LR</v>
      </c>
      <c r="J402" t="str">
        <f>INDEX(Reference_Tables!$D$11:$D$36,MATCH(LoanData[[#This Row],[Branch]],Reference_Tables!$A$11:$A$36,0))</f>
        <v>Puja Chatterjee</v>
      </c>
      <c r="L402" s="35"/>
    </row>
    <row r="403" spans="2:12" ht="15.6" x14ac:dyDescent="0.3">
      <c r="B403" s="15">
        <f>DATEDIF(Loan_Data!K:K,Loan_Data!L:L,"D")</f>
        <v>14</v>
      </c>
      <c r="C403" s="15">
        <f ca="1">DATEDIF(LoanData[[#This Row],[Approval_Date]],TODAY(),"M")</f>
        <v>37</v>
      </c>
      <c r="D403" s="31">
        <f>EDATE(LoanData[[#This Row],[Approval_Date]],LoanData[[#This Row],[Loan_Term_Months]])</f>
        <v>45490</v>
      </c>
      <c r="E403" t="str">
        <f t="shared" ca="1" si="6"/>
        <v>YES</v>
      </c>
      <c r="F403" s="33">
        <f>IFERROR(LoanData[[#This Row],[EMI]]/LoanData[[#This Row],[Monthly_Income]]*100," ")</f>
        <v>520.05429889714162</v>
      </c>
      <c r="G403" t="str" cm="1">
        <f t="array" ref="G403">_xlfn.IFS(F403&gt;40, "High DTI Risk",F403&gt;=25, "Moderate DTI",F403&lt;25, "Low DTI")</f>
        <v>High DTI Risk</v>
      </c>
      <c r="H403" t="str" cm="1">
        <f t="array" ref="H4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03" t="str">
        <f>_xlfn.XLOOKUP(H403,Reference_Tables!$B$2:$B$7,Reference_Tables!$C$2:$C$7,,0,1)</f>
        <v>MR</v>
      </c>
      <c r="J403" t="str">
        <f>INDEX(Reference_Tables!$D$11:$D$36,MATCH(LoanData[[#This Row],[Branch]],Reference_Tables!$A$11:$A$36,0))</f>
        <v>Deepak Nair</v>
      </c>
      <c r="L403" s="35"/>
    </row>
    <row r="404" spans="2:12" ht="15.6" x14ac:dyDescent="0.3">
      <c r="B404" s="15">
        <f>DATEDIF(Loan_Data!K:K,Loan_Data!L:L,"D")</f>
        <v>4</v>
      </c>
      <c r="C404" s="15">
        <f ca="1">DATEDIF(LoanData[[#This Row],[Approval_Date]],TODAY(),"M")</f>
        <v>51</v>
      </c>
      <c r="D404" s="31">
        <f>EDATE(LoanData[[#This Row],[Approval_Date]],LoanData[[#This Row],[Loan_Term_Months]])</f>
        <v>47232</v>
      </c>
      <c r="E404" t="str">
        <f t="shared" ca="1" si="6"/>
        <v>NO</v>
      </c>
      <c r="F404" s="33">
        <f>IFERROR(LoanData[[#This Row],[EMI]]/LoanData[[#This Row],[Monthly_Income]]*100," ")</f>
        <v>8.8708942519527341</v>
      </c>
      <c r="G404" t="str" cm="1">
        <f t="array" ref="G404">_xlfn.IFS(F404&gt;40, "High DTI Risk",F404&gt;=25, "Moderate DTI",F404&lt;25, "Low DTI")</f>
        <v>Low DTI</v>
      </c>
      <c r="H404" t="str" cm="1">
        <f t="array" ref="H4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04" t="str">
        <f>_xlfn.XLOOKUP(H404,Reference_Tables!$B$2:$B$7,Reference_Tables!$C$2:$C$7,,0,1)</f>
        <v>VHR</v>
      </c>
      <c r="J404" t="str">
        <f>INDEX(Reference_Tables!$D$11:$D$36,MATCH(LoanData[[#This Row],[Branch]],Reference_Tables!$A$11:$A$36,0))</f>
        <v>Suman Tiwari</v>
      </c>
      <c r="L404" s="35"/>
    </row>
    <row r="405" spans="2:12" ht="15.6" x14ac:dyDescent="0.3">
      <c r="B405" s="15">
        <f>DATEDIF(Loan_Data!K:K,Loan_Data!L:L,"D")</f>
        <v>17</v>
      </c>
      <c r="C405" s="15">
        <f ca="1">DATEDIF(LoanData[[#This Row],[Approval_Date]],TODAY(),"M")</f>
        <v>32</v>
      </c>
      <c r="D405" s="31">
        <f>EDATE(LoanData[[#This Row],[Approval_Date]],LoanData[[#This Row],[Loan_Term_Months]])</f>
        <v>45641</v>
      </c>
      <c r="E405" t="str">
        <f t="shared" ca="1" si="6"/>
        <v>YES</v>
      </c>
      <c r="F405" s="33">
        <f>IFERROR(LoanData[[#This Row],[EMI]]/LoanData[[#This Row],[Monthly_Income]]*100," ")</f>
        <v>50.581658243409365</v>
      </c>
      <c r="G405" t="str" cm="1">
        <f t="array" ref="G405">_xlfn.IFS(F405&gt;40, "High DTI Risk",F405&gt;=25, "Moderate DTI",F405&lt;25, "Low DTI")</f>
        <v>High DTI Risk</v>
      </c>
      <c r="H405" t="str" cm="1">
        <f t="array" ref="H4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05" t="str">
        <f>_xlfn.XLOOKUP(H405,Reference_Tables!$B$2:$B$7,Reference_Tables!$C$2:$C$7,,0,1)</f>
        <v>MR</v>
      </c>
      <c r="J405" t="str">
        <f>INDEX(Reference_Tables!$D$11:$D$36,MATCH(LoanData[[#This Row],[Branch]],Reference_Tables!$A$11:$A$36,0))</f>
        <v>Sachin Deshpande</v>
      </c>
      <c r="L405" s="35"/>
    </row>
    <row r="406" spans="2:12" ht="15.6" x14ac:dyDescent="0.3">
      <c r="B406" s="15">
        <f>DATEDIF(Loan_Data!K:K,Loan_Data!L:L,"D")</f>
        <v>27</v>
      </c>
      <c r="C406" s="15">
        <f ca="1">DATEDIF(LoanData[[#This Row],[Approval_Date]],TODAY(),"M")</f>
        <v>58</v>
      </c>
      <c r="D406" s="31">
        <f>EDATE(LoanData[[#This Row],[Approval_Date]],LoanData[[#This Row],[Loan_Term_Months]])</f>
        <v>45188</v>
      </c>
      <c r="E406" t="str">
        <f t="shared" ca="1" si="6"/>
        <v>YES</v>
      </c>
      <c r="F406" s="33">
        <f>IFERROR(LoanData[[#This Row],[EMI]]/LoanData[[#This Row],[Monthly_Income]]*100," ")</f>
        <v>35.079775192071352</v>
      </c>
      <c r="G406" t="str" cm="1">
        <f t="array" ref="G406">_xlfn.IFS(F406&gt;40, "High DTI Risk",F406&gt;=25, "Moderate DTI",F406&lt;25, "Low DTI")</f>
        <v>Moderate DTI</v>
      </c>
      <c r="H406" t="str" cm="1">
        <f t="array" ref="H4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06" t="str">
        <f>_xlfn.XLOOKUP(H406,Reference_Tables!$B$2:$B$7,Reference_Tables!$C$2:$C$7,,0,1)</f>
        <v>LR</v>
      </c>
      <c r="J406" t="str">
        <f>INDEX(Reference_Tables!$D$11:$D$36,MATCH(LoanData[[#This Row],[Branch]],Reference_Tables!$A$11:$A$36,0))</f>
        <v>Tapan Panda</v>
      </c>
      <c r="L406" s="35"/>
    </row>
    <row r="407" spans="2:12" ht="15.6" x14ac:dyDescent="0.3">
      <c r="B407" s="15">
        <f>DATEDIF(Loan_Data!K:K,Loan_Data!L:L,"D")</f>
        <v>26</v>
      </c>
      <c r="C407" s="15">
        <f ca="1">DATEDIF(LoanData[[#This Row],[Approval_Date]],TODAY(),"M")</f>
        <v>62</v>
      </c>
      <c r="D407" s="31">
        <f>EDATE(LoanData[[#This Row],[Approval_Date]],LoanData[[#This Row],[Loan_Term_Months]])</f>
        <v>48012</v>
      </c>
      <c r="E407" t="str">
        <f t="shared" ca="1" si="6"/>
        <v>NO</v>
      </c>
      <c r="F407" s="33">
        <f>IFERROR(LoanData[[#This Row],[EMI]]/LoanData[[#This Row],[Monthly_Income]]*100," ")</f>
        <v>80.384683327271773</v>
      </c>
      <c r="G407" t="str" cm="1">
        <f t="array" ref="G407">_xlfn.IFS(F407&gt;40, "High DTI Risk",F407&gt;=25, "Moderate DTI",F407&lt;25, "Low DTI")</f>
        <v>High DTI Risk</v>
      </c>
      <c r="H407" t="str" cm="1">
        <f t="array" ref="H4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07" t="str">
        <f>_xlfn.XLOOKUP(H407,Reference_Tables!$B$2:$B$7,Reference_Tables!$C$2:$C$7,,0,1)</f>
        <v>LR</v>
      </c>
      <c r="J407" t="str">
        <f>INDEX(Reference_Tables!$D$11:$D$36,MATCH(LoanData[[#This Row],[Branch]],Reference_Tables!$A$11:$A$36,0))</f>
        <v>Sachin Deshpande</v>
      </c>
      <c r="L407" s="35"/>
    </row>
    <row r="408" spans="2:12" ht="15.6" x14ac:dyDescent="0.3">
      <c r="B408" s="15">
        <f>DATEDIF(Loan_Data!K:K,Loan_Data!L:L,"D")</f>
        <v>26</v>
      </c>
      <c r="C408" s="15">
        <f ca="1">DATEDIF(LoanData[[#This Row],[Approval_Date]],TODAY(),"M")</f>
        <v>66</v>
      </c>
      <c r="D408" s="31">
        <f>EDATE(LoanData[[#This Row],[Approval_Date]],LoanData[[#This Row],[Loan_Term_Months]])</f>
        <v>46055</v>
      </c>
      <c r="E408" t="str">
        <f t="shared" ca="1" si="6"/>
        <v>YES</v>
      </c>
      <c r="F408" s="33">
        <f>IFERROR(LoanData[[#This Row],[EMI]]/LoanData[[#This Row],[Monthly_Income]]*100," ")</f>
        <v>6.6448277286196609</v>
      </c>
      <c r="G408" t="str" cm="1">
        <f t="array" ref="G408">_xlfn.IFS(F408&gt;40, "High DTI Risk",F408&gt;=25, "Moderate DTI",F408&lt;25, "Low DTI")</f>
        <v>Low DTI</v>
      </c>
      <c r="H408" t="str" cm="1">
        <f t="array" ref="H4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08" t="str">
        <f>_xlfn.XLOOKUP(H408,Reference_Tables!$B$2:$B$7,Reference_Tables!$C$2:$C$7,,0,1)</f>
        <v>VHR</v>
      </c>
      <c r="J408" t="str">
        <f>INDEX(Reference_Tables!$D$11:$D$36,MATCH(LoanData[[#This Row],[Branch]],Reference_Tables!$A$11:$A$36,0))</f>
        <v>Amit Kumar</v>
      </c>
      <c r="L408" s="35"/>
    </row>
    <row r="409" spans="2:12" ht="15.6" x14ac:dyDescent="0.3">
      <c r="B409" s="15">
        <f>DATEDIF(Loan_Data!K:K,Loan_Data!L:L,"D")</f>
        <v>7</v>
      </c>
      <c r="C409" s="15">
        <f ca="1">DATEDIF(LoanData[[#This Row],[Approval_Date]],TODAY(),"M")</f>
        <v>37</v>
      </c>
      <c r="D409" s="31">
        <f>EDATE(LoanData[[#This Row],[Approval_Date]],LoanData[[#This Row],[Loan_Term_Months]])</f>
        <v>48763</v>
      </c>
      <c r="E409" t="str">
        <f t="shared" ca="1" si="6"/>
        <v>NO</v>
      </c>
      <c r="F409" s="33">
        <f>IFERROR(LoanData[[#This Row],[EMI]]/LoanData[[#This Row],[Monthly_Income]]*100," ")</f>
        <v>4.8327890376353464</v>
      </c>
      <c r="G409" t="str" cm="1">
        <f t="array" ref="G409">_xlfn.IFS(F409&gt;40, "High DTI Risk",F409&gt;=25, "Moderate DTI",F409&lt;25, "Low DTI")</f>
        <v>Low DTI</v>
      </c>
      <c r="H409" t="str" cm="1">
        <f t="array" ref="H4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09" t="str">
        <f>_xlfn.XLOOKUP(H409,Reference_Tables!$B$2:$B$7,Reference_Tables!$C$2:$C$7,,0,1)</f>
        <v>VHR</v>
      </c>
      <c r="J409" t="str">
        <f>INDEX(Reference_Tables!$D$11:$D$36,MATCH(LoanData[[#This Row],[Branch]],Reference_Tables!$A$11:$A$36,0))</f>
        <v>Rahul Kapoor</v>
      </c>
      <c r="L409" s="35"/>
    </row>
    <row r="410" spans="2:12" ht="15.6" x14ac:dyDescent="0.3">
      <c r="B410" s="15">
        <f>DATEDIF(Loan_Data!K:K,Loan_Data!L:L,"D")</f>
        <v>30</v>
      </c>
      <c r="C410" s="15">
        <f ca="1">DATEDIF(LoanData[[#This Row],[Approval_Date]],TODAY(),"M")</f>
        <v>45</v>
      </c>
      <c r="D410" s="31">
        <f>EDATE(LoanData[[#This Row],[Approval_Date]],LoanData[[#This Row],[Loan_Term_Months]])</f>
        <v>52184</v>
      </c>
      <c r="E410" t="str">
        <f t="shared" ca="1" si="6"/>
        <v>NO</v>
      </c>
      <c r="F410" s="33">
        <f>IFERROR(LoanData[[#This Row],[EMI]]/LoanData[[#This Row],[Monthly_Income]]*100," ")</f>
        <v>0.96798223200597511</v>
      </c>
      <c r="G410" t="str" cm="1">
        <f t="array" ref="G410">_xlfn.IFS(F410&gt;40, "High DTI Risk",F410&gt;=25, "Moderate DTI",F410&lt;25, "Low DTI")</f>
        <v>Low DTI</v>
      </c>
      <c r="H410" t="str" cm="1">
        <f t="array" ref="H4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10" t="str">
        <f>_xlfn.XLOOKUP(H410,Reference_Tables!$B$2:$B$7,Reference_Tables!$C$2:$C$7,,0,1)</f>
        <v>HR</v>
      </c>
      <c r="J410" t="str">
        <f>INDEX(Reference_Tables!$D$11:$D$36,MATCH(LoanData[[#This Row],[Branch]],Reference_Tables!$A$11:$A$36,0))</f>
        <v>Rahul Kapoor</v>
      </c>
      <c r="L410" s="35"/>
    </row>
    <row r="411" spans="2:12" ht="15.6" x14ac:dyDescent="0.3">
      <c r="B411" s="15">
        <f>DATEDIF(Loan_Data!K:K,Loan_Data!L:L,"D")</f>
        <v>24</v>
      </c>
      <c r="C411" s="15">
        <f ca="1">DATEDIF(LoanData[[#This Row],[Approval_Date]],TODAY(),"M")</f>
        <v>52</v>
      </c>
      <c r="D411" s="31">
        <f>EDATE(LoanData[[#This Row],[Approval_Date]],LoanData[[#This Row],[Loan_Term_Months]])</f>
        <v>47205</v>
      </c>
      <c r="E411" t="str">
        <f t="shared" ca="1" si="6"/>
        <v>NO</v>
      </c>
      <c r="F411" s="33">
        <f>IFERROR(LoanData[[#This Row],[EMI]]/LoanData[[#This Row],[Monthly_Income]]*100," ")</f>
        <v>20.7013695843786</v>
      </c>
      <c r="G411" t="str" cm="1">
        <f t="array" ref="G411">_xlfn.IFS(F411&gt;40, "High DTI Risk",F411&gt;=25, "Moderate DTI",F411&lt;25, "Low DTI")</f>
        <v>Low DTI</v>
      </c>
      <c r="H411" t="str" cm="1">
        <f t="array" ref="H4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11" t="str">
        <f>_xlfn.XLOOKUP(H411,Reference_Tables!$B$2:$B$7,Reference_Tables!$C$2:$C$7,,0,1)</f>
        <v>LR</v>
      </c>
      <c r="J411" t="str">
        <f>INDEX(Reference_Tables!$D$11:$D$36,MATCH(LoanData[[#This Row],[Branch]],Reference_Tables!$A$11:$A$36,0))</f>
        <v>Debashis Das</v>
      </c>
      <c r="L411" s="35"/>
    </row>
    <row r="412" spans="2:12" ht="15.6" x14ac:dyDescent="0.3">
      <c r="B412" s="15">
        <f>DATEDIF(Loan_Data!K:K,Loan_Data!L:L,"D")</f>
        <v>11</v>
      </c>
      <c r="C412" s="15">
        <f ca="1">DATEDIF(LoanData[[#This Row],[Approval_Date]],TODAY(),"M")</f>
        <v>41</v>
      </c>
      <c r="D412" s="31">
        <f>EDATE(LoanData[[#This Row],[Approval_Date]],LoanData[[#This Row],[Loan_Term_Months]])</f>
        <v>46080</v>
      </c>
      <c r="E412" t="str">
        <f t="shared" ca="1" si="6"/>
        <v>YES</v>
      </c>
      <c r="F412" s="33">
        <f>IFERROR(LoanData[[#This Row],[EMI]]/LoanData[[#This Row],[Monthly_Income]]*100," ")</f>
        <v>24.869552321442697</v>
      </c>
      <c r="G412" t="str" cm="1">
        <f t="array" ref="G412">_xlfn.IFS(F412&gt;40, "High DTI Risk",F412&gt;=25, "Moderate DTI",F412&lt;25, "Low DTI")</f>
        <v>Low DTI</v>
      </c>
      <c r="H412" t="str" cm="1">
        <f t="array" ref="H4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12" t="str">
        <f>_xlfn.XLOOKUP(H412,Reference_Tables!$B$2:$B$7,Reference_Tables!$C$2:$C$7,,0,1)</f>
        <v>HR</v>
      </c>
      <c r="J412" t="str">
        <f>INDEX(Reference_Tables!$D$11:$D$36,MATCH(LoanData[[#This Row],[Branch]],Reference_Tables!$A$11:$A$36,0))</f>
        <v>Lakshmi Reddy</v>
      </c>
      <c r="L412" s="35"/>
    </row>
    <row r="413" spans="2:12" ht="15.6" x14ac:dyDescent="0.3">
      <c r="B413" s="15">
        <f>DATEDIF(Loan_Data!K:K,Loan_Data!L:L,"D")</f>
        <v>22</v>
      </c>
      <c r="C413" s="15">
        <f ca="1">DATEDIF(LoanData[[#This Row],[Approval_Date]],TODAY(),"M")</f>
        <v>54</v>
      </c>
      <c r="D413" s="31">
        <f>EDATE(LoanData[[#This Row],[Approval_Date]],LoanData[[#This Row],[Loan_Term_Months]])</f>
        <v>48260</v>
      </c>
      <c r="E413" t="str">
        <f t="shared" ca="1" si="6"/>
        <v>NO</v>
      </c>
      <c r="F413" s="33">
        <f>IFERROR(LoanData[[#This Row],[EMI]]/LoanData[[#This Row],[Monthly_Income]]*100," ")</f>
        <v>20.453242141260031</v>
      </c>
      <c r="G413" t="str" cm="1">
        <f t="array" ref="G413">_xlfn.IFS(F413&gt;40, "High DTI Risk",F413&gt;=25, "Moderate DTI",F413&lt;25, "Low DTI")</f>
        <v>Low DTI</v>
      </c>
      <c r="H413" t="str" cm="1">
        <f t="array" ref="H4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13" t="str">
        <f>_xlfn.XLOOKUP(H413,Reference_Tables!$B$2:$B$7,Reference_Tables!$C$2:$C$7,,0,1)</f>
        <v>VHR</v>
      </c>
      <c r="J413" t="str">
        <f>INDEX(Reference_Tables!$D$11:$D$36,MATCH(LoanData[[#This Row],[Branch]],Reference_Tables!$A$11:$A$36,0))</f>
        <v>Priya Yadav</v>
      </c>
      <c r="L413" s="35"/>
    </row>
    <row r="414" spans="2:12" ht="15.6" x14ac:dyDescent="0.3">
      <c r="B414" s="15">
        <f>DATEDIF(Loan_Data!K:K,Loan_Data!L:L,"D")</f>
        <v>17</v>
      </c>
      <c r="C414" s="15">
        <f ca="1">DATEDIF(LoanData[[#This Row],[Approval_Date]],TODAY(),"M")</f>
        <v>39</v>
      </c>
      <c r="D414" s="31">
        <f>EDATE(LoanData[[#This Row],[Approval_Date]],LoanData[[#This Row],[Loan_Term_Months]])</f>
        <v>46141</v>
      </c>
      <c r="E414" t="str">
        <f t="shared" ca="1" si="6"/>
        <v>YES</v>
      </c>
      <c r="F414" s="33">
        <f>IFERROR(LoanData[[#This Row],[EMI]]/LoanData[[#This Row],[Monthly_Income]]*100," ")</f>
        <v>40.665349831047507</v>
      </c>
      <c r="G414" t="str" cm="1">
        <f t="array" ref="G414">_xlfn.IFS(F414&gt;40, "High DTI Risk",F414&gt;=25, "Moderate DTI",F414&lt;25, "Low DTI")</f>
        <v>High DTI Risk</v>
      </c>
      <c r="H414" t="str" cm="1">
        <f t="array" ref="H4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14" t="str">
        <f>_xlfn.XLOOKUP(H414,Reference_Tables!$B$2:$B$7,Reference_Tables!$C$2:$C$7,,0,1)</f>
        <v>MR</v>
      </c>
      <c r="J414" t="str">
        <f>INDEX(Reference_Tables!$D$11:$D$36,MATCH(LoanData[[#This Row],[Branch]],Reference_Tables!$A$11:$A$36,0))</f>
        <v>Amit Kumar</v>
      </c>
      <c r="L414" s="35"/>
    </row>
    <row r="415" spans="2:12" ht="15.6" x14ac:dyDescent="0.3">
      <c r="B415" s="15">
        <f>DATEDIF(Loan_Data!K:K,Loan_Data!L:L,"D")</f>
        <v>9</v>
      </c>
      <c r="C415" s="15">
        <f ca="1">DATEDIF(LoanData[[#This Row],[Approval_Date]],TODAY(),"M")</f>
        <v>66</v>
      </c>
      <c r="D415" s="31">
        <f>EDATE(LoanData[[#This Row],[Approval_Date]],LoanData[[#This Row],[Loan_Term_Months]])</f>
        <v>46800</v>
      </c>
      <c r="E415" t="str">
        <f t="shared" ca="1" si="6"/>
        <v>NO</v>
      </c>
      <c r="F415" s="33">
        <f>IFERROR(LoanData[[#This Row],[EMI]]/LoanData[[#This Row],[Monthly_Income]]*100," ")</f>
        <v>3.7887175654116789</v>
      </c>
      <c r="G415" t="str" cm="1">
        <f t="array" ref="G415">_xlfn.IFS(F415&gt;40, "High DTI Risk",F415&gt;=25, "Moderate DTI",F415&lt;25, "Low DTI")</f>
        <v>Low DTI</v>
      </c>
      <c r="H415" t="str" cm="1">
        <f t="array" ref="H4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415" t="str">
        <f>_xlfn.XLOOKUP(H415,Reference_Tables!$B$2:$B$7,Reference_Tables!$C$2:$C$7,,0,1)</f>
        <v>UC</v>
      </c>
      <c r="J415" t="str">
        <f>INDEX(Reference_Tables!$D$11:$D$36,MATCH(LoanData[[#This Row],[Branch]],Reference_Tables!$A$11:$A$36,0))</f>
        <v>Anil Mishra</v>
      </c>
      <c r="L415" s="35"/>
    </row>
    <row r="416" spans="2:12" ht="15.6" x14ac:dyDescent="0.3">
      <c r="B416" s="15">
        <f>DATEDIF(Loan_Data!K:K,Loan_Data!L:L,"D")</f>
        <v>18</v>
      </c>
      <c r="C416" s="15">
        <f ca="1">DATEDIF(LoanData[[#This Row],[Approval_Date]],TODAY(),"M")</f>
        <v>34</v>
      </c>
      <c r="D416" s="31">
        <f>EDATE(LoanData[[#This Row],[Approval_Date]],LoanData[[#This Row],[Loan_Term_Months]])</f>
        <v>46669</v>
      </c>
      <c r="E416" t="str">
        <f t="shared" ca="1" si="6"/>
        <v>NO</v>
      </c>
      <c r="F416" s="33">
        <f>IFERROR(LoanData[[#This Row],[EMI]]/LoanData[[#This Row],[Monthly_Income]]*100," ")</f>
        <v>4.9022202249236324</v>
      </c>
      <c r="G416" t="str" cm="1">
        <f t="array" ref="G416">_xlfn.IFS(F416&gt;40, "High DTI Risk",F416&gt;=25, "Moderate DTI",F416&lt;25, "Low DTI")</f>
        <v>Low DTI</v>
      </c>
      <c r="H416" t="str" cm="1">
        <f t="array" ref="H4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16" t="str">
        <f>_xlfn.XLOOKUP(H416,Reference_Tables!$B$2:$B$7,Reference_Tables!$C$2:$C$7,,0,1)</f>
        <v>LR</v>
      </c>
      <c r="J416" t="str">
        <f>INDEX(Reference_Tables!$D$11:$D$36,MATCH(LoanData[[#This Row],[Branch]],Reference_Tables!$A$11:$A$36,0))</f>
        <v>Arvind Pillai</v>
      </c>
      <c r="L416" s="35"/>
    </row>
    <row r="417" spans="2:12" ht="15.6" x14ac:dyDescent="0.3">
      <c r="B417" s="15">
        <f>DATEDIF(Loan_Data!K:K,Loan_Data!L:L,"D")</f>
        <v>17</v>
      </c>
      <c r="C417" s="15">
        <f ca="1">DATEDIF(LoanData[[#This Row],[Approval_Date]],TODAY(),"M")</f>
        <v>40</v>
      </c>
      <c r="D417" s="31">
        <f>EDATE(LoanData[[#This Row],[Approval_Date]],LoanData[[#This Row],[Loan_Term_Months]])</f>
        <v>46860</v>
      </c>
      <c r="E417" t="str">
        <f t="shared" ca="1" si="6"/>
        <v>NO</v>
      </c>
      <c r="F417" s="33">
        <f>IFERROR(LoanData[[#This Row],[EMI]]/LoanData[[#This Row],[Monthly_Income]]*100," ")</f>
        <v>4.2690394597086119</v>
      </c>
      <c r="G417" t="str" cm="1">
        <f t="array" ref="G417">_xlfn.IFS(F417&gt;40, "High DTI Risk",F417&gt;=25, "Moderate DTI",F417&lt;25, "Low DTI")</f>
        <v>Low DTI</v>
      </c>
      <c r="H417" t="str" cm="1">
        <f t="array" ref="H4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17" t="str">
        <f>_xlfn.XLOOKUP(H417,Reference_Tables!$B$2:$B$7,Reference_Tables!$C$2:$C$7,,0,1)</f>
        <v>MR</v>
      </c>
      <c r="J417" t="str">
        <f>INDEX(Reference_Tables!$D$11:$D$36,MATCH(LoanData[[#This Row],[Branch]],Reference_Tables!$A$11:$A$36,0))</f>
        <v>Puja Chatterjee</v>
      </c>
      <c r="L417" s="35"/>
    </row>
    <row r="418" spans="2:12" ht="15.6" x14ac:dyDescent="0.3">
      <c r="B418" s="15">
        <f>DATEDIF(Loan_Data!K:K,Loan_Data!L:L,"D")</f>
        <v>9</v>
      </c>
      <c r="C418" s="15">
        <f ca="1">DATEDIF(LoanData[[#This Row],[Approval_Date]],TODAY(),"M")</f>
        <v>54</v>
      </c>
      <c r="D418" s="31">
        <f>EDATE(LoanData[[#This Row],[Approval_Date]],LoanData[[#This Row],[Loan_Term_Months]])</f>
        <v>46424</v>
      </c>
      <c r="E418" t="str">
        <f t="shared" ca="1" si="6"/>
        <v>NO</v>
      </c>
      <c r="F418" s="33">
        <f>IFERROR(LoanData[[#This Row],[EMI]]/LoanData[[#This Row],[Monthly_Income]]*100," ")</f>
        <v>5.0367244445994492</v>
      </c>
      <c r="G418" t="str" cm="1">
        <f t="array" ref="G418">_xlfn.IFS(F418&gt;40, "High DTI Risk",F418&gt;=25, "Moderate DTI",F418&lt;25, "Low DTI")</f>
        <v>Low DTI</v>
      </c>
      <c r="H418" t="str" cm="1">
        <f t="array" ref="H4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18" t="str">
        <f>_xlfn.XLOOKUP(H418,Reference_Tables!$B$2:$B$7,Reference_Tables!$C$2:$C$7,,0,1)</f>
        <v>HR</v>
      </c>
      <c r="J418" t="str">
        <f>INDEX(Reference_Tables!$D$11:$D$36,MATCH(LoanData[[#This Row],[Branch]],Reference_Tables!$A$11:$A$36,0))</f>
        <v>Deepak Nair</v>
      </c>
      <c r="L418" s="35"/>
    </row>
    <row r="419" spans="2:12" ht="15.6" x14ac:dyDescent="0.3">
      <c r="B419" s="15">
        <f>DATEDIF(Loan_Data!K:K,Loan_Data!L:L,"D")</f>
        <v>26</v>
      </c>
      <c r="C419" s="15">
        <f ca="1">DATEDIF(LoanData[[#This Row],[Approval_Date]],TODAY(),"M")</f>
        <v>63</v>
      </c>
      <c r="D419" s="31">
        <f>EDATE(LoanData[[#This Row],[Approval_Date]],LoanData[[#This Row],[Loan_Term_Months]])</f>
        <v>45419</v>
      </c>
      <c r="E419" t="str">
        <f t="shared" ca="1" si="6"/>
        <v>YES</v>
      </c>
      <c r="F419" s="33">
        <f>IFERROR(LoanData[[#This Row],[EMI]]/LoanData[[#This Row],[Monthly_Income]]*100," ")</f>
        <v>12.17386866671254</v>
      </c>
      <c r="G419" t="str" cm="1">
        <f t="array" ref="G419">_xlfn.IFS(F419&gt;40, "High DTI Risk",F419&gt;=25, "Moderate DTI",F419&lt;25, "Low DTI")</f>
        <v>Low DTI</v>
      </c>
      <c r="H419" t="str" cm="1">
        <f t="array" ref="H4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19" t="str">
        <f>_xlfn.XLOOKUP(H419,Reference_Tables!$B$2:$B$7,Reference_Tables!$C$2:$C$7,,0,1)</f>
        <v>VHR</v>
      </c>
      <c r="J419" t="str">
        <f>INDEX(Reference_Tables!$D$11:$D$36,MATCH(LoanData[[#This Row],[Branch]],Reference_Tables!$A$11:$A$36,0))</f>
        <v>Sachin Deshpande</v>
      </c>
      <c r="L419" s="35"/>
    </row>
    <row r="420" spans="2:12" ht="15.6" x14ac:dyDescent="0.3">
      <c r="B420" s="15">
        <f>DATEDIF(Loan_Data!K:K,Loan_Data!L:L,"D")</f>
        <v>16</v>
      </c>
      <c r="C420" s="15">
        <f ca="1">DATEDIF(LoanData[[#This Row],[Approval_Date]],TODAY(),"M")</f>
        <v>66</v>
      </c>
      <c r="D420" s="31">
        <f>EDATE(LoanData[[#This Row],[Approval_Date]],LoanData[[#This Row],[Loan_Term_Months]])</f>
        <v>45682</v>
      </c>
      <c r="E420" t="str">
        <f t="shared" ca="1" si="6"/>
        <v>YES</v>
      </c>
      <c r="F420" s="33">
        <f>IFERROR(LoanData[[#This Row],[EMI]]/LoanData[[#This Row],[Monthly_Income]]*100," ")</f>
        <v>40.840110633790381</v>
      </c>
      <c r="G420" t="str" cm="1">
        <f t="array" ref="G420">_xlfn.IFS(F420&gt;40, "High DTI Risk",F420&gt;=25, "Moderate DTI",F420&lt;25, "Low DTI")</f>
        <v>High DTI Risk</v>
      </c>
      <c r="H420" t="str" cm="1">
        <f t="array" ref="H4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20" t="str">
        <f>_xlfn.XLOOKUP(H420,Reference_Tables!$B$2:$B$7,Reference_Tables!$C$2:$C$7,,0,1)</f>
        <v>HR</v>
      </c>
      <c r="J420" t="str">
        <f>INDEX(Reference_Tables!$D$11:$D$36,MATCH(LoanData[[#This Row],[Branch]],Reference_Tables!$A$11:$A$36,0))</f>
        <v>Amit Kumar</v>
      </c>
      <c r="L420" s="35"/>
    </row>
    <row r="421" spans="2:12" ht="15.6" x14ac:dyDescent="0.3">
      <c r="B421" s="15">
        <f>DATEDIF(Loan_Data!K:K,Loan_Data!L:L,"D")</f>
        <v>10</v>
      </c>
      <c r="C421" s="15">
        <f ca="1">DATEDIF(LoanData[[#This Row],[Approval_Date]],TODAY(),"M")</f>
        <v>33</v>
      </c>
      <c r="D421" s="31">
        <f>EDATE(LoanData[[#This Row],[Approval_Date]],LoanData[[#This Row],[Loan_Term_Months]])</f>
        <v>45958</v>
      </c>
      <c r="E421" t="str">
        <f t="shared" ca="1" si="6"/>
        <v>YES</v>
      </c>
      <c r="F421" s="33">
        <f>IFERROR(LoanData[[#This Row],[EMI]]/LoanData[[#This Row],[Monthly_Income]]*100," ")</f>
        <v>31.434990710322001</v>
      </c>
      <c r="G421" t="str" cm="1">
        <f t="array" ref="G421">_xlfn.IFS(F421&gt;40, "High DTI Risk",F421&gt;=25, "Moderate DTI",F421&lt;25, "Low DTI")</f>
        <v>Moderate DTI</v>
      </c>
      <c r="H421" t="str" cm="1">
        <f t="array" ref="H4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21" t="str">
        <f>_xlfn.XLOOKUP(H421,Reference_Tables!$B$2:$B$7,Reference_Tables!$C$2:$C$7,,0,1)</f>
        <v>HR</v>
      </c>
      <c r="J421" t="str">
        <f>INDEX(Reference_Tables!$D$11:$D$36,MATCH(LoanData[[#This Row],[Branch]],Reference_Tables!$A$11:$A$36,0))</f>
        <v>Puja Chatterjee</v>
      </c>
      <c r="L421" s="35"/>
    </row>
    <row r="422" spans="2:12" ht="15.6" x14ac:dyDescent="0.3">
      <c r="B422" s="15">
        <f>DATEDIF(Loan_Data!K:K,Loan_Data!L:L,"D")</f>
        <v>9</v>
      </c>
      <c r="C422" s="15">
        <f ca="1">DATEDIF(LoanData[[#This Row],[Approval_Date]],TODAY(),"M")</f>
        <v>53</v>
      </c>
      <c r="D422" s="31">
        <f>EDATE(LoanData[[#This Row],[Approval_Date]],LoanData[[#This Row],[Loan_Term_Months]])</f>
        <v>44977</v>
      </c>
      <c r="E422" t="str">
        <f t="shared" ca="1" si="6"/>
        <v>YES</v>
      </c>
      <c r="F422" s="33">
        <f>IFERROR(LoanData[[#This Row],[EMI]]/LoanData[[#This Row],[Monthly_Income]]*100," ")</f>
        <v>56.963255203926209</v>
      </c>
      <c r="G422" t="str" cm="1">
        <f t="array" ref="G422">_xlfn.IFS(F422&gt;40, "High DTI Risk",F422&gt;=25, "Moderate DTI",F422&lt;25, "Low DTI")</f>
        <v>High DTI Risk</v>
      </c>
      <c r="H422" t="str" cm="1">
        <f t="array" ref="H4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22" t="str">
        <f>_xlfn.XLOOKUP(H422,Reference_Tables!$B$2:$B$7,Reference_Tables!$C$2:$C$7,,0,1)</f>
        <v>MR</v>
      </c>
      <c r="J422" t="str">
        <f>INDEX(Reference_Tables!$D$11:$D$36,MATCH(LoanData[[#This Row],[Branch]],Reference_Tables!$A$11:$A$36,0))</f>
        <v>Rahul Kapoor</v>
      </c>
      <c r="L422" s="35"/>
    </row>
    <row r="423" spans="2:12" ht="15.6" x14ac:dyDescent="0.3">
      <c r="B423" s="15">
        <f>DATEDIF(Loan_Data!K:K,Loan_Data!L:L,"D")</f>
        <v>5</v>
      </c>
      <c r="C423" s="15">
        <f ca="1">DATEDIF(LoanData[[#This Row],[Approval_Date]],TODAY(),"M")</f>
        <v>35</v>
      </c>
      <c r="D423" s="31">
        <f>EDATE(LoanData[[#This Row],[Approval_Date]],LoanData[[#This Row],[Loan_Term_Months]])</f>
        <v>45902</v>
      </c>
      <c r="E423" t="str">
        <f t="shared" ca="1" si="6"/>
        <v>YES</v>
      </c>
      <c r="F423" s="33">
        <f>IFERROR(LoanData[[#This Row],[EMI]]/LoanData[[#This Row],[Monthly_Income]]*100," ")</f>
        <v>28.864544677111851</v>
      </c>
      <c r="G423" t="str" cm="1">
        <f t="array" ref="G423">_xlfn.IFS(F423&gt;40, "High DTI Risk",F423&gt;=25, "Moderate DTI",F423&lt;25, "Low DTI")</f>
        <v>Moderate DTI</v>
      </c>
      <c r="H423" t="str" cm="1">
        <f t="array" ref="H4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23" t="str">
        <f>_xlfn.XLOOKUP(H423,Reference_Tables!$B$2:$B$7,Reference_Tables!$C$2:$C$7,,0,1)</f>
        <v>HR</v>
      </c>
      <c r="J423" t="str">
        <f>INDEX(Reference_Tables!$D$11:$D$36,MATCH(LoanData[[#This Row],[Branch]],Reference_Tables!$A$11:$A$36,0))</f>
        <v>Puja Chatterjee</v>
      </c>
      <c r="L423" s="35"/>
    </row>
    <row r="424" spans="2:12" ht="15.6" x14ac:dyDescent="0.3">
      <c r="B424" s="15">
        <f>DATEDIF(Loan_Data!K:K,Loan_Data!L:L,"D")</f>
        <v>18</v>
      </c>
      <c r="C424" s="15">
        <f ca="1">DATEDIF(LoanData[[#This Row],[Approval_Date]],TODAY(),"M")</f>
        <v>45</v>
      </c>
      <c r="D424" s="31">
        <f>EDATE(LoanData[[#This Row],[Approval_Date]],LoanData[[#This Row],[Loan_Term_Months]])</f>
        <v>45961</v>
      </c>
      <c r="E424" t="str">
        <f t="shared" ca="1" si="6"/>
        <v>YES</v>
      </c>
      <c r="F424" s="33">
        <f>IFERROR(LoanData[[#This Row],[EMI]]/LoanData[[#This Row],[Monthly_Income]]*100," ")</f>
        <v>8.7897572004325166</v>
      </c>
      <c r="G424" t="str" cm="1">
        <f t="array" ref="G424">_xlfn.IFS(F424&gt;40, "High DTI Risk",F424&gt;=25, "Moderate DTI",F424&lt;25, "Low DTI")</f>
        <v>Low DTI</v>
      </c>
      <c r="H424" t="str" cm="1">
        <f t="array" ref="H4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24" t="str">
        <f>_xlfn.XLOOKUP(H424,Reference_Tables!$B$2:$B$7,Reference_Tables!$C$2:$C$7,,0,1)</f>
        <v>VHR</v>
      </c>
      <c r="J424" t="str">
        <f>INDEX(Reference_Tables!$D$11:$D$36,MATCH(LoanData[[#This Row],[Branch]],Reference_Tables!$A$11:$A$36,0))</f>
        <v>Rituparna Bora</v>
      </c>
      <c r="L424" s="35"/>
    </row>
    <row r="425" spans="2:12" ht="15.6" x14ac:dyDescent="0.3">
      <c r="B425" s="15">
        <f>DATEDIF(Loan_Data!K:K,Loan_Data!L:L,"D")</f>
        <v>3</v>
      </c>
      <c r="C425" s="15">
        <f ca="1">DATEDIF(LoanData[[#This Row],[Approval_Date]],TODAY(),"M")</f>
        <v>46</v>
      </c>
      <c r="D425" s="31">
        <f>EDATE(LoanData[[#This Row],[Approval_Date]],LoanData[[#This Row],[Loan_Term_Months]])</f>
        <v>45561</v>
      </c>
      <c r="E425" t="str">
        <f t="shared" ca="1" si="6"/>
        <v>YES</v>
      </c>
      <c r="F425" s="33">
        <f>IFERROR(LoanData[[#This Row],[EMI]]/LoanData[[#This Row],[Monthly_Income]]*100," ")</f>
        <v>6.6136473220312837</v>
      </c>
      <c r="G425" t="str" cm="1">
        <f t="array" ref="G425">_xlfn.IFS(F425&gt;40, "High DTI Risk",F425&gt;=25, "Moderate DTI",F425&lt;25, "Low DTI")</f>
        <v>Low DTI</v>
      </c>
      <c r="H425" t="str" cm="1">
        <f t="array" ref="H4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25" t="str">
        <f>_xlfn.XLOOKUP(H425,Reference_Tables!$B$2:$B$7,Reference_Tables!$C$2:$C$7,,0,1)</f>
        <v>VHR</v>
      </c>
      <c r="J425" t="str">
        <f>INDEX(Reference_Tables!$D$11:$D$36,MATCH(LoanData[[#This Row],[Branch]],Reference_Tables!$A$11:$A$36,0))</f>
        <v>Puja Chatterjee</v>
      </c>
      <c r="L425" s="35"/>
    </row>
    <row r="426" spans="2:12" ht="15.6" x14ac:dyDescent="0.3">
      <c r="B426" s="15">
        <f>DATEDIF(Loan_Data!K:K,Loan_Data!L:L,"D")</f>
        <v>22</v>
      </c>
      <c r="C426" s="15">
        <f ca="1">DATEDIF(LoanData[[#This Row],[Approval_Date]],TODAY(),"M")</f>
        <v>66</v>
      </c>
      <c r="D426" s="31">
        <f>EDATE(LoanData[[#This Row],[Approval_Date]],LoanData[[#This Row],[Loan_Term_Months]])</f>
        <v>45706</v>
      </c>
      <c r="E426" t="str">
        <f t="shared" ca="1" si="6"/>
        <v>YES</v>
      </c>
      <c r="F426" s="33">
        <f>IFERROR(LoanData[[#This Row],[EMI]]/LoanData[[#This Row],[Monthly_Income]]*100," ")</f>
        <v>11.044439985040727</v>
      </c>
      <c r="G426" t="str" cm="1">
        <f t="array" ref="G426">_xlfn.IFS(F426&gt;40, "High DTI Risk",F426&gt;=25, "Moderate DTI",F426&lt;25, "Low DTI")</f>
        <v>Low DTI</v>
      </c>
      <c r="H426" t="str" cm="1">
        <f t="array" ref="H4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26" t="str">
        <f>_xlfn.XLOOKUP(H426,Reference_Tables!$B$2:$B$7,Reference_Tables!$C$2:$C$7,,0,1)</f>
        <v>HR</v>
      </c>
      <c r="J426" t="str">
        <f>INDEX(Reference_Tables!$D$11:$D$36,MATCH(LoanData[[#This Row],[Branch]],Reference_Tables!$A$11:$A$36,0))</f>
        <v>Priyanka Gupta</v>
      </c>
      <c r="L426" s="35"/>
    </row>
    <row r="427" spans="2:12" ht="15.6" x14ac:dyDescent="0.3">
      <c r="B427" s="15">
        <f>DATEDIF(Loan_Data!K:K,Loan_Data!L:L,"D")</f>
        <v>3</v>
      </c>
      <c r="C427" s="15">
        <f ca="1">DATEDIF(LoanData[[#This Row],[Approval_Date]],TODAY(),"M")</f>
        <v>57</v>
      </c>
      <c r="D427" s="31">
        <f>EDATE(LoanData[[#This Row],[Approval_Date]],LoanData[[#This Row],[Loan_Term_Months]])</f>
        <v>44879</v>
      </c>
      <c r="E427" t="str">
        <f t="shared" ca="1" si="6"/>
        <v>YES</v>
      </c>
      <c r="F427" s="33">
        <f>IFERROR(LoanData[[#This Row],[EMI]]/LoanData[[#This Row],[Monthly_Income]]*100," ")</f>
        <v>8.9524105678908636</v>
      </c>
      <c r="G427" t="str" cm="1">
        <f t="array" ref="G427">_xlfn.IFS(F427&gt;40, "High DTI Risk",F427&gt;=25, "Moderate DTI",F427&lt;25, "Low DTI")</f>
        <v>Low DTI</v>
      </c>
      <c r="H427" t="str" cm="1">
        <f t="array" ref="H4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27" t="str">
        <f>_xlfn.XLOOKUP(H427,Reference_Tables!$B$2:$B$7,Reference_Tables!$C$2:$C$7,,0,1)</f>
        <v>MR</v>
      </c>
      <c r="J427" t="str">
        <f>INDEX(Reference_Tables!$D$11:$D$36,MATCH(LoanData[[#This Row],[Branch]],Reference_Tables!$A$11:$A$36,0))</f>
        <v>Rituparna Bora</v>
      </c>
      <c r="L427" s="35"/>
    </row>
    <row r="428" spans="2:12" ht="15.6" x14ac:dyDescent="0.3">
      <c r="B428" s="15">
        <f>DATEDIF(Loan_Data!K:K,Loan_Data!L:L,"D")</f>
        <v>8</v>
      </c>
      <c r="C428" s="15">
        <f ca="1">DATEDIF(LoanData[[#This Row],[Approval_Date]],TODAY(),"M")</f>
        <v>60</v>
      </c>
      <c r="D428" s="31">
        <f>EDATE(LoanData[[#This Row],[Approval_Date]],LoanData[[#This Row],[Loan_Term_Months]])</f>
        <v>45494</v>
      </c>
      <c r="E428" t="str">
        <f t="shared" ca="1" si="6"/>
        <v>YES</v>
      </c>
      <c r="F428" s="33">
        <f>IFERROR(LoanData[[#This Row],[EMI]]/LoanData[[#This Row],[Monthly_Income]]*100," ")</f>
        <v>3.7913208016242419</v>
      </c>
      <c r="G428" t="str" cm="1">
        <f t="array" ref="G428">_xlfn.IFS(F428&gt;40, "High DTI Risk",F428&gt;=25, "Moderate DTI",F428&lt;25, "Low DTI")</f>
        <v>Low DTI</v>
      </c>
      <c r="H428" t="str" cm="1">
        <f t="array" ref="H4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28" t="str">
        <f>_xlfn.XLOOKUP(H428,Reference_Tables!$B$2:$B$7,Reference_Tables!$C$2:$C$7,,0,1)</f>
        <v>HR</v>
      </c>
      <c r="J428" t="str">
        <f>INDEX(Reference_Tables!$D$11:$D$36,MATCH(LoanData[[#This Row],[Branch]],Reference_Tables!$A$11:$A$36,0))</f>
        <v>Anil Mishra</v>
      </c>
      <c r="L428" s="35"/>
    </row>
    <row r="429" spans="2:12" ht="15.6" x14ac:dyDescent="0.3">
      <c r="B429" s="15">
        <f>DATEDIF(Loan_Data!K:K,Loan_Data!L:L,"D")</f>
        <v>17</v>
      </c>
      <c r="C429" s="15">
        <f ca="1">DATEDIF(LoanData[[#This Row],[Approval_Date]],TODAY(),"M")</f>
        <v>51</v>
      </c>
      <c r="D429" s="31">
        <f>EDATE(LoanData[[#This Row],[Approval_Date]],LoanData[[#This Row],[Loan_Term_Months]])</f>
        <v>45781</v>
      </c>
      <c r="E429" t="str">
        <f t="shared" ca="1" si="6"/>
        <v>YES</v>
      </c>
      <c r="F429" s="33">
        <f>IFERROR(LoanData[[#This Row],[EMI]]/LoanData[[#This Row],[Monthly_Income]]*100," ")</f>
        <v>6.3741483512079391</v>
      </c>
      <c r="G429" t="str" cm="1">
        <f t="array" ref="G429">_xlfn.IFS(F429&gt;40, "High DTI Risk",F429&gt;=25, "Moderate DTI",F429&lt;25, "Low DTI")</f>
        <v>Low DTI</v>
      </c>
      <c r="H429" t="str" cm="1">
        <f t="array" ref="H4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29" t="str">
        <f>_xlfn.XLOOKUP(H429,Reference_Tables!$B$2:$B$7,Reference_Tables!$C$2:$C$7,,0,1)</f>
        <v>LR</v>
      </c>
      <c r="J429" t="str">
        <f>INDEX(Reference_Tables!$D$11:$D$36,MATCH(LoanData[[#This Row],[Branch]],Reference_Tables!$A$11:$A$36,0))</f>
        <v>Santhosh Rao</v>
      </c>
      <c r="L429" s="35"/>
    </row>
    <row r="430" spans="2:12" ht="15.6" x14ac:dyDescent="0.3">
      <c r="B430" s="15">
        <f>DATEDIF(Loan_Data!K:K,Loan_Data!L:L,"D")</f>
        <v>18</v>
      </c>
      <c r="C430" s="15">
        <f ca="1">DATEDIF(LoanData[[#This Row],[Approval_Date]],TODAY(),"M")</f>
        <v>49</v>
      </c>
      <c r="D430" s="31">
        <f>EDATE(LoanData[[#This Row],[Approval_Date]],LoanData[[#This Row],[Loan_Term_Months]])</f>
        <v>45467</v>
      </c>
      <c r="E430" t="str">
        <f t="shared" ca="1" si="6"/>
        <v>YES</v>
      </c>
      <c r="F430" s="33">
        <f>IFERROR(LoanData[[#This Row],[EMI]]/LoanData[[#This Row],[Monthly_Income]]*100," ")</f>
        <v>17.496401933960499</v>
      </c>
      <c r="G430" t="str" cm="1">
        <f t="array" ref="G430">_xlfn.IFS(F430&gt;40, "High DTI Risk",F430&gt;=25, "Moderate DTI",F430&lt;25, "Low DTI")</f>
        <v>Low DTI</v>
      </c>
      <c r="H430" t="str" cm="1">
        <f t="array" ref="H4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30" t="str">
        <f>_xlfn.XLOOKUP(H430,Reference_Tables!$B$2:$B$7,Reference_Tables!$C$2:$C$7,,0,1)</f>
        <v>LR</v>
      </c>
      <c r="J430" t="str">
        <f>INDEX(Reference_Tables!$D$11:$D$36,MATCH(LoanData[[#This Row],[Branch]],Reference_Tables!$A$11:$A$36,0))</f>
        <v>Nilesh Shah</v>
      </c>
      <c r="L430" s="35"/>
    </row>
    <row r="431" spans="2:12" ht="15.6" x14ac:dyDescent="0.3">
      <c r="B431" s="15">
        <f>DATEDIF(Loan_Data!K:K,Loan_Data!L:L,"D")</f>
        <v>23</v>
      </c>
      <c r="C431" s="15">
        <f ca="1">DATEDIF(LoanData[[#This Row],[Approval_Date]],TODAY(),"M")</f>
        <v>51</v>
      </c>
      <c r="D431" s="31">
        <f>EDATE(LoanData[[#This Row],[Approval_Date]],LoanData[[#This Row],[Loan_Term_Months]])</f>
        <v>45404</v>
      </c>
      <c r="E431" t="str">
        <f t="shared" ca="1" si="6"/>
        <v>YES</v>
      </c>
      <c r="F431" s="33">
        <f>IFERROR(LoanData[[#This Row],[EMI]]/LoanData[[#This Row],[Monthly_Income]]*100," ")</f>
        <v>3.9986231003687358</v>
      </c>
      <c r="G431" t="str" cm="1">
        <f t="array" ref="G431">_xlfn.IFS(F431&gt;40, "High DTI Risk",F431&gt;=25, "Moderate DTI",F431&lt;25, "Low DTI")</f>
        <v>Low DTI</v>
      </c>
      <c r="H431" t="str" cm="1">
        <f t="array" ref="H4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31" t="str">
        <f>_xlfn.XLOOKUP(H431,Reference_Tables!$B$2:$B$7,Reference_Tables!$C$2:$C$7,,0,1)</f>
        <v>VHR</v>
      </c>
      <c r="J431" t="str">
        <f>INDEX(Reference_Tables!$D$11:$D$36,MATCH(LoanData[[#This Row],[Branch]],Reference_Tables!$A$11:$A$36,0))</f>
        <v>Suresh Menon</v>
      </c>
      <c r="L431" s="35"/>
    </row>
    <row r="432" spans="2:12" ht="15.6" x14ac:dyDescent="0.3">
      <c r="B432" s="15">
        <f>DATEDIF(Loan_Data!K:K,Loan_Data!L:L,"D")</f>
        <v>10</v>
      </c>
      <c r="C432" s="15">
        <f ca="1">DATEDIF(LoanData[[#This Row],[Approval_Date]],TODAY(),"M")</f>
        <v>44</v>
      </c>
      <c r="D432" s="31">
        <f>EDATE(LoanData[[#This Row],[Approval_Date]],LoanData[[#This Row],[Loan_Term_Months]])</f>
        <v>45273</v>
      </c>
      <c r="E432" t="str">
        <f t="shared" ca="1" si="6"/>
        <v>YES</v>
      </c>
      <c r="F432" s="33">
        <f>IFERROR(LoanData[[#This Row],[EMI]]/LoanData[[#This Row],[Monthly_Income]]*100," ")</f>
        <v>25.674822828151839</v>
      </c>
      <c r="G432" t="str" cm="1">
        <f t="array" ref="G432">_xlfn.IFS(F432&gt;40, "High DTI Risk",F432&gt;=25, "Moderate DTI",F432&lt;25, "Low DTI")</f>
        <v>Moderate DTI</v>
      </c>
      <c r="H432" t="str" cm="1">
        <f t="array" ref="H4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32" t="str">
        <f>_xlfn.XLOOKUP(H432,Reference_Tables!$B$2:$B$7,Reference_Tables!$C$2:$C$7,,0,1)</f>
        <v>HR</v>
      </c>
      <c r="J432" t="str">
        <f>INDEX(Reference_Tables!$D$11:$D$36,MATCH(LoanData[[#This Row],[Branch]],Reference_Tables!$A$11:$A$36,0))</f>
        <v>Vikram Malhotra</v>
      </c>
      <c r="L432" s="35"/>
    </row>
    <row r="433" spans="2:12" ht="15.6" x14ac:dyDescent="0.3">
      <c r="B433" s="15">
        <f>DATEDIF(Loan_Data!K:K,Loan_Data!L:L,"D")</f>
        <v>22</v>
      </c>
      <c r="C433" s="15">
        <f ca="1">DATEDIF(LoanData[[#This Row],[Approval_Date]],TODAY(),"M")</f>
        <v>63</v>
      </c>
      <c r="D433" s="31">
        <f>EDATE(LoanData[[#This Row],[Approval_Date]],LoanData[[#This Row],[Loan_Term_Months]])</f>
        <v>46867</v>
      </c>
      <c r="E433" t="str">
        <f t="shared" ca="1" si="6"/>
        <v>NO</v>
      </c>
      <c r="F433" s="33">
        <f>IFERROR(LoanData[[#This Row],[EMI]]/LoanData[[#This Row],[Monthly_Income]]*100," ")</f>
        <v>2.6004206273665487</v>
      </c>
      <c r="G433" t="str" cm="1">
        <f t="array" ref="G433">_xlfn.IFS(F433&gt;40, "High DTI Risk",F433&gt;=25, "Moderate DTI",F433&lt;25, "Low DTI")</f>
        <v>Low DTI</v>
      </c>
      <c r="H433" t="str" cm="1">
        <f t="array" ref="H4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33" t="str">
        <f>_xlfn.XLOOKUP(H433,Reference_Tables!$B$2:$B$7,Reference_Tables!$C$2:$C$7,,0,1)</f>
        <v>VHR</v>
      </c>
      <c r="J433" t="str">
        <f>INDEX(Reference_Tables!$D$11:$D$36,MATCH(LoanData[[#This Row],[Branch]],Reference_Tables!$A$11:$A$36,0))</f>
        <v>Tapan Panda</v>
      </c>
      <c r="L433" s="35"/>
    </row>
    <row r="434" spans="2:12" ht="15.6" x14ac:dyDescent="0.3">
      <c r="B434" s="15">
        <f>DATEDIF(Loan_Data!K:K,Loan_Data!L:L,"D")</f>
        <v>25</v>
      </c>
      <c r="C434" s="15">
        <f ca="1">DATEDIF(LoanData[[#This Row],[Approval_Date]],TODAY(),"M")</f>
        <v>49</v>
      </c>
      <c r="D434" s="31">
        <f>EDATE(LoanData[[#This Row],[Approval_Date]],LoanData[[#This Row],[Loan_Term_Months]])</f>
        <v>45829</v>
      </c>
      <c r="E434" t="str">
        <f t="shared" ca="1" si="6"/>
        <v>YES</v>
      </c>
      <c r="F434" s="33">
        <f>IFERROR(LoanData[[#This Row],[EMI]]/LoanData[[#This Row],[Monthly_Income]]*100," ")</f>
        <v>8.3826311913439202</v>
      </c>
      <c r="G434" t="str" cm="1">
        <f t="array" ref="G434">_xlfn.IFS(F434&gt;40, "High DTI Risk",F434&gt;=25, "Moderate DTI",F434&lt;25, "Low DTI")</f>
        <v>Low DTI</v>
      </c>
      <c r="H434" t="str" cm="1">
        <f t="array" ref="H4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34" t="str">
        <f>_xlfn.XLOOKUP(H434,Reference_Tables!$B$2:$B$7,Reference_Tables!$C$2:$C$7,,0,1)</f>
        <v>HR</v>
      </c>
      <c r="J434" t="str">
        <f>INDEX(Reference_Tables!$D$11:$D$36,MATCH(LoanData[[#This Row],[Branch]],Reference_Tables!$A$11:$A$36,0))</f>
        <v>Nilesh Shah</v>
      </c>
      <c r="L434" s="35"/>
    </row>
    <row r="435" spans="2:12" ht="15.6" x14ac:dyDescent="0.3">
      <c r="B435" s="15">
        <f>DATEDIF(Loan_Data!K:K,Loan_Data!L:L,"D")</f>
        <v>12</v>
      </c>
      <c r="C435" s="15">
        <f ca="1">DATEDIF(LoanData[[#This Row],[Approval_Date]],TODAY(),"M")</f>
        <v>34</v>
      </c>
      <c r="D435" s="31">
        <f>EDATE(LoanData[[#This Row],[Approval_Date]],LoanData[[#This Row],[Loan_Term_Months]])</f>
        <v>50677</v>
      </c>
      <c r="E435" t="str">
        <f t="shared" ca="1" si="6"/>
        <v>NO</v>
      </c>
      <c r="F435" s="33">
        <f>IFERROR(LoanData[[#This Row],[EMI]]/LoanData[[#This Row],[Monthly_Income]]*100," ")</f>
        <v>5.064515266420293</v>
      </c>
      <c r="G435" t="str" cm="1">
        <f t="array" ref="G435">_xlfn.IFS(F435&gt;40, "High DTI Risk",F435&gt;=25, "Moderate DTI",F435&lt;25, "Low DTI")</f>
        <v>Low DTI</v>
      </c>
      <c r="H435" t="str" cm="1">
        <f t="array" ref="H4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35" t="str">
        <f>_xlfn.XLOOKUP(H435,Reference_Tables!$B$2:$B$7,Reference_Tables!$C$2:$C$7,,0,1)</f>
        <v>VHR</v>
      </c>
      <c r="J435" t="str">
        <f>INDEX(Reference_Tables!$D$11:$D$36,MATCH(LoanData[[#This Row],[Branch]],Reference_Tables!$A$11:$A$36,0))</f>
        <v>Lakshmi Reddy</v>
      </c>
      <c r="L435" s="35"/>
    </row>
    <row r="436" spans="2:12" ht="15.6" x14ac:dyDescent="0.3">
      <c r="B436" s="15">
        <f>DATEDIF(Loan_Data!K:K,Loan_Data!L:L,"D")</f>
        <v>25</v>
      </c>
      <c r="C436" s="15">
        <f ca="1">DATEDIF(LoanData[[#This Row],[Approval_Date]],TODAY(),"M")</f>
        <v>45</v>
      </c>
      <c r="D436" s="31">
        <f>EDATE(LoanData[[#This Row],[Approval_Date]],LoanData[[#This Row],[Loan_Term_Months]])</f>
        <v>46708</v>
      </c>
      <c r="E436" t="str">
        <f t="shared" ca="1" si="6"/>
        <v>NO</v>
      </c>
      <c r="F436" s="33">
        <f>IFERROR(LoanData[[#This Row],[EMI]]/LoanData[[#This Row],[Monthly_Income]]*100," ")</f>
        <v>21.078641369155921</v>
      </c>
      <c r="G436" t="str" cm="1">
        <f t="array" ref="G436">_xlfn.IFS(F436&gt;40, "High DTI Risk",F436&gt;=25, "Moderate DTI",F436&lt;25, "Low DTI")</f>
        <v>Low DTI</v>
      </c>
      <c r="H436" t="str" cm="1">
        <f t="array" ref="H4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36" t="str">
        <f>_xlfn.XLOOKUP(H436,Reference_Tables!$B$2:$B$7,Reference_Tables!$C$2:$C$7,,0,1)</f>
        <v>VHR</v>
      </c>
      <c r="J436" t="str">
        <f>INDEX(Reference_Tables!$D$11:$D$36,MATCH(LoanData[[#This Row],[Branch]],Reference_Tables!$A$11:$A$36,0))</f>
        <v>Sandeep Saxena</v>
      </c>
      <c r="L436" s="35"/>
    </row>
    <row r="437" spans="2:12" ht="15.6" x14ac:dyDescent="0.3">
      <c r="B437" s="15">
        <f>DATEDIF(Loan_Data!K:K,Loan_Data!L:L,"D")</f>
        <v>16</v>
      </c>
      <c r="C437" s="15">
        <f ca="1">DATEDIF(LoanData[[#This Row],[Approval_Date]],TODAY(),"M")</f>
        <v>35</v>
      </c>
      <c r="D437" s="31">
        <f>EDATE(LoanData[[#This Row],[Approval_Date]],LoanData[[#This Row],[Loan_Term_Months]])</f>
        <v>45907</v>
      </c>
      <c r="E437" t="str">
        <f t="shared" ca="1" si="6"/>
        <v>YES</v>
      </c>
      <c r="F437" s="33">
        <f>IFERROR(LoanData[[#This Row],[EMI]]/LoanData[[#This Row],[Monthly_Income]]*100," ")</f>
        <v>39.658197000681668</v>
      </c>
      <c r="G437" t="str" cm="1">
        <f t="array" ref="G437">_xlfn.IFS(F437&gt;40, "High DTI Risk",F437&gt;=25, "Moderate DTI",F437&lt;25, "Low DTI")</f>
        <v>Moderate DTI</v>
      </c>
      <c r="H437" t="str" cm="1">
        <f t="array" ref="H4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37" t="str">
        <f>_xlfn.XLOOKUP(H437,Reference_Tables!$B$2:$B$7,Reference_Tables!$C$2:$C$7,,0,1)</f>
        <v>VHR</v>
      </c>
      <c r="J437" t="str">
        <f>INDEX(Reference_Tables!$D$11:$D$36,MATCH(LoanData[[#This Row],[Branch]],Reference_Tables!$A$11:$A$36,0))</f>
        <v>Suman Tiwari</v>
      </c>
      <c r="L437" s="35"/>
    </row>
    <row r="438" spans="2:12" ht="15.6" x14ac:dyDescent="0.3">
      <c r="B438" s="15">
        <f>DATEDIF(Loan_Data!K:K,Loan_Data!L:L,"D")</f>
        <v>19</v>
      </c>
      <c r="C438" s="15">
        <f ca="1">DATEDIF(LoanData[[#This Row],[Approval_Date]],TODAY(),"M")</f>
        <v>58</v>
      </c>
      <c r="D438" s="31">
        <f>EDATE(LoanData[[#This Row],[Approval_Date]],LoanData[[#This Row],[Loan_Term_Months]])</f>
        <v>48126</v>
      </c>
      <c r="E438" t="str">
        <f t="shared" ca="1" si="6"/>
        <v>NO</v>
      </c>
      <c r="F438" s="33">
        <f>IFERROR(LoanData[[#This Row],[EMI]]/LoanData[[#This Row],[Monthly_Income]]*100," ")</f>
        <v>1.58608407789034</v>
      </c>
      <c r="G438" t="str" cm="1">
        <f t="array" ref="G438">_xlfn.IFS(F438&gt;40, "High DTI Risk",F438&gt;=25, "Moderate DTI",F438&lt;25, "Low DTI")</f>
        <v>Low DTI</v>
      </c>
      <c r="H438" t="str" cm="1">
        <f t="array" ref="H4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38" t="str">
        <f>_xlfn.XLOOKUP(H438,Reference_Tables!$B$2:$B$7,Reference_Tables!$C$2:$C$7,,0,1)</f>
        <v>MR</v>
      </c>
      <c r="J438" t="str">
        <f>INDEX(Reference_Tables!$D$11:$D$36,MATCH(LoanData[[#This Row],[Branch]],Reference_Tables!$A$11:$A$36,0))</f>
        <v>Kavita Joshi</v>
      </c>
      <c r="L438" s="35"/>
    </row>
    <row r="439" spans="2:12" ht="15.6" x14ac:dyDescent="0.3">
      <c r="B439" s="15">
        <f>DATEDIF(Loan_Data!K:K,Loan_Data!L:L,"D")</f>
        <v>30</v>
      </c>
      <c r="C439" s="15">
        <f ca="1">DATEDIF(LoanData[[#This Row],[Approval_Date]],TODAY(),"M")</f>
        <v>65</v>
      </c>
      <c r="D439" s="31">
        <f>EDATE(LoanData[[#This Row],[Approval_Date]],LoanData[[#This Row],[Loan_Term_Months]])</f>
        <v>47917</v>
      </c>
      <c r="E439" t="str">
        <f t="shared" ca="1" si="6"/>
        <v>NO</v>
      </c>
      <c r="F439" s="33">
        <f>IFERROR(LoanData[[#This Row],[EMI]]/LoanData[[#This Row],[Monthly_Income]]*100," ")</f>
        <v>12.177165488750042</v>
      </c>
      <c r="G439" t="str" cm="1">
        <f t="array" ref="G439">_xlfn.IFS(F439&gt;40, "High DTI Risk",F439&gt;=25, "Moderate DTI",F439&lt;25, "Low DTI")</f>
        <v>Low DTI</v>
      </c>
      <c r="H439" t="str" cm="1">
        <f t="array" ref="H4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39" t="str">
        <f>_xlfn.XLOOKUP(H439,Reference_Tables!$B$2:$B$7,Reference_Tables!$C$2:$C$7,,0,1)</f>
        <v>VHR</v>
      </c>
      <c r="J439" t="str">
        <f>INDEX(Reference_Tables!$D$11:$D$36,MATCH(LoanData[[#This Row],[Branch]],Reference_Tables!$A$11:$A$36,0))</f>
        <v>Rituparna Bora</v>
      </c>
      <c r="L439" s="35"/>
    </row>
    <row r="440" spans="2:12" ht="15.6" x14ac:dyDescent="0.3">
      <c r="B440" s="15">
        <f>DATEDIF(Loan_Data!K:K,Loan_Data!L:L,"D")</f>
        <v>20</v>
      </c>
      <c r="C440" s="15">
        <f ca="1">DATEDIF(LoanData[[#This Row],[Approval_Date]],TODAY(),"M")</f>
        <v>48</v>
      </c>
      <c r="D440" s="31">
        <f>EDATE(LoanData[[#This Row],[Approval_Date]],LoanData[[#This Row],[Loan_Term_Months]])</f>
        <v>46587</v>
      </c>
      <c r="E440" t="str">
        <f t="shared" ca="1" si="6"/>
        <v>NO</v>
      </c>
      <c r="F440" s="33">
        <f>IFERROR(LoanData[[#This Row],[EMI]]/LoanData[[#This Row],[Monthly_Income]]*100," ")</f>
        <v>4.8698065096745156</v>
      </c>
      <c r="G440" t="str" cm="1">
        <f t="array" ref="G440">_xlfn.IFS(F440&gt;40, "High DTI Risk",F440&gt;=25, "Moderate DTI",F440&lt;25, "Low DTI")</f>
        <v>Low DTI</v>
      </c>
      <c r="H440" t="str" cm="1">
        <f t="array" ref="H4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40" t="str">
        <f>_xlfn.XLOOKUP(H440,Reference_Tables!$B$2:$B$7,Reference_Tables!$C$2:$C$7,,0,1)</f>
        <v>HR</v>
      </c>
      <c r="J440" t="str">
        <f>INDEX(Reference_Tables!$D$11:$D$36,MATCH(LoanData[[#This Row],[Branch]],Reference_Tables!$A$11:$A$36,0))</f>
        <v>Lakshmi Reddy</v>
      </c>
      <c r="L440" s="35"/>
    </row>
    <row r="441" spans="2:12" ht="15.6" x14ac:dyDescent="0.3">
      <c r="B441" s="15">
        <f>DATEDIF(Loan_Data!K:K,Loan_Data!L:L,"D")</f>
        <v>7</v>
      </c>
      <c r="C441" s="15">
        <f ca="1">DATEDIF(LoanData[[#This Row],[Approval_Date]],TODAY(),"M")</f>
        <v>54</v>
      </c>
      <c r="D441" s="31">
        <f>EDATE(LoanData[[#This Row],[Approval_Date]],LoanData[[#This Row],[Loan_Term_Months]])</f>
        <v>51887</v>
      </c>
      <c r="E441" t="str">
        <f t="shared" ca="1" si="6"/>
        <v>NO</v>
      </c>
      <c r="F441" s="33">
        <f>IFERROR(LoanData[[#This Row],[EMI]]/LoanData[[#This Row],[Monthly_Income]]*100," ")</f>
        <v>2.4917623248901117</v>
      </c>
      <c r="G441" t="str" cm="1">
        <f t="array" ref="G441">_xlfn.IFS(F441&gt;40, "High DTI Risk",F441&gt;=25, "Moderate DTI",F441&lt;25, "Low DTI")</f>
        <v>Low DTI</v>
      </c>
      <c r="H441" t="str" cm="1">
        <f t="array" ref="H4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41" t="str">
        <f>_xlfn.XLOOKUP(H441,Reference_Tables!$B$2:$B$7,Reference_Tables!$C$2:$C$7,,0,1)</f>
        <v>VHR</v>
      </c>
      <c r="J441" t="str">
        <f>INDEX(Reference_Tables!$D$11:$D$36,MATCH(LoanData[[#This Row],[Branch]],Reference_Tables!$A$11:$A$36,0))</f>
        <v>Kavita Joshi</v>
      </c>
      <c r="L441" s="35"/>
    </row>
    <row r="442" spans="2:12" ht="15.6" x14ac:dyDescent="0.3">
      <c r="B442" s="15">
        <f>DATEDIF(Loan_Data!K:K,Loan_Data!L:L,"D")</f>
        <v>18</v>
      </c>
      <c r="C442" s="15">
        <f ca="1">DATEDIF(LoanData[[#This Row],[Approval_Date]],TODAY(),"M")</f>
        <v>64</v>
      </c>
      <c r="D442" s="31">
        <f>EDATE(LoanData[[#This Row],[Approval_Date]],LoanData[[#This Row],[Loan_Term_Months]])</f>
        <v>45758</v>
      </c>
      <c r="E442" t="str">
        <f t="shared" ca="1" si="6"/>
        <v>YES</v>
      </c>
      <c r="F442" s="33">
        <f>IFERROR(LoanData[[#This Row],[EMI]]/LoanData[[#This Row],[Monthly_Income]]*100," ")</f>
        <v>1.9080842757135164</v>
      </c>
      <c r="G442" t="str" cm="1">
        <f t="array" ref="G442">_xlfn.IFS(F442&gt;40, "High DTI Risk",F442&gt;=25, "Moderate DTI",F442&lt;25, "Low DTI")</f>
        <v>Low DTI</v>
      </c>
      <c r="H442" t="str" cm="1">
        <f t="array" ref="H4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42" t="str">
        <f>_xlfn.XLOOKUP(H442,Reference_Tables!$B$2:$B$7,Reference_Tables!$C$2:$C$7,,0,1)</f>
        <v>VHR</v>
      </c>
      <c r="J442" t="str">
        <f>INDEX(Reference_Tables!$D$11:$D$36,MATCH(LoanData[[#This Row],[Branch]],Reference_Tables!$A$11:$A$36,0))</f>
        <v>Ravi Verma</v>
      </c>
      <c r="L442" s="35"/>
    </row>
    <row r="443" spans="2:12" ht="15.6" x14ac:dyDescent="0.3">
      <c r="B443" s="15">
        <f>DATEDIF(Loan_Data!K:K,Loan_Data!L:L,"D")</f>
        <v>15</v>
      </c>
      <c r="C443" s="15">
        <f ca="1">DATEDIF(LoanData[[#This Row],[Approval_Date]],TODAY(),"M")</f>
        <v>32</v>
      </c>
      <c r="D443" s="31">
        <f>EDATE(LoanData[[#This Row],[Approval_Date]],LoanData[[#This Row],[Loan_Term_Months]])</f>
        <v>48906</v>
      </c>
      <c r="E443" t="str">
        <f t="shared" ca="1" si="6"/>
        <v>NO</v>
      </c>
      <c r="F443" s="33">
        <f>IFERROR(LoanData[[#This Row],[EMI]]/LoanData[[#This Row],[Monthly_Income]]*100," ")</f>
        <v>2.7231338665000266</v>
      </c>
      <c r="G443" t="str" cm="1">
        <f t="array" ref="G443">_xlfn.IFS(F443&gt;40, "High DTI Risk",F443&gt;=25, "Moderate DTI",F443&lt;25, "Low DTI")</f>
        <v>Low DTI</v>
      </c>
      <c r="H443" t="str" cm="1">
        <f t="array" ref="H4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43" t="str">
        <f>_xlfn.XLOOKUP(H443,Reference_Tables!$B$2:$B$7,Reference_Tables!$C$2:$C$7,,0,1)</f>
        <v>VHR</v>
      </c>
      <c r="J443" t="str">
        <f>INDEX(Reference_Tables!$D$11:$D$36,MATCH(LoanData[[#This Row],[Branch]],Reference_Tables!$A$11:$A$36,0))</f>
        <v>Kavita Joshi</v>
      </c>
      <c r="L443" s="35"/>
    </row>
    <row r="444" spans="2:12" ht="15.6" x14ac:dyDescent="0.3">
      <c r="B444" s="15">
        <f>DATEDIF(Loan_Data!K:K,Loan_Data!L:L,"D")</f>
        <v>6</v>
      </c>
      <c r="C444" s="15">
        <f ca="1">DATEDIF(LoanData[[#This Row],[Approval_Date]],TODAY(),"M")</f>
        <v>66</v>
      </c>
      <c r="D444" s="31">
        <f>EDATE(LoanData[[#This Row],[Approval_Date]],LoanData[[#This Row],[Loan_Term_Months]])</f>
        <v>44975</v>
      </c>
      <c r="E444" t="str">
        <f t="shared" ca="1" si="6"/>
        <v>YES</v>
      </c>
      <c r="F444" s="33">
        <f>IFERROR(LoanData[[#This Row],[EMI]]/LoanData[[#This Row],[Monthly_Income]]*100," ")</f>
        <v>8.1347588993775588</v>
      </c>
      <c r="G444" t="str" cm="1">
        <f t="array" ref="G444">_xlfn.IFS(F444&gt;40, "High DTI Risk",F444&gt;=25, "Moderate DTI",F444&lt;25, "Low DTI")</f>
        <v>Low DTI</v>
      </c>
      <c r="H444" t="str" cm="1">
        <f t="array" ref="H4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44" t="str">
        <f>_xlfn.XLOOKUP(H444,Reference_Tables!$B$2:$B$7,Reference_Tables!$C$2:$C$7,,0,1)</f>
        <v>VHR</v>
      </c>
      <c r="J444" t="str">
        <f>INDEX(Reference_Tables!$D$11:$D$36,MATCH(LoanData[[#This Row],[Branch]],Reference_Tables!$A$11:$A$36,0))</f>
        <v>Ravi Verma</v>
      </c>
      <c r="L444" s="35"/>
    </row>
    <row r="445" spans="2:12" ht="15.6" x14ac:dyDescent="0.3">
      <c r="B445" s="15">
        <f>DATEDIF(Loan_Data!K:K,Loan_Data!L:L,"D")</f>
        <v>12</v>
      </c>
      <c r="C445" s="15">
        <f ca="1">DATEDIF(LoanData[[#This Row],[Approval_Date]],TODAY(),"M")</f>
        <v>49</v>
      </c>
      <c r="D445" s="31">
        <f>EDATE(LoanData[[#This Row],[Approval_Date]],LoanData[[#This Row],[Loan_Term_Months]])</f>
        <v>45109</v>
      </c>
      <c r="E445" t="str">
        <f t="shared" ca="1" si="6"/>
        <v>YES</v>
      </c>
      <c r="F445" s="33">
        <f>IFERROR(LoanData[[#This Row],[EMI]]/LoanData[[#This Row],[Monthly_Income]]*100," ")</f>
        <v>14.790303840757629</v>
      </c>
      <c r="G445" t="str" cm="1">
        <f t="array" ref="G445">_xlfn.IFS(F445&gt;40, "High DTI Risk",F445&gt;=25, "Moderate DTI",F445&lt;25, "Low DTI")</f>
        <v>Low DTI</v>
      </c>
      <c r="H445" t="str" cm="1">
        <f t="array" ref="H4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45" t="str">
        <f>_xlfn.XLOOKUP(H445,Reference_Tables!$B$2:$B$7,Reference_Tables!$C$2:$C$7,,0,1)</f>
        <v>HR</v>
      </c>
      <c r="J445" t="str">
        <f>INDEX(Reference_Tables!$D$11:$D$36,MATCH(LoanData[[#This Row],[Branch]],Reference_Tables!$A$11:$A$36,0))</f>
        <v>Hetal Patel</v>
      </c>
      <c r="L445" s="35"/>
    </row>
    <row r="446" spans="2:12" ht="15.6" x14ac:dyDescent="0.3">
      <c r="B446" s="15">
        <f>DATEDIF(Loan_Data!K:K,Loan_Data!L:L,"D")</f>
        <v>17</v>
      </c>
      <c r="C446" s="15">
        <f ca="1">DATEDIF(LoanData[[#This Row],[Approval_Date]],TODAY(),"M")</f>
        <v>51</v>
      </c>
      <c r="D446" s="31">
        <f>EDATE(LoanData[[#This Row],[Approval_Date]],LoanData[[#This Row],[Loan_Term_Months]])</f>
        <v>48342</v>
      </c>
      <c r="E446" t="str">
        <f t="shared" ca="1" si="6"/>
        <v>NO</v>
      </c>
      <c r="F446" s="33">
        <f>IFERROR(LoanData[[#This Row],[EMI]]/LoanData[[#This Row],[Monthly_Income]]*100," ")</f>
        <v>20.849312428593059</v>
      </c>
      <c r="G446" t="str" cm="1">
        <f t="array" ref="G446">_xlfn.IFS(F446&gt;40, "High DTI Risk",F446&gt;=25, "Moderate DTI",F446&lt;25, "Low DTI")</f>
        <v>Low DTI</v>
      </c>
      <c r="H446" t="str" cm="1">
        <f t="array" ref="H4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446" t="str">
        <f>_xlfn.XLOOKUP(H446,Reference_Tables!$B$2:$B$7,Reference_Tables!$C$2:$C$7,,0,1)</f>
        <v>UC</v>
      </c>
      <c r="J446" t="str">
        <f>INDEX(Reference_Tables!$D$11:$D$36,MATCH(LoanData[[#This Row],[Branch]],Reference_Tables!$A$11:$A$36,0))</f>
        <v>Suresh Menon</v>
      </c>
      <c r="L446" s="35"/>
    </row>
    <row r="447" spans="2:12" ht="15.6" x14ac:dyDescent="0.3">
      <c r="B447" s="15">
        <f>DATEDIF(Loan_Data!K:K,Loan_Data!L:L,"D")</f>
        <v>11</v>
      </c>
      <c r="C447" s="15">
        <f ca="1">DATEDIF(LoanData[[#This Row],[Approval_Date]],TODAY(),"M")</f>
        <v>59</v>
      </c>
      <c r="D447" s="31">
        <f>EDATE(LoanData[[#This Row],[Approval_Date]],LoanData[[#This Row],[Loan_Term_Months]])</f>
        <v>48103</v>
      </c>
      <c r="E447" t="str">
        <f t="shared" ca="1" si="6"/>
        <v>NO</v>
      </c>
      <c r="F447" s="33">
        <f>IFERROR(LoanData[[#This Row],[EMI]]/LoanData[[#This Row],[Monthly_Income]]*100," ")</f>
        <v>2.2370231107850329</v>
      </c>
      <c r="G447" t="str" cm="1">
        <f t="array" ref="G447">_xlfn.IFS(F447&gt;40, "High DTI Risk",F447&gt;=25, "Moderate DTI",F447&lt;25, "Low DTI")</f>
        <v>Low DTI</v>
      </c>
      <c r="H447" t="str" cm="1">
        <f t="array" ref="H4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47" t="str">
        <f>_xlfn.XLOOKUP(H447,Reference_Tables!$B$2:$B$7,Reference_Tables!$C$2:$C$7,,0,1)</f>
        <v>VHR</v>
      </c>
      <c r="J447" t="str">
        <f>INDEX(Reference_Tables!$D$11:$D$36,MATCH(LoanData[[#This Row],[Branch]],Reference_Tables!$A$11:$A$36,0))</f>
        <v>Sandeep Saxena</v>
      </c>
      <c r="L447" s="35"/>
    </row>
    <row r="448" spans="2:12" ht="15.6" x14ac:dyDescent="0.3">
      <c r="B448" s="15">
        <f>DATEDIF(Loan_Data!K:K,Loan_Data!L:L,"D")</f>
        <v>19</v>
      </c>
      <c r="C448" s="15">
        <f ca="1">DATEDIF(LoanData[[#This Row],[Approval_Date]],TODAY(),"M")</f>
        <v>40</v>
      </c>
      <c r="D448" s="31">
        <f>EDATE(LoanData[[#This Row],[Approval_Date]],LoanData[[#This Row],[Loan_Term_Months]])</f>
        <v>45760</v>
      </c>
      <c r="E448" t="str">
        <f t="shared" ca="1" si="6"/>
        <v>YES</v>
      </c>
      <c r="F448" s="33">
        <f>IFERROR(LoanData[[#This Row],[EMI]]/LoanData[[#This Row],[Monthly_Income]]*100," ")</f>
        <v>28.875928889905111</v>
      </c>
      <c r="G448" t="str" cm="1">
        <f t="array" ref="G448">_xlfn.IFS(F448&gt;40, "High DTI Risk",F448&gt;=25, "Moderate DTI",F448&lt;25, "Low DTI")</f>
        <v>Moderate DTI</v>
      </c>
      <c r="H448" t="str" cm="1">
        <f t="array" ref="H4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48" t="str">
        <f>_xlfn.XLOOKUP(H448,Reference_Tables!$B$2:$B$7,Reference_Tables!$C$2:$C$7,,0,1)</f>
        <v>VHR</v>
      </c>
      <c r="J448" t="str">
        <f>INDEX(Reference_Tables!$D$11:$D$36,MATCH(LoanData[[#This Row],[Branch]],Reference_Tables!$A$11:$A$36,0))</f>
        <v>Anil Mishra</v>
      </c>
      <c r="L448" s="35"/>
    </row>
    <row r="449" spans="2:12" ht="15.6" x14ac:dyDescent="0.3">
      <c r="B449" s="15">
        <f>DATEDIF(Loan_Data!K:K,Loan_Data!L:L,"D")</f>
        <v>3</v>
      </c>
      <c r="C449" s="15">
        <f ca="1">DATEDIF(LoanData[[#This Row],[Approval_Date]],TODAY(),"M")</f>
        <v>56</v>
      </c>
      <c r="D449" s="31">
        <f>EDATE(LoanData[[#This Row],[Approval_Date]],LoanData[[#This Row],[Loan_Term_Months]])</f>
        <v>45981</v>
      </c>
      <c r="E449" t="str">
        <f t="shared" ca="1" si="6"/>
        <v>YES</v>
      </c>
      <c r="F449" s="33">
        <f>IFERROR(LoanData[[#This Row],[EMI]]/LoanData[[#This Row],[Monthly_Income]]*100," ")</f>
        <v>1.8151721827807914</v>
      </c>
      <c r="G449" t="str" cm="1">
        <f t="array" ref="G449">_xlfn.IFS(F449&gt;40, "High DTI Risk",F449&gt;=25, "Moderate DTI",F449&lt;25, "Low DTI")</f>
        <v>Low DTI</v>
      </c>
      <c r="H449" t="str" cm="1">
        <f t="array" ref="H4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49" t="str">
        <f>_xlfn.XLOOKUP(H449,Reference_Tables!$B$2:$B$7,Reference_Tables!$C$2:$C$7,,0,1)</f>
        <v>VHR</v>
      </c>
      <c r="J449" t="str">
        <f>INDEX(Reference_Tables!$D$11:$D$36,MATCH(LoanData[[#This Row],[Branch]],Reference_Tables!$A$11:$A$36,0))</f>
        <v>Meena Iyer</v>
      </c>
      <c r="L449" s="35"/>
    </row>
    <row r="450" spans="2:12" ht="15.6" x14ac:dyDescent="0.3">
      <c r="B450" s="15">
        <f>DATEDIF(Loan_Data!K:K,Loan_Data!L:L,"D")</f>
        <v>23</v>
      </c>
      <c r="C450" s="15">
        <f ca="1">DATEDIF(LoanData[[#This Row],[Approval_Date]],TODAY(),"M")</f>
        <v>57</v>
      </c>
      <c r="D450" s="31">
        <f>EDATE(LoanData[[#This Row],[Approval_Date]],LoanData[[#This Row],[Loan_Term_Months]])</f>
        <v>46340</v>
      </c>
      <c r="E450" t="str">
        <f t="shared" ref="E450:E513" ca="1" si="7">IF(D450&lt;TODAY(),"YES","NO")</f>
        <v>NO</v>
      </c>
      <c r="F450" s="33">
        <f>IFERROR(LoanData[[#This Row],[EMI]]/LoanData[[#This Row],[Monthly_Income]]*100," ")</f>
        <v>1.725294806884023</v>
      </c>
      <c r="G450" t="str" cm="1">
        <f t="array" ref="G450">_xlfn.IFS(F450&gt;40, "High DTI Risk",F450&gt;=25, "Moderate DTI",F450&lt;25, "Low DTI")</f>
        <v>Low DTI</v>
      </c>
      <c r="H450" t="str" cm="1">
        <f t="array" ref="H4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50" t="str">
        <f>_xlfn.XLOOKUP(H450,Reference_Tables!$B$2:$B$7,Reference_Tables!$C$2:$C$7,,0,1)</f>
        <v>MR</v>
      </c>
      <c r="J450" t="str">
        <f>INDEX(Reference_Tables!$D$11:$D$36,MATCH(LoanData[[#This Row],[Branch]],Reference_Tables!$A$11:$A$36,0))</f>
        <v>Debashis Das</v>
      </c>
      <c r="L450" s="35"/>
    </row>
    <row r="451" spans="2:12" ht="15.6" x14ac:dyDescent="0.3">
      <c r="B451" s="15">
        <f>DATEDIF(Loan_Data!K:K,Loan_Data!L:L,"D")</f>
        <v>13</v>
      </c>
      <c r="C451" s="15">
        <f ca="1">DATEDIF(LoanData[[#This Row],[Approval_Date]],TODAY(),"M")</f>
        <v>49</v>
      </c>
      <c r="D451" s="31">
        <f>EDATE(LoanData[[#This Row],[Approval_Date]],LoanData[[#This Row],[Loan_Term_Months]])</f>
        <v>45117</v>
      </c>
      <c r="E451" t="str">
        <f t="shared" ca="1" si="7"/>
        <v>YES</v>
      </c>
      <c r="F451" s="33">
        <f>IFERROR(LoanData[[#This Row],[EMI]]/LoanData[[#This Row],[Monthly_Income]]*100," ")</f>
        <v>11.101367587291227</v>
      </c>
      <c r="G451" t="str" cm="1">
        <f t="array" ref="G451">_xlfn.IFS(F451&gt;40, "High DTI Risk",F451&gt;=25, "Moderate DTI",F451&lt;25, "Low DTI")</f>
        <v>Low DTI</v>
      </c>
      <c r="H451" t="str" cm="1">
        <f t="array" ref="H4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51" t="str">
        <f>_xlfn.XLOOKUP(H451,Reference_Tables!$B$2:$B$7,Reference_Tables!$C$2:$C$7,,0,1)</f>
        <v>HR</v>
      </c>
      <c r="J451" t="str">
        <f>INDEX(Reference_Tables!$D$11:$D$36,MATCH(LoanData[[#This Row],[Branch]],Reference_Tables!$A$11:$A$36,0))</f>
        <v>Priya Yadav</v>
      </c>
      <c r="L451" s="35"/>
    </row>
    <row r="452" spans="2:12" ht="15.6" x14ac:dyDescent="0.3">
      <c r="B452" s="15">
        <f>DATEDIF(Loan_Data!K:K,Loan_Data!L:L,"D")</f>
        <v>20</v>
      </c>
      <c r="C452" s="15">
        <f ca="1">DATEDIF(LoanData[[#This Row],[Approval_Date]],TODAY(),"M")</f>
        <v>45</v>
      </c>
      <c r="D452" s="31">
        <f>EDATE(LoanData[[#This Row],[Approval_Date]],LoanData[[#This Row],[Loan_Term_Months]])</f>
        <v>50344</v>
      </c>
      <c r="E452" t="str">
        <f t="shared" ca="1" si="7"/>
        <v>NO</v>
      </c>
      <c r="F452" s="33">
        <f>IFERROR(LoanData[[#This Row],[EMI]]/LoanData[[#This Row],[Monthly_Income]]*100," ")</f>
        <v>3.6357641964373593</v>
      </c>
      <c r="G452" t="str" cm="1">
        <f t="array" ref="G452">_xlfn.IFS(F452&gt;40, "High DTI Risk",F452&gt;=25, "Moderate DTI",F452&lt;25, "Low DTI")</f>
        <v>Low DTI</v>
      </c>
      <c r="H452" t="str" cm="1">
        <f t="array" ref="H4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52" t="str">
        <f>_xlfn.XLOOKUP(H452,Reference_Tables!$B$2:$B$7,Reference_Tables!$C$2:$C$7,,0,1)</f>
        <v>LR</v>
      </c>
      <c r="J452" t="str">
        <f>INDEX(Reference_Tables!$D$11:$D$36,MATCH(LoanData[[#This Row],[Branch]],Reference_Tables!$A$11:$A$36,0))</f>
        <v>Anil Mishra</v>
      </c>
      <c r="L452" s="35"/>
    </row>
    <row r="453" spans="2:12" ht="15.6" x14ac:dyDescent="0.3">
      <c r="B453" s="15">
        <f>DATEDIF(Loan_Data!K:K,Loan_Data!L:L,"D")</f>
        <v>14</v>
      </c>
      <c r="C453" s="15">
        <f ca="1">DATEDIF(LoanData[[#This Row],[Approval_Date]],TODAY(),"M")</f>
        <v>40</v>
      </c>
      <c r="D453" s="31">
        <f>EDATE(LoanData[[#This Row],[Approval_Date]],LoanData[[#This Row],[Loan_Term_Months]])</f>
        <v>47572</v>
      </c>
      <c r="E453" t="str">
        <f t="shared" ca="1" si="7"/>
        <v>NO</v>
      </c>
      <c r="F453" s="33">
        <f>IFERROR(LoanData[[#This Row],[EMI]]/LoanData[[#This Row],[Monthly_Income]]*100," ")</f>
        <v>8.5316570834551548</v>
      </c>
      <c r="G453" t="str" cm="1">
        <f t="array" ref="G453">_xlfn.IFS(F453&gt;40, "High DTI Risk",F453&gt;=25, "Moderate DTI",F453&lt;25, "Low DTI")</f>
        <v>Low DTI</v>
      </c>
      <c r="H453" t="str" cm="1">
        <f t="array" ref="H4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53" t="str">
        <f>_xlfn.XLOOKUP(H453,Reference_Tables!$B$2:$B$7,Reference_Tables!$C$2:$C$7,,0,1)</f>
        <v>LR</v>
      </c>
      <c r="J453" t="str">
        <f>INDEX(Reference_Tables!$D$11:$D$36,MATCH(LoanData[[#This Row],[Branch]],Reference_Tables!$A$11:$A$36,0))</f>
        <v>Arvind Pillai</v>
      </c>
      <c r="L453" s="35"/>
    </row>
    <row r="454" spans="2:12" ht="15.6" x14ac:dyDescent="0.3">
      <c r="B454" s="15">
        <f>DATEDIF(Loan_Data!K:K,Loan_Data!L:L,"D")</f>
        <v>22</v>
      </c>
      <c r="C454" s="15">
        <f ca="1">DATEDIF(LoanData[[#This Row],[Approval_Date]],TODAY(),"M")</f>
        <v>36</v>
      </c>
      <c r="D454" s="31">
        <f>EDATE(LoanData[[#This Row],[Approval_Date]],LoanData[[#This Row],[Loan_Term_Months]])</f>
        <v>45498</v>
      </c>
      <c r="E454" t="str">
        <f t="shared" ca="1" si="7"/>
        <v>YES</v>
      </c>
      <c r="F454" s="33">
        <f>IFERROR(LoanData[[#This Row],[EMI]]/LoanData[[#This Row],[Monthly_Income]]*100," ")</f>
        <v>63.200888728323704</v>
      </c>
      <c r="G454" t="str" cm="1">
        <f t="array" ref="G454">_xlfn.IFS(F454&gt;40, "High DTI Risk",F454&gt;=25, "Moderate DTI",F454&lt;25, "Low DTI")</f>
        <v>High DTI Risk</v>
      </c>
      <c r="H454" t="str" cm="1">
        <f t="array" ref="H4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54" t="str">
        <f>_xlfn.XLOOKUP(H454,Reference_Tables!$B$2:$B$7,Reference_Tables!$C$2:$C$7,,0,1)</f>
        <v>VHR</v>
      </c>
      <c r="J454" t="str">
        <f>INDEX(Reference_Tables!$D$11:$D$36,MATCH(LoanData[[#This Row],[Branch]],Reference_Tables!$A$11:$A$36,0))</f>
        <v>Hetal Patel</v>
      </c>
      <c r="L454" s="35"/>
    </row>
    <row r="455" spans="2:12" ht="15.6" x14ac:dyDescent="0.3">
      <c r="B455" s="15">
        <f>DATEDIF(Loan_Data!K:K,Loan_Data!L:L,"D")</f>
        <v>17</v>
      </c>
      <c r="C455" s="15">
        <f ca="1">DATEDIF(LoanData[[#This Row],[Approval_Date]],TODAY(),"M")</f>
        <v>64</v>
      </c>
      <c r="D455" s="31">
        <f>EDATE(LoanData[[#This Row],[Approval_Date]],LoanData[[#This Row],[Loan_Term_Months]])</f>
        <v>49767</v>
      </c>
      <c r="E455" t="str">
        <f t="shared" ca="1" si="7"/>
        <v>NO</v>
      </c>
      <c r="F455" s="33">
        <f>IFERROR(LoanData[[#This Row],[EMI]]/LoanData[[#This Row],[Monthly_Income]]*100," ")</f>
        <v>1.0272305606431817</v>
      </c>
      <c r="G455" t="str" cm="1">
        <f t="array" ref="G455">_xlfn.IFS(F455&gt;40, "High DTI Risk",F455&gt;=25, "Moderate DTI",F455&lt;25, "Low DTI")</f>
        <v>Low DTI</v>
      </c>
      <c r="H455" t="str" cm="1">
        <f t="array" ref="H4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55" t="str">
        <f>_xlfn.XLOOKUP(H455,Reference_Tables!$B$2:$B$7,Reference_Tables!$C$2:$C$7,,0,1)</f>
        <v>MR</v>
      </c>
      <c r="J455" t="str">
        <f>INDEX(Reference_Tables!$D$11:$D$36,MATCH(LoanData[[#This Row],[Branch]],Reference_Tables!$A$11:$A$36,0))</f>
        <v>Tapan Panda</v>
      </c>
      <c r="L455" s="35"/>
    </row>
    <row r="456" spans="2:12" ht="15.6" x14ac:dyDescent="0.3">
      <c r="B456" s="15">
        <f>DATEDIF(Loan_Data!K:K,Loan_Data!L:L,"D")</f>
        <v>16</v>
      </c>
      <c r="C456" s="15">
        <f ca="1">DATEDIF(LoanData[[#This Row],[Approval_Date]],TODAY(),"M")</f>
        <v>46</v>
      </c>
      <c r="D456" s="31">
        <f>EDATE(LoanData[[#This Row],[Approval_Date]],LoanData[[#This Row],[Loan_Term_Months]])</f>
        <v>46662</v>
      </c>
      <c r="E456" t="str">
        <f t="shared" ca="1" si="7"/>
        <v>NO</v>
      </c>
      <c r="F456" s="33">
        <f>IFERROR(LoanData[[#This Row],[EMI]]/LoanData[[#This Row],[Monthly_Income]]*100," ")</f>
        <v>8.5349398851537259</v>
      </c>
      <c r="G456" t="str" cm="1">
        <f t="array" ref="G456">_xlfn.IFS(F456&gt;40, "High DTI Risk",F456&gt;=25, "Moderate DTI",F456&lt;25, "Low DTI")</f>
        <v>Low DTI</v>
      </c>
      <c r="H456" t="str" cm="1">
        <f t="array" ref="H4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56" t="str">
        <f>_xlfn.XLOOKUP(H456,Reference_Tables!$B$2:$B$7,Reference_Tables!$C$2:$C$7,,0,1)</f>
        <v>VHR</v>
      </c>
      <c r="J456" t="str">
        <f>INDEX(Reference_Tables!$D$11:$D$36,MATCH(LoanData[[#This Row],[Branch]],Reference_Tables!$A$11:$A$36,0))</f>
        <v>Arvind Pillai</v>
      </c>
      <c r="L456" s="35"/>
    </row>
    <row r="457" spans="2:12" ht="15.6" x14ac:dyDescent="0.3">
      <c r="B457" s="15">
        <f>DATEDIF(Loan_Data!K:K,Loan_Data!L:L,"D")</f>
        <v>26</v>
      </c>
      <c r="C457" s="15">
        <f ca="1">DATEDIF(LoanData[[#This Row],[Approval_Date]],TODAY(),"M")</f>
        <v>53</v>
      </c>
      <c r="D457" s="31">
        <f>EDATE(LoanData[[#This Row],[Approval_Date]],LoanData[[#This Row],[Loan_Term_Months]])</f>
        <v>45733</v>
      </c>
      <c r="E457" t="str">
        <f t="shared" ca="1" si="7"/>
        <v>YES</v>
      </c>
      <c r="F457" s="33">
        <f>IFERROR(LoanData[[#This Row],[EMI]]/LoanData[[#This Row],[Monthly_Income]]*100," ")</f>
        <v>5.5012619535040237</v>
      </c>
      <c r="G457" t="str" cm="1">
        <f t="array" ref="G457">_xlfn.IFS(F457&gt;40, "High DTI Risk",F457&gt;=25, "Moderate DTI",F457&lt;25, "Low DTI")</f>
        <v>Low DTI</v>
      </c>
      <c r="H457" t="str" cm="1">
        <f t="array" ref="H4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57" t="str">
        <f>_xlfn.XLOOKUP(H457,Reference_Tables!$B$2:$B$7,Reference_Tables!$C$2:$C$7,,0,1)</f>
        <v>VHR</v>
      </c>
      <c r="J457" t="str">
        <f>INDEX(Reference_Tables!$D$11:$D$36,MATCH(LoanData[[#This Row],[Branch]],Reference_Tables!$A$11:$A$36,0))</f>
        <v>Sandeep Saxena</v>
      </c>
      <c r="L457" s="35"/>
    </row>
    <row r="458" spans="2:12" ht="15.6" x14ac:dyDescent="0.3">
      <c r="B458" s="15">
        <f>DATEDIF(Loan_Data!K:K,Loan_Data!L:L,"D")</f>
        <v>24</v>
      </c>
      <c r="C458" s="15">
        <f ca="1">DATEDIF(LoanData[[#This Row],[Approval_Date]],TODAY(),"M")</f>
        <v>59</v>
      </c>
      <c r="D458" s="31">
        <f>EDATE(LoanData[[#This Row],[Approval_Date]],LoanData[[#This Row],[Loan_Term_Months]])</f>
        <v>45157</v>
      </c>
      <c r="E458" t="str">
        <f t="shared" ca="1" si="7"/>
        <v>YES</v>
      </c>
      <c r="F458" s="33">
        <f>IFERROR(LoanData[[#This Row],[EMI]]/LoanData[[#This Row],[Monthly_Income]]*100," ")</f>
        <v>11.111542966670216</v>
      </c>
      <c r="G458" t="str" cm="1">
        <f t="array" ref="G458">_xlfn.IFS(F458&gt;40, "High DTI Risk",F458&gt;=25, "Moderate DTI",F458&lt;25, "Low DTI")</f>
        <v>Low DTI</v>
      </c>
      <c r="H458" t="str" cm="1">
        <f t="array" ref="H4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58" t="str">
        <f>_xlfn.XLOOKUP(H458,Reference_Tables!$B$2:$B$7,Reference_Tables!$C$2:$C$7,,0,1)</f>
        <v>VHR</v>
      </c>
      <c r="J458" t="str">
        <f>INDEX(Reference_Tables!$D$11:$D$36,MATCH(LoanData[[#This Row],[Branch]],Reference_Tables!$A$11:$A$36,0))</f>
        <v>Santhosh Rao</v>
      </c>
      <c r="L458" s="35"/>
    </row>
    <row r="459" spans="2:12" ht="15.6" x14ac:dyDescent="0.3">
      <c r="B459" s="15">
        <f>DATEDIF(Loan_Data!K:K,Loan_Data!L:L,"D")</f>
        <v>16</v>
      </c>
      <c r="C459" s="15">
        <f ca="1">DATEDIF(LoanData[[#This Row],[Approval_Date]],TODAY(),"M")</f>
        <v>52</v>
      </c>
      <c r="D459" s="31">
        <f>EDATE(LoanData[[#This Row],[Approval_Date]],LoanData[[#This Row],[Loan_Term_Months]])</f>
        <v>45763</v>
      </c>
      <c r="E459" t="str">
        <f t="shared" ca="1" si="7"/>
        <v>YES</v>
      </c>
      <c r="F459" s="33">
        <f>IFERROR(LoanData[[#This Row],[EMI]]/LoanData[[#This Row],[Monthly_Income]]*100," ")</f>
        <v>2.3830381729530354</v>
      </c>
      <c r="G459" t="str" cm="1">
        <f t="array" ref="G459">_xlfn.IFS(F459&gt;40, "High DTI Risk",F459&gt;=25, "Moderate DTI",F459&lt;25, "Low DTI")</f>
        <v>Low DTI</v>
      </c>
      <c r="H459" t="str" cm="1">
        <f t="array" ref="H4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59" t="str">
        <f>_xlfn.XLOOKUP(H459,Reference_Tables!$B$2:$B$7,Reference_Tables!$C$2:$C$7,,0,1)</f>
        <v>LR</v>
      </c>
      <c r="J459" t="str">
        <f>INDEX(Reference_Tables!$D$11:$D$36,MATCH(LoanData[[#This Row],[Branch]],Reference_Tables!$A$11:$A$36,0))</f>
        <v>Sandeep Saxena</v>
      </c>
      <c r="L459" s="35"/>
    </row>
    <row r="460" spans="2:12" ht="15.6" x14ac:dyDescent="0.3">
      <c r="B460" s="15">
        <f>DATEDIF(Loan_Data!K:K,Loan_Data!L:L,"D")</f>
        <v>12</v>
      </c>
      <c r="C460" s="15">
        <f ca="1">DATEDIF(LoanData[[#This Row],[Approval_Date]],TODAY(),"M")</f>
        <v>41</v>
      </c>
      <c r="D460" s="31">
        <f>EDATE(LoanData[[#This Row],[Approval_Date]],LoanData[[#This Row],[Loan_Term_Months]])</f>
        <v>45366</v>
      </c>
      <c r="E460" t="str">
        <f t="shared" ca="1" si="7"/>
        <v>YES</v>
      </c>
      <c r="F460" s="33">
        <f>IFERROR(LoanData[[#This Row],[EMI]]/LoanData[[#This Row],[Monthly_Income]]*100," ")</f>
        <v>35.806952448074298</v>
      </c>
      <c r="G460" t="str" cm="1">
        <f t="array" ref="G460">_xlfn.IFS(F460&gt;40, "High DTI Risk",F460&gt;=25, "Moderate DTI",F460&lt;25, "Low DTI")</f>
        <v>Moderate DTI</v>
      </c>
      <c r="H460" t="str" cm="1">
        <f t="array" ref="H4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60" t="str">
        <f>_xlfn.XLOOKUP(H460,Reference_Tables!$B$2:$B$7,Reference_Tables!$C$2:$C$7,,0,1)</f>
        <v>VHR</v>
      </c>
      <c r="J460" t="str">
        <f>INDEX(Reference_Tables!$D$11:$D$36,MATCH(LoanData[[#This Row],[Branch]],Reference_Tables!$A$11:$A$36,0))</f>
        <v>Debashis Das</v>
      </c>
      <c r="L460" s="35"/>
    </row>
    <row r="461" spans="2:12" ht="15.6" x14ac:dyDescent="0.3">
      <c r="B461" s="15">
        <f>DATEDIF(Loan_Data!K:K,Loan_Data!L:L,"D")</f>
        <v>7</v>
      </c>
      <c r="C461" s="15">
        <f ca="1">DATEDIF(LoanData[[#This Row],[Approval_Date]],TODAY(),"M")</f>
        <v>66</v>
      </c>
      <c r="D461" s="31">
        <f>EDATE(LoanData[[#This Row],[Approval_Date]],LoanData[[#This Row],[Loan_Term_Months]])</f>
        <v>45316</v>
      </c>
      <c r="E461" t="str">
        <f t="shared" ca="1" si="7"/>
        <v>YES</v>
      </c>
      <c r="F461" s="33">
        <f>IFERROR(LoanData[[#This Row],[EMI]]/LoanData[[#This Row],[Monthly_Income]]*100," ")</f>
        <v>5.5593540152061705</v>
      </c>
      <c r="G461" t="str" cm="1">
        <f t="array" ref="G461">_xlfn.IFS(F461&gt;40, "High DTI Risk",F461&gt;=25, "Moderate DTI",F461&lt;25, "Low DTI")</f>
        <v>Low DTI</v>
      </c>
      <c r="H461" t="str" cm="1">
        <f t="array" ref="H4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61" t="str">
        <f>_xlfn.XLOOKUP(H461,Reference_Tables!$B$2:$B$7,Reference_Tables!$C$2:$C$7,,0,1)</f>
        <v>MR</v>
      </c>
      <c r="J461" t="str">
        <f>INDEX(Reference_Tables!$D$11:$D$36,MATCH(LoanData[[#This Row],[Branch]],Reference_Tables!$A$11:$A$36,0))</f>
        <v>Ananya Sharma</v>
      </c>
      <c r="L461" s="35"/>
    </row>
    <row r="462" spans="2:12" ht="15.6" x14ac:dyDescent="0.3">
      <c r="B462" s="15">
        <f>DATEDIF(Loan_Data!K:K,Loan_Data!L:L,"D")</f>
        <v>10</v>
      </c>
      <c r="C462" s="15">
        <f ca="1">DATEDIF(LoanData[[#This Row],[Approval_Date]],TODAY(),"M")</f>
        <v>67</v>
      </c>
      <c r="D462" s="31">
        <f>EDATE(LoanData[[#This Row],[Approval_Date]],LoanData[[#This Row],[Loan_Term_Months]])</f>
        <v>47865</v>
      </c>
      <c r="E462" t="str">
        <f t="shared" ca="1" si="7"/>
        <v>NO</v>
      </c>
      <c r="F462" s="33">
        <f>IFERROR(LoanData[[#This Row],[EMI]]/LoanData[[#This Row],[Monthly_Income]]*100," ")</f>
        <v>5.0917119904196397</v>
      </c>
      <c r="G462" t="str" cm="1">
        <f t="array" ref="G462">_xlfn.IFS(F462&gt;40, "High DTI Risk",F462&gt;=25, "Moderate DTI",F462&lt;25, "Low DTI")</f>
        <v>Low DTI</v>
      </c>
      <c r="H462" t="str" cm="1">
        <f t="array" ref="H4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62" t="str">
        <f>_xlfn.XLOOKUP(H462,Reference_Tables!$B$2:$B$7,Reference_Tables!$C$2:$C$7,,0,1)</f>
        <v>VHR</v>
      </c>
      <c r="J462" t="str">
        <f>INDEX(Reference_Tables!$D$11:$D$36,MATCH(LoanData[[#This Row],[Branch]],Reference_Tables!$A$11:$A$36,0))</f>
        <v>Meena Iyer</v>
      </c>
      <c r="L462" s="35"/>
    </row>
    <row r="463" spans="2:12" ht="15.6" x14ac:dyDescent="0.3">
      <c r="B463" s="15">
        <f>DATEDIF(Loan_Data!K:K,Loan_Data!L:L,"D")</f>
        <v>24</v>
      </c>
      <c r="C463" s="15">
        <f ca="1">DATEDIF(LoanData[[#This Row],[Approval_Date]],TODAY(),"M")</f>
        <v>41</v>
      </c>
      <c r="D463" s="31">
        <f>EDATE(LoanData[[#This Row],[Approval_Date]],LoanData[[#This Row],[Loan_Term_Months]])</f>
        <v>45350</v>
      </c>
      <c r="E463" t="str">
        <f t="shared" ca="1" si="7"/>
        <v>YES</v>
      </c>
      <c r="F463" s="33">
        <f>IFERROR(LoanData[[#This Row],[EMI]]/LoanData[[#This Row],[Monthly_Income]]*100," ")</f>
        <v>5.9758723855387057</v>
      </c>
      <c r="G463" t="str" cm="1">
        <f t="array" ref="G463">_xlfn.IFS(F463&gt;40, "High DTI Risk",F463&gt;=25, "Moderate DTI",F463&lt;25, "Low DTI")</f>
        <v>Low DTI</v>
      </c>
      <c r="H463" t="str" cm="1">
        <f t="array" ref="H4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63" t="str">
        <f>_xlfn.XLOOKUP(H463,Reference_Tables!$B$2:$B$7,Reference_Tables!$C$2:$C$7,,0,1)</f>
        <v>MR</v>
      </c>
      <c r="J463" t="str">
        <f>INDEX(Reference_Tables!$D$11:$D$36,MATCH(LoanData[[#This Row],[Branch]],Reference_Tables!$A$11:$A$36,0))</f>
        <v>Hetal Patel</v>
      </c>
      <c r="L463" s="35"/>
    </row>
    <row r="464" spans="2:12" ht="15.6" x14ac:dyDescent="0.3">
      <c r="B464" s="15">
        <f>DATEDIF(Loan_Data!K:K,Loan_Data!L:L,"D")</f>
        <v>29</v>
      </c>
      <c r="C464" s="15">
        <f ca="1">DATEDIF(LoanData[[#This Row],[Approval_Date]],TODAY(),"M")</f>
        <v>38</v>
      </c>
      <c r="D464" s="31">
        <f>EDATE(LoanData[[#This Row],[Approval_Date]],LoanData[[#This Row],[Loan_Term_Months]])</f>
        <v>47650</v>
      </c>
      <c r="E464" t="str">
        <f t="shared" ca="1" si="7"/>
        <v>NO</v>
      </c>
      <c r="F464" s="33">
        <f>IFERROR(LoanData[[#This Row],[EMI]]/LoanData[[#This Row],[Monthly_Income]]*100," ")</f>
        <v>1.4550048400479396</v>
      </c>
      <c r="G464" t="str" cm="1">
        <f t="array" ref="G464">_xlfn.IFS(F464&gt;40, "High DTI Risk",F464&gt;=25, "Moderate DTI",F464&lt;25, "Low DTI")</f>
        <v>Low DTI</v>
      </c>
      <c r="H464" t="str" cm="1">
        <f t="array" ref="H4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64" t="str">
        <f>_xlfn.XLOOKUP(H464,Reference_Tables!$B$2:$B$7,Reference_Tables!$C$2:$C$7,,0,1)</f>
        <v>LR</v>
      </c>
      <c r="J464" t="str">
        <f>INDEX(Reference_Tables!$D$11:$D$36,MATCH(LoanData[[#This Row],[Branch]],Reference_Tables!$A$11:$A$36,0))</f>
        <v>Sachin Deshpande</v>
      </c>
      <c r="L464" s="35"/>
    </row>
    <row r="465" spans="2:12" ht="15.6" x14ac:dyDescent="0.3">
      <c r="B465" s="15">
        <f>DATEDIF(Loan_Data!K:K,Loan_Data!L:L,"D")</f>
        <v>19</v>
      </c>
      <c r="C465" s="15">
        <f ca="1">DATEDIF(LoanData[[#This Row],[Approval_Date]],TODAY(),"M")</f>
        <v>40</v>
      </c>
      <c r="D465" s="31">
        <f>EDATE(LoanData[[#This Row],[Approval_Date]],LoanData[[#This Row],[Loan_Term_Months]])</f>
        <v>46120</v>
      </c>
      <c r="E465" t="str">
        <f t="shared" ca="1" si="7"/>
        <v>YES</v>
      </c>
      <c r="F465" s="33">
        <f>IFERROR(LoanData[[#This Row],[EMI]]/LoanData[[#This Row],[Monthly_Income]]*100," ")</f>
        <v>22.176221689575893</v>
      </c>
      <c r="G465" t="str" cm="1">
        <f t="array" ref="G465">_xlfn.IFS(F465&gt;40, "High DTI Risk",F465&gt;=25, "Moderate DTI",F465&lt;25, "Low DTI")</f>
        <v>Low DTI</v>
      </c>
      <c r="H465" t="str" cm="1">
        <f t="array" ref="H4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65" t="str">
        <f>_xlfn.XLOOKUP(H465,Reference_Tables!$B$2:$B$7,Reference_Tables!$C$2:$C$7,,0,1)</f>
        <v>LR</v>
      </c>
      <c r="J465" t="str">
        <f>INDEX(Reference_Tables!$D$11:$D$36,MATCH(LoanData[[#This Row],[Branch]],Reference_Tables!$A$11:$A$36,0))</f>
        <v>Priyanka Gupta</v>
      </c>
      <c r="L465" s="35"/>
    </row>
    <row r="466" spans="2:12" ht="15.6" x14ac:dyDescent="0.3">
      <c r="B466" s="15">
        <f>DATEDIF(Loan_Data!K:K,Loan_Data!L:L,"D")</f>
        <v>6</v>
      </c>
      <c r="C466" s="15">
        <f ca="1">DATEDIF(LoanData[[#This Row],[Approval_Date]],TODAY(),"M")</f>
        <v>65</v>
      </c>
      <c r="D466" s="31">
        <f>EDATE(LoanData[[#This Row],[Approval_Date]],LoanData[[#This Row],[Loan_Term_Months]])</f>
        <v>45728</v>
      </c>
      <c r="E466" t="str">
        <f t="shared" ca="1" si="7"/>
        <v>YES</v>
      </c>
      <c r="F466" s="33">
        <f>IFERROR(LoanData[[#This Row],[EMI]]/LoanData[[#This Row],[Monthly_Income]]*100," ")</f>
        <v>5.6717313315848177</v>
      </c>
      <c r="G466" t="str" cm="1">
        <f t="array" ref="G466">_xlfn.IFS(F466&gt;40, "High DTI Risk",F466&gt;=25, "Moderate DTI",F466&lt;25, "Low DTI")</f>
        <v>Low DTI</v>
      </c>
      <c r="H466" t="str" cm="1">
        <f t="array" ref="H4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66" t="str">
        <f>_xlfn.XLOOKUP(H466,Reference_Tables!$B$2:$B$7,Reference_Tables!$C$2:$C$7,,0,1)</f>
        <v>VHR</v>
      </c>
      <c r="J466" t="str">
        <f>INDEX(Reference_Tables!$D$11:$D$36,MATCH(LoanData[[#This Row],[Branch]],Reference_Tables!$A$11:$A$36,0))</f>
        <v>Kavita Joshi</v>
      </c>
      <c r="L466" s="35"/>
    </row>
    <row r="467" spans="2:12" ht="15.6" x14ac:dyDescent="0.3">
      <c r="B467" s="15">
        <f>DATEDIF(Loan_Data!K:K,Loan_Data!L:L,"D")</f>
        <v>10</v>
      </c>
      <c r="C467" s="15">
        <f ca="1">DATEDIF(LoanData[[#This Row],[Approval_Date]],TODAY(),"M")</f>
        <v>57</v>
      </c>
      <c r="D467" s="31">
        <f>EDATE(LoanData[[#This Row],[Approval_Date]],LoanData[[#This Row],[Loan_Term_Months]])</f>
        <v>45587</v>
      </c>
      <c r="E467" t="str">
        <f t="shared" ca="1" si="7"/>
        <v>YES</v>
      </c>
      <c r="F467" s="33">
        <f>IFERROR(LoanData[[#This Row],[EMI]]/LoanData[[#This Row],[Monthly_Income]]*100," ")</f>
        <v>7.9156569647482327</v>
      </c>
      <c r="G467" t="str" cm="1">
        <f t="array" ref="G467">_xlfn.IFS(F467&gt;40, "High DTI Risk",F467&gt;=25, "Moderate DTI",F467&lt;25, "Low DTI")</f>
        <v>Low DTI</v>
      </c>
      <c r="H467" t="str" cm="1">
        <f t="array" ref="H4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67" t="str">
        <f>_xlfn.XLOOKUP(H467,Reference_Tables!$B$2:$B$7,Reference_Tables!$C$2:$C$7,,0,1)</f>
        <v>MR</v>
      </c>
      <c r="J467" t="str">
        <f>INDEX(Reference_Tables!$D$11:$D$36,MATCH(LoanData[[#This Row],[Branch]],Reference_Tables!$A$11:$A$36,0))</f>
        <v>Suman Tiwari</v>
      </c>
      <c r="L467" s="35"/>
    </row>
    <row r="468" spans="2:12" ht="15.6" x14ac:dyDescent="0.3">
      <c r="B468" s="15">
        <f>DATEDIF(Loan_Data!K:K,Loan_Data!L:L,"D")</f>
        <v>17</v>
      </c>
      <c r="C468" s="15">
        <f ca="1">DATEDIF(LoanData[[#This Row],[Approval_Date]],TODAY(),"M")</f>
        <v>60</v>
      </c>
      <c r="D468" s="31">
        <f>EDATE(LoanData[[#This Row],[Approval_Date]],LoanData[[#This Row],[Loan_Term_Months]])</f>
        <v>51718</v>
      </c>
      <c r="E468" t="str">
        <f t="shared" ca="1" si="7"/>
        <v>NO</v>
      </c>
      <c r="F468" s="33">
        <f>IFERROR(LoanData[[#This Row],[EMI]]/LoanData[[#This Row],[Monthly_Income]]*100," ")</f>
        <v>8.6853161747951759</v>
      </c>
      <c r="G468" t="str" cm="1">
        <f t="array" ref="G468">_xlfn.IFS(F468&gt;40, "High DTI Risk",F468&gt;=25, "Moderate DTI",F468&lt;25, "Low DTI")</f>
        <v>Low DTI</v>
      </c>
      <c r="H468" t="str" cm="1">
        <f t="array" ref="H4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68" t="str">
        <f>_xlfn.XLOOKUP(H468,Reference_Tables!$B$2:$B$7,Reference_Tables!$C$2:$C$7,,0,1)</f>
        <v>LR</v>
      </c>
      <c r="J468" t="str">
        <f>INDEX(Reference_Tables!$D$11:$D$36,MATCH(LoanData[[#This Row],[Branch]],Reference_Tables!$A$11:$A$36,0))</f>
        <v>Santhosh Rao</v>
      </c>
      <c r="L468" s="35"/>
    </row>
    <row r="469" spans="2:12" ht="15.6" x14ac:dyDescent="0.3">
      <c r="B469" s="15">
        <f>DATEDIF(Loan_Data!K:K,Loan_Data!L:L,"D")</f>
        <v>11</v>
      </c>
      <c r="C469" s="15">
        <f ca="1">DATEDIF(LoanData[[#This Row],[Approval_Date]],TODAY(),"M")</f>
        <v>62</v>
      </c>
      <c r="D469" s="31">
        <f>EDATE(LoanData[[#This Row],[Approval_Date]],LoanData[[#This Row],[Loan_Term_Months]])</f>
        <v>45806</v>
      </c>
      <c r="E469" t="str">
        <f t="shared" ca="1" si="7"/>
        <v>YES</v>
      </c>
      <c r="F469" s="33">
        <f>IFERROR(LoanData[[#This Row],[EMI]]/LoanData[[#This Row],[Monthly_Income]]*100," ")</f>
        <v>2.1350331873545918</v>
      </c>
      <c r="G469" t="str" cm="1">
        <f t="array" ref="G469">_xlfn.IFS(F469&gt;40, "High DTI Risk",F469&gt;=25, "Moderate DTI",F469&lt;25, "Low DTI")</f>
        <v>Low DTI</v>
      </c>
      <c r="H469" t="str" cm="1">
        <f t="array" ref="H4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69" t="str">
        <f>_xlfn.XLOOKUP(H469,Reference_Tables!$B$2:$B$7,Reference_Tables!$C$2:$C$7,,0,1)</f>
        <v>LR</v>
      </c>
      <c r="J469" t="str">
        <f>INDEX(Reference_Tables!$D$11:$D$36,MATCH(LoanData[[#This Row],[Branch]],Reference_Tables!$A$11:$A$36,0))</f>
        <v>Jigar Mehta</v>
      </c>
      <c r="L469" s="35"/>
    </row>
    <row r="470" spans="2:12" ht="15.6" x14ac:dyDescent="0.3">
      <c r="B470" s="15">
        <f>DATEDIF(Loan_Data!K:K,Loan_Data!L:L,"D")</f>
        <v>27</v>
      </c>
      <c r="C470" s="15">
        <f ca="1">DATEDIF(LoanData[[#This Row],[Approval_Date]],TODAY(),"M")</f>
        <v>36</v>
      </c>
      <c r="D470" s="31">
        <f>EDATE(LoanData[[#This Row],[Approval_Date]],LoanData[[#This Row],[Loan_Term_Months]])</f>
        <v>46958</v>
      </c>
      <c r="E470" t="str">
        <f t="shared" ca="1" si="7"/>
        <v>NO</v>
      </c>
      <c r="F470" s="33">
        <f>IFERROR(LoanData[[#This Row],[EMI]]/LoanData[[#This Row],[Monthly_Income]]*100," ")</f>
        <v>42.96555919242244</v>
      </c>
      <c r="G470" t="str" cm="1">
        <f t="array" ref="G470">_xlfn.IFS(F470&gt;40, "High DTI Risk",F470&gt;=25, "Moderate DTI",F470&lt;25, "Low DTI")</f>
        <v>High DTI Risk</v>
      </c>
      <c r="H470" t="str" cm="1">
        <f t="array" ref="H4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70" t="str">
        <f>_xlfn.XLOOKUP(H470,Reference_Tables!$B$2:$B$7,Reference_Tables!$C$2:$C$7,,0,1)</f>
        <v>VHR</v>
      </c>
      <c r="J470" t="str">
        <f>INDEX(Reference_Tables!$D$11:$D$36,MATCH(LoanData[[#This Row],[Branch]],Reference_Tables!$A$11:$A$36,0))</f>
        <v>Meena Iyer</v>
      </c>
      <c r="L470" s="35"/>
    </row>
    <row r="471" spans="2:12" ht="15.6" x14ac:dyDescent="0.3">
      <c r="B471" s="15">
        <f>DATEDIF(Loan_Data!K:K,Loan_Data!L:L,"D")</f>
        <v>12</v>
      </c>
      <c r="C471" s="15">
        <f ca="1">DATEDIF(LoanData[[#This Row],[Approval_Date]],TODAY(),"M")</f>
        <v>47</v>
      </c>
      <c r="D471" s="31">
        <f>EDATE(LoanData[[#This Row],[Approval_Date]],LoanData[[#This Row],[Loan_Term_Months]])</f>
        <v>45526</v>
      </c>
      <c r="E471" t="str">
        <f t="shared" ca="1" si="7"/>
        <v>YES</v>
      </c>
      <c r="F471" s="33">
        <f>IFERROR(LoanData[[#This Row],[EMI]]/LoanData[[#This Row],[Monthly_Income]]*100," ")</f>
        <v>8.3125469301499511</v>
      </c>
      <c r="G471" t="str" cm="1">
        <f t="array" ref="G471">_xlfn.IFS(F471&gt;40, "High DTI Risk",F471&gt;=25, "Moderate DTI",F471&lt;25, "Low DTI")</f>
        <v>Low DTI</v>
      </c>
      <c r="H471" t="str" cm="1">
        <f t="array" ref="H4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71" t="str">
        <f>_xlfn.XLOOKUP(H471,Reference_Tables!$B$2:$B$7,Reference_Tables!$C$2:$C$7,,0,1)</f>
        <v>VHR</v>
      </c>
      <c r="J471" t="str">
        <f>INDEX(Reference_Tables!$D$11:$D$36,MATCH(LoanData[[#This Row],[Branch]],Reference_Tables!$A$11:$A$36,0))</f>
        <v>Amit Kumar</v>
      </c>
      <c r="L471" s="35"/>
    </row>
    <row r="472" spans="2:12" ht="15.6" x14ac:dyDescent="0.3">
      <c r="B472" s="15">
        <f>DATEDIF(Loan_Data!K:K,Loan_Data!L:L,"D")</f>
        <v>3</v>
      </c>
      <c r="C472" s="15">
        <f ca="1">DATEDIF(LoanData[[#This Row],[Approval_Date]],TODAY(),"M")</f>
        <v>64</v>
      </c>
      <c r="D472" s="31">
        <f>EDATE(LoanData[[#This Row],[Approval_Date]],LoanData[[#This Row],[Loan_Term_Months]])</f>
        <v>45372</v>
      </c>
      <c r="E472" t="str">
        <f t="shared" ca="1" si="7"/>
        <v>YES</v>
      </c>
      <c r="F472" s="33">
        <f>IFERROR(LoanData[[#This Row],[EMI]]/LoanData[[#This Row],[Monthly_Income]]*100," ")</f>
        <v>18.571700716021809</v>
      </c>
      <c r="G472" t="str" cm="1">
        <f t="array" ref="G472">_xlfn.IFS(F472&gt;40, "High DTI Risk",F472&gt;=25, "Moderate DTI",F472&lt;25, "Low DTI")</f>
        <v>Low DTI</v>
      </c>
      <c r="H472" t="str" cm="1">
        <f t="array" ref="H4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72" t="str">
        <f>_xlfn.XLOOKUP(H472,Reference_Tables!$B$2:$B$7,Reference_Tables!$C$2:$C$7,,0,1)</f>
        <v>MR</v>
      </c>
      <c r="J472" t="str">
        <f>INDEX(Reference_Tables!$D$11:$D$36,MATCH(LoanData[[#This Row],[Branch]],Reference_Tables!$A$11:$A$36,0))</f>
        <v>Kavita Joshi</v>
      </c>
      <c r="L472" s="35"/>
    </row>
    <row r="473" spans="2:12" ht="15.6" x14ac:dyDescent="0.3">
      <c r="B473" s="15">
        <f>DATEDIF(Loan_Data!K:K,Loan_Data!L:L,"D")</f>
        <v>29</v>
      </c>
      <c r="C473" s="15">
        <f ca="1">DATEDIF(LoanData[[#This Row],[Approval_Date]],TODAY(),"M")</f>
        <v>35</v>
      </c>
      <c r="D473" s="31">
        <f>EDATE(LoanData[[#This Row],[Approval_Date]],LoanData[[#This Row],[Loan_Term_Months]])</f>
        <v>46647</v>
      </c>
      <c r="E473" t="str">
        <f t="shared" ca="1" si="7"/>
        <v>NO</v>
      </c>
      <c r="F473" s="33">
        <f>IFERROR(LoanData[[#This Row],[EMI]]/LoanData[[#This Row],[Monthly_Income]]*100," ")</f>
        <v>6.370550267309949</v>
      </c>
      <c r="G473" t="str" cm="1">
        <f t="array" ref="G473">_xlfn.IFS(F473&gt;40, "High DTI Risk",F473&gt;=25, "Moderate DTI",F473&lt;25, "Low DTI")</f>
        <v>Low DTI</v>
      </c>
      <c r="H473" t="str" cm="1">
        <f t="array" ref="H4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73" t="str">
        <f>_xlfn.XLOOKUP(H473,Reference_Tables!$B$2:$B$7,Reference_Tables!$C$2:$C$7,,0,1)</f>
        <v>LR</v>
      </c>
      <c r="J473" t="str">
        <f>INDEX(Reference_Tables!$D$11:$D$36,MATCH(LoanData[[#This Row],[Branch]],Reference_Tables!$A$11:$A$36,0))</f>
        <v>Suresh Menon</v>
      </c>
      <c r="L473" s="35"/>
    </row>
    <row r="474" spans="2:12" ht="15.6" x14ac:dyDescent="0.3">
      <c r="B474" s="15">
        <f>DATEDIF(Loan_Data!K:K,Loan_Data!L:L,"D")</f>
        <v>21</v>
      </c>
      <c r="C474" s="15">
        <f ca="1">DATEDIF(LoanData[[#This Row],[Approval_Date]],TODAY(),"M")</f>
        <v>48</v>
      </c>
      <c r="D474" s="31">
        <f>EDATE(LoanData[[#This Row],[Approval_Date]],LoanData[[#This Row],[Loan_Term_Months]])</f>
        <v>45884</v>
      </c>
      <c r="E474" t="str">
        <f t="shared" ca="1" si="7"/>
        <v>YES</v>
      </c>
      <c r="F474" s="33">
        <f>IFERROR(LoanData[[#This Row],[EMI]]/LoanData[[#This Row],[Monthly_Income]]*100," ")</f>
        <v>3.6140931662331517</v>
      </c>
      <c r="G474" t="str" cm="1">
        <f t="array" ref="G474">_xlfn.IFS(F474&gt;40, "High DTI Risk",F474&gt;=25, "Moderate DTI",F474&lt;25, "Low DTI")</f>
        <v>Low DTI</v>
      </c>
      <c r="H474" t="str" cm="1">
        <f t="array" ref="H4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74" t="str">
        <f>_xlfn.XLOOKUP(H474,Reference_Tables!$B$2:$B$7,Reference_Tables!$C$2:$C$7,,0,1)</f>
        <v>VHR</v>
      </c>
      <c r="J474" t="str">
        <f>INDEX(Reference_Tables!$D$11:$D$36,MATCH(LoanData[[#This Row],[Branch]],Reference_Tables!$A$11:$A$36,0))</f>
        <v>Rituparna Bora</v>
      </c>
      <c r="L474" s="35"/>
    </row>
    <row r="475" spans="2:12" ht="15.6" x14ac:dyDescent="0.3">
      <c r="B475" s="15">
        <f>DATEDIF(Loan_Data!K:K,Loan_Data!L:L,"D")</f>
        <v>9</v>
      </c>
      <c r="C475" s="15">
        <f ca="1">DATEDIF(LoanData[[#This Row],[Approval_Date]],TODAY(),"M")</f>
        <v>54</v>
      </c>
      <c r="D475" s="31">
        <f>EDATE(LoanData[[#This Row],[Approval_Date]],LoanData[[#This Row],[Loan_Term_Months]])</f>
        <v>48248</v>
      </c>
      <c r="E475" t="str">
        <f t="shared" ca="1" si="7"/>
        <v>NO</v>
      </c>
      <c r="F475" s="33">
        <f>IFERROR(LoanData[[#This Row],[EMI]]/LoanData[[#This Row],[Monthly_Income]]*100," ")</f>
        <v>13.422507065574241</v>
      </c>
      <c r="G475" t="str" cm="1">
        <f t="array" ref="G475">_xlfn.IFS(F475&gt;40, "High DTI Risk",F475&gt;=25, "Moderate DTI",F475&lt;25, "Low DTI")</f>
        <v>Low DTI</v>
      </c>
      <c r="H475" t="str" cm="1">
        <f t="array" ref="H4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75" t="str">
        <f>_xlfn.XLOOKUP(H475,Reference_Tables!$B$2:$B$7,Reference_Tables!$C$2:$C$7,,0,1)</f>
        <v>VHR</v>
      </c>
      <c r="J475" t="str">
        <f>INDEX(Reference_Tables!$D$11:$D$36,MATCH(LoanData[[#This Row],[Branch]],Reference_Tables!$A$11:$A$36,0))</f>
        <v>Ravi Verma</v>
      </c>
      <c r="L475" s="35"/>
    </row>
    <row r="476" spans="2:12" ht="15.6" x14ac:dyDescent="0.3">
      <c r="B476" s="15">
        <f>DATEDIF(Loan_Data!K:K,Loan_Data!L:L,"D")</f>
        <v>6</v>
      </c>
      <c r="C476" s="15">
        <f ca="1">DATEDIF(LoanData[[#This Row],[Approval_Date]],TODAY(),"M")</f>
        <v>63</v>
      </c>
      <c r="D476" s="31">
        <f>EDATE(LoanData[[#This Row],[Approval_Date]],LoanData[[#This Row],[Loan_Term_Months]])</f>
        <v>45057</v>
      </c>
      <c r="E476" t="str">
        <f t="shared" ca="1" si="7"/>
        <v>YES</v>
      </c>
      <c r="F476" s="33">
        <f>IFERROR(LoanData[[#This Row],[EMI]]/LoanData[[#This Row],[Monthly_Income]]*100," ")</f>
        <v>32.199884105395917</v>
      </c>
      <c r="G476" t="str" cm="1">
        <f t="array" ref="G476">_xlfn.IFS(F476&gt;40, "High DTI Risk",F476&gt;=25, "Moderate DTI",F476&lt;25, "Low DTI")</f>
        <v>Moderate DTI</v>
      </c>
      <c r="H476" t="str" cm="1">
        <f t="array" ref="H4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76" t="str">
        <f>_xlfn.XLOOKUP(H476,Reference_Tables!$B$2:$B$7,Reference_Tables!$C$2:$C$7,,0,1)</f>
        <v>HR</v>
      </c>
      <c r="J476" t="str">
        <f>INDEX(Reference_Tables!$D$11:$D$36,MATCH(LoanData[[#This Row],[Branch]],Reference_Tables!$A$11:$A$36,0))</f>
        <v>Priya Yadav</v>
      </c>
      <c r="L476" s="35"/>
    </row>
    <row r="477" spans="2:12" ht="15.6" x14ac:dyDescent="0.3">
      <c r="B477" s="15">
        <f>DATEDIF(Loan_Data!K:K,Loan_Data!L:L,"D")</f>
        <v>8</v>
      </c>
      <c r="C477" s="15">
        <f ca="1">DATEDIF(LoanData[[#This Row],[Approval_Date]],TODAY(),"M")</f>
        <v>45</v>
      </c>
      <c r="D477" s="31">
        <f>EDATE(LoanData[[#This Row],[Approval_Date]],LoanData[[#This Row],[Loan_Term_Months]])</f>
        <v>45247</v>
      </c>
      <c r="E477" t="str">
        <f t="shared" ca="1" si="7"/>
        <v>YES</v>
      </c>
      <c r="F477" s="33">
        <f>IFERROR(LoanData[[#This Row],[EMI]]/LoanData[[#This Row],[Monthly_Income]]*100," ")</f>
        <v>9.016840084787308</v>
      </c>
      <c r="G477" t="str" cm="1">
        <f t="array" ref="G477">_xlfn.IFS(F477&gt;40, "High DTI Risk",F477&gt;=25, "Moderate DTI",F477&lt;25, "Low DTI")</f>
        <v>Low DTI</v>
      </c>
      <c r="H477" t="str" cm="1">
        <f t="array" ref="H4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77" t="str">
        <f>_xlfn.XLOOKUP(H477,Reference_Tables!$B$2:$B$7,Reference_Tables!$C$2:$C$7,,0,1)</f>
        <v>VHR</v>
      </c>
      <c r="J477" t="str">
        <f>INDEX(Reference_Tables!$D$11:$D$36,MATCH(LoanData[[#This Row],[Branch]],Reference_Tables!$A$11:$A$36,0))</f>
        <v>Priyanka Gupta</v>
      </c>
      <c r="L477" s="35"/>
    </row>
    <row r="478" spans="2:12" ht="15.6" x14ac:dyDescent="0.3">
      <c r="B478" s="15">
        <f>DATEDIF(Loan_Data!K:K,Loan_Data!L:L,"D")</f>
        <v>4</v>
      </c>
      <c r="C478" s="15">
        <f ca="1">DATEDIF(LoanData[[#This Row],[Approval_Date]],TODAY(),"M")</f>
        <v>62</v>
      </c>
      <c r="D478" s="31">
        <f>EDATE(LoanData[[#This Row],[Approval_Date]],LoanData[[#This Row],[Loan_Term_Months]])</f>
        <v>49829</v>
      </c>
      <c r="E478" t="str">
        <f t="shared" ca="1" si="7"/>
        <v>NO</v>
      </c>
      <c r="F478" s="33">
        <f>IFERROR(LoanData[[#This Row],[EMI]]/LoanData[[#This Row],[Monthly_Income]]*100," ")</f>
        <v>25.841513190642111</v>
      </c>
      <c r="G478" t="str" cm="1">
        <f t="array" ref="G478">_xlfn.IFS(F478&gt;40, "High DTI Risk",F478&gt;=25, "Moderate DTI",F478&lt;25, "Low DTI")</f>
        <v>Moderate DTI</v>
      </c>
      <c r="H478" t="str" cm="1">
        <f t="array" ref="H4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78" t="str">
        <f>_xlfn.XLOOKUP(H478,Reference_Tables!$B$2:$B$7,Reference_Tables!$C$2:$C$7,,0,1)</f>
        <v>VHR</v>
      </c>
      <c r="J478" t="str">
        <f>INDEX(Reference_Tables!$D$11:$D$36,MATCH(LoanData[[#This Row],[Branch]],Reference_Tables!$A$11:$A$36,0))</f>
        <v>Sachin Deshpande</v>
      </c>
      <c r="L478" s="35"/>
    </row>
    <row r="479" spans="2:12" ht="15.6" x14ac:dyDescent="0.3">
      <c r="B479" s="15">
        <f>DATEDIF(Loan_Data!K:K,Loan_Data!L:L,"D")</f>
        <v>29</v>
      </c>
      <c r="C479" s="15">
        <f ca="1">DATEDIF(LoanData[[#This Row],[Approval_Date]],TODAY(),"M")</f>
        <v>49</v>
      </c>
      <c r="D479" s="31">
        <f>EDATE(LoanData[[#This Row],[Approval_Date]],LoanData[[#This Row],[Loan_Term_Months]])</f>
        <v>45854</v>
      </c>
      <c r="E479" t="str">
        <f t="shared" ca="1" si="7"/>
        <v>YES</v>
      </c>
      <c r="F479" s="33">
        <f>IFERROR(LoanData[[#This Row],[EMI]]/LoanData[[#This Row],[Monthly_Income]]*100," ")</f>
        <v>11.110346663677381</v>
      </c>
      <c r="G479" t="str" cm="1">
        <f t="array" ref="G479">_xlfn.IFS(F479&gt;40, "High DTI Risk",F479&gt;=25, "Moderate DTI",F479&lt;25, "Low DTI")</f>
        <v>Low DTI</v>
      </c>
      <c r="H479" t="str" cm="1">
        <f t="array" ref="H4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79" t="str">
        <f>_xlfn.XLOOKUP(H479,Reference_Tables!$B$2:$B$7,Reference_Tables!$C$2:$C$7,,0,1)</f>
        <v>MR</v>
      </c>
      <c r="J479" t="str">
        <f>INDEX(Reference_Tables!$D$11:$D$36,MATCH(LoanData[[#This Row],[Branch]],Reference_Tables!$A$11:$A$36,0))</f>
        <v>Jigar Mehta</v>
      </c>
      <c r="L479" s="35"/>
    </row>
    <row r="480" spans="2:12" ht="15.6" x14ac:dyDescent="0.3">
      <c r="B480" s="15">
        <f>DATEDIF(Loan_Data!K:K,Loan_Data!L:L,"D")</f>
        <v>30</v>
      </c>
      <c r="C480" s="15">
        <f ca="1">DATEDIF(LoanData[[#This Row],[Approval_Date]],TODAY(),"M")</f>
        <v>47</v>
      </c>
      <c r="D480" s="31">
        <f>EDATE(LoanData[[#This Row],[Approval_Date]],LoanData[[#This Row],[Loan_Term_Months]])</f>
        <v>45896</v>
      </c>
      <c r="E480" t="str">
        <f t="shared" ca="1" si="7"/>
        <v>YES</v>
      </c>
      <c r="F480" s="33">
        <f>IFERROR(LoanData[[#This Row],[EMI]]/LoanData[[#This Row],[Monthly_Income]]*100," ")</f>
        <v>15.896551724137934</v>
      </c>
      <c r="G480" t="str" cm="1">
        <f t="array" ref="G480">_xlfn.IFS(F480&gt;40, "High DTI Risk",F480&gt;=25, "Moderate DTI",F480&lt;25, "Low DTI")</f>
        <v>Low DTI</v>
      </c>
      <c r="H480" t="str" cm="1">
        <f t="array" ref="H4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80" t="str">
        <f>_xlfn.XLOOKUP(H480,Reference_Tables!$B$2:$B$7,Reference_Tables!$C$2:$C$7,,0,1)</f>
        <v>VHR</v>
      </c>
      <c r="J480" t="str">
        <f>INDEX(Reference_Tables!$D$11:$D$36,MATCH(LoanData[[#This Row],[Branch]],Reference_Tables!$A$11:$A$36,0))</f>
        <v>Hetal Patel</v>
      </c>
      <c r="L480" s="35"/>
    </row>
    <row r="481" spans="2:12" ht="15.6" x14ac:dyDescent="0.3">
      <c r="B481" s="15">
        <f>DATEDIF(Loan_Data!K:K,Loan_Data!L:L,"D")</f>
        <v>15</v>
      </c>
      <c r="C481" s="15">
        <f ca="1">DATEDIF(LoanData[[#This Row],[Approval_Date]],TODAY(),"M")</f>
        <v>38</v>
      </c>
      <c r="D481" s="31">
        <f>EDATE(LoanData[[#This Row],[Approval_Date]],LoanData[[#This Row],[Loan_Term_Months]])</f>
        <v>45803</v>
      </c>
      <c r="E481" t="str">
        <f t="shared" ca="1" si="7"/>
        <v>YES</v>
      </c>
      <c r="F481" s="33">
        <f>IFERROR(LoanData[[#This Row],[EMI]]/LoanData[[#This Row],[Monthly_Income]]*100," ")</f>
        <v>3.5807086515838007</v>
      </c>
      <c r="G481" t="str" cm="1">
        <f t="array" ref="G481">_xlfn.IFS(F481&gt;40, "High DTI Risk",F481&gt;=25, "Moderate DTI",F481&lt;25, "Low DTI")</f>
        <v>Low DTI</v>
      </c>
      <c r="H481" t="str" cm="1">
        <f t="array" ref="H4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81" t="str">
        <f>_xlfn.XLOOKUP(H481,Reference_Tables!$B$2:$B$7,Reference_Tables!$C$2:$C$7,,0,1)</f>
        <v>LR</v>
      </c>
      <c r="J481" t="str">
        <f>INDEX(Reference_Tables!$D$11:$D$36,MATCH(LoanData[[#This Row],[Branch]],Reference_Tables!$A$11:$A$36,0))</f>
        <v>Hetal Patel</v>
      </c>
      <c r="L481" s="35"/>
    </row>
    <row r="482" spans="2:12" ht="15.6" x14ac:dyDescent="0.3">
      <c r="B482" s="15">
        <f>DATEDIF(Loan_Data!K:K,Loan_Data!L:L,"D")</f>
        <v>11</v>
      </c>
      <c r="C482" s="15">
        <f ca="1">DATEDIF(LoanData[[#This Row],[Approval_Date]],TODAY(),"M")</f>
        <v>42</v>
      </c>
      <c r="D482" s="31">
        <f>EDATE(LoanData[[#This Row],[Approval_Date]],LoanData[[#This Row],[Loan_Term_Months]])</f>
        <v>45703</v>
      </c>
      <c r="E482" t="str">
        <f t="shared" ca="1" si="7"/>
        <v>YES</v>
      </c>
      <c r="F482" s="33">
        <f>IFERROR(LoanData[[#This Row],[EMI]]/LoanData[[#This Row],[Monthly_Income]]*100," ")</f>
        <v>8.4647633812439249</v>
      </c>
      <c r="G482" t="str" cm="1">
        <f t="array" ref="G482">_xlfn.IFS(F482&gt;40, "High DTI Risk",F482&gt;=25, "Moderate DTI",F482&lt;25, "Low DTI")</f>
        <v>Low DTI</v>
      </c>
      <c r="H482" t="str" cm="1">
        <f t="array" ref="H4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82" t="str">
        <f>_xlfn.XLOOKUP(H482,Reference_Tables!$B$2:$B$7,Reference_Tables!$C$2:$C$7,,0,1)</f>
        <v>MR</v>
      </c>
      <c r="J482" t="str">
        <f>INDEX(Reference_Tables!$D$11:$D$36,MATCH(LoanData[[#This Row],[Branch]],Reference_Tables!$A$11:$A$36,0))</f>
        <v>Nilesh Shah</v>
      </c>
      <c r="L482" s="35"/>
    </row>
    <row r="483" spans="2:12" ht="15.6" x14ac:dyDescent="0.3">
      <c r="B483" s="15">
        <f>DATEDIF(Loan_Data!K:K,Loan_Data!L:L,"D")</f>
        <v>3</v>
      </c>
      <c r="C483" s="15">
        <f ca="1">DATEDIF(LoanData[[#This Row],[Approval_Date]],TODAY(),"M")</f>
        <v>60</v>
      </c>
      <c r="D483" s="31">
        <f>EDATE(LoanData[[#This Row],[Approval_Date]],LoanData[[#This Row],[Loan_Term_Months]])</f>
        <v>45136</v>
      </c>
      <c r="E483" t="str">
        <f t="shared" ca="1" si="7"/>
        <v>YES</v>
      </c>
      <c r="F483" s="33">
        <f>IFERROR(LoanData[[#This Row],[EMI]]/LoanData[[#This Row],[Monthly_Income]]*100," ")</f>
        <v>37.508981236821739</v>
      </c>
      <c r="G483" t="str" cm="1">
        <f t="array" ref="G483">_xlfn.IFS(F483&gt;40, "High DTI Risk",F483&gt;=25, "Moderate DTI",F483&lt;25, "Low DTI")</f>
        <v>Moderate DTI</v>
      </c>
      <c r="H483" t="str" cm="1">
        <f t="array" ref="H4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83" t="str">
        <f>_xlfn.XLOOKUP(H483,Reference_Tables!$B$2:$B$7,Reference_Tables!$C$2:$C$7,,0,1)</f>
        <v>VHR</v>
      </c>
      <c r="J483" t="str">
        <f>INDEX(Reference_Tables!$D$11:$D$36,MATCH(LoanData[[#This Row],[Branch]],Reference_Tables!$A$11:$A$36,0))</f>
        <v>Suman Tiwari</v>
      </c>
      <c r="L483" s="35"/>
    </row>
    <row r="484" spans="2:12" ht="15.6" x14ac:dyDescent="0.3">
      <c r="B484" s="15">
        <f>DATEDIF(Loan_Data!K:K,Loan_Data!L:L,"D")</f>
        <v>21</v>
      </c>
      <c r="C484" s="15">
        <f ca="1">DATEDIF(LoanData[[#This Row],[Approval_Date]],TODAY(),"M")</f>
        <v>37</v>
      </c>
      <c r="D484" s="31">
        <f>EDATE(LoanData[[#This Row],[Approval_Date]],LoanData[[#This Row],[Loan_Term_Months]])</f>
        <v>46938</v>
      </c>
      <c r="E484" t="str">
        <f t="shared" ca="1" si="7"/>
        <v>NO</v>
      </c>
      <c r="F484" s="33">
        <f>IFERROR(LoanData[[#This Row],[EMI]]/LoanData[[#This Row],[Monthly_Income]]*100," ")</f>
        <v>1.8577236148367402</v>
      </c>
      <c r="G484" t="str" cm="1">
        <f t="array" ref="G484">_xlfn.IFS(F484&gt;40, "High DTI Risk",F484&gt;=25, "Moderate DTI",F484&lt;25, "Low DTI")</f>
        <v>Low DTI</v>
      </c>
      <c r="H484" t="str" cm="1">
        <f t="array" ref="H4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84" t="str">
        <f>_xlfn.XLOOKUP(H484,Reference_Tables!$B$2:$B$7,Reference_Tables!$C$2:$C$7,,0,1)</f>
        <v>VHR</v>
      </c>
      <c r="J484" t="str">
        <f>INDEX(Reference_Tables!$D$11:$D$36,MATCH(LoanData[[#This Row],[Branch]],Reference_Tables!$A$11:$A$36,0))</f>
        <v>Jigar Mehta</v>
      </c>
      <c r="L484" s="35"/>
    </row>
    <row r="485" spans="2:12" ht="15.6" x14ac:dyDescent="0.3">
      <c r="B485" s="15">
        <f>DATEDIF(Loan_Data!K:K,Loan_Data!L:L,"D")</f>
        <v>11</v>
      </c>
      <c r="C485" s="15">
        <f ca="1">DATEDIF(LoanData[[#This Row],[Approval_Date]],TODAY(),"M")</f>
        <v>48</v>
      </c>
      <c r="D485" s="31">
        <f>EDATE(LoanData[[#This Row],[Approval_Date]],LoanData[[#This Row],[Loan_Term_Months]])</f>
        <v>46601</v>
      </c>
      <c r="E485" t="str">
        <f t="shared" ca="1" si="7"/>
        <v>NO</v>
      </c>
      <c r="F485" s="33">
        <f>IFERROR(LoanData[[#This Row],[EMI]]/LoanData[[#This Row],[Monthly_Income]]*100," ")</f>
        <v>2.8717779889841863</v>
      </c>
      <c r="G485" t="str" cm="1">
        <f t="array" ref="G485">_xlfn.IFS(F485&gt;40, "High DTI Risk",F485&gt;=25, "Moderate DTI",F485&lt;25, "Low DTI")</f>
        <v>Low DTI</v>
      </c>
      <c r="H485" t="str" cm="1">
        <f t="array" ref="H4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85" t="str">
        <f>_xlfn.XLOOKUP(H485,Reference_Tables!$B$2:$B$7,Reference_Tables!$C$2:$C$7,,0,1)</f>
        <v>VHR</v>
      </c>
      <c r="J485" t="str">
        <f>INDEX(Reference_Tables!$D$11:$D$36,MATCH(LoanData[[#This Row],[Branch]],Reference_Tables!$A$11:$A$36,0))</f>
        <v>Tapan Panda</v>
      </c>
      <c r="L485" s="35"/>
    </row>
    <row r="486" spans="2:12" ht="15.6" x14ac:dyDescent="0.3">
      <c r="B486" s="15">
        <f>DATEDIF(Loan_Data!K:K,Loan_Data!L:L,"D")</f>
        <v>11</v>
      </c>
      <c r="C486" s="15">
        <f ca="1">DATEDIF(LoanData[[#This Row],[Approval_Date]],TODAY(),"M")</f>
        <v>53</v>
      </c>
      <c r="D486" s="31">
        <f>EDATE(LoanData[[#This Row],[Approval_Date]],LoanData[[#This Row],[Loan_Term_Months]])</f>
        <v>46075</v>
      </c>
      <c r="E486" t="str">
        <f t="shared" ca="1" si="7"/>
        <v>YES</v>
      </c>
      <c r="F486" s="33">
        <f>IFERROR(LoanData[[#This Row],[EMI]]/LoanData[[#This Row],[Monthly_Income]]*100," ")</f>
        <v>2.9810206750020432</v>
      </c>
      <c r="G486" t="str" cm="1">
        <f t="array" ref="G486">_xlfn.IFS(F486&gt;40, "High DTI Risk",F486&gt;=25, "Moderate DTI",F486&lt;25, "Low DTI")</f>
        <v>Low DTI</v>
      </c>
      <c r="H486" t="str" cm="1">
        <f t="array" ref="H4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86" t="str">
        <f>_xlfn.XLOOKUP(H486,Reference_Tables!$B$2:$B$7,Reference_Tables!$C$2:$C$7,,0,1)</f>
        <v>LR</v>
      </c>
      <c r="J486" t="str">
        <f>INDEX(Reference_Tables!$D$11:$D$36,MATCH(LoanData[[#This Row],[Branch]],Reference_Tables!$A$11:$A$36,0))</f>
        <v>Suman Tiwari</v>
      </c>
      <c r="L486" s="35"/>
    </row>
    <row r="487" spans="2:12" ht="15.6" x14ac:dyDescent="0.3">
      <c r="B487" s="15">
        <f>DATEDIF(Loan_Data!K:K,Loan_Data!L:L,"D")</f>
        <v>7</v>
      </c>
      <c r="C487" s="15">
        <f ca="1">DATEDIF(LoanData[[#This Row],[Approval_Date]],TODAY(),"M")</f>
        <v>47</v>
      </c>
      <c r="D487" s="31">
        <f>EDATE(LoanData[[#This Row],[Approval_Date]],LoanData[[#This Row],[Loan_Term_Months]])</f>
        <v>48448</v>
      </c>
      <c r="E487" t="str">
        <f t="shared" ca="1" si="7"/>
        <v>NO</v>
      </c>
      <c r="F487" s="33">
        <f>IFERROR(LoanData[[#This Row],[EMI]]/LoanData[[#This Row],[Monthly_Income]]*100," ")</f>
        <v>22.445220077824054</v>
      </c>
      <c r="G487" t="str" cm="1">
        <f t="array" ref="G487">_xlfn.IFS(F487&gt;40, "High DTI Risk",F487&gt;=25, "Moderate DTI",F487&lt;25, "Low DTI")</f>
        <v>Low DTI</v>
      </c>
      <c r="H487" t="str" cm="1">
        <f t="array" ref="H4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87" t="str">
        <f>_xlfn.XLOOKUP(H487,Reference_Tables!$B$2:$B$7,Reference_Tables!$C$2:$C$7,,0,1)</f>
        <v>LR</v>
      </c>
      <c r="J487" t="str">
        <f>INDEX(Reference_Tables!$D$11:$D$36,MATCH(LoanData[[#This Row],[Branch]],Reference_Tables!$A$11:$A$36,0))</f>
        <v>Suresh Menon</v>
      </c>
      <c r="L487" s="35"/>
    </row>
    <row r="488" spans="2:12" ht="15.6" x14ac:dyDescent="0.3">
      <c r="B488" s="15">
        <f>DATEDIF(Loan_Data!K:K,Loan_Data!L:L,"D")</f>
        <v>25</v>
      </c>
      <c r="C488" s="15">
        <f ca="1">DATEDIF(LoanData[[#This Row],[Approval_Date]],TODAY(),"M")</f>
        <v>38</v>
      </c>
      <c r="D488" s="31">
        <f>EDATE(LoanData[[#This Row],[Approval_Date]],LoanData[[#This Row],[Loan_Term_Months]])</f>
        <v>46907</v>
      </c>
      <c r="E488" t="str">
        <f t="shared" ca="1" si="7"/>
        <v>NO</v>
      </c>
      <c r="F488" s="33">
        <f>IFERROR(LoanData[[#This Row],[EMI]]/LoanData[[#This Row],[Monthly_Income]]*100," ")</f>
        <v>4.19044384057971</v>
      </c>
      <c r="G488" t="str" cm="1">
        <f t="array" ref="G488">_xlfn.IFS(F488&gt;40, "High DTI Risk",F488&gt;=25, "Moderate DTI",F488&lt;25, "Low DTI")</f>
        <v>Low DTI</v>
      </c>
      <c r="H488" t="str" cm="1">
        <f t="array" ref="H4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88" t="str">
        <f>_xlfn.XLOOKUP(H488,Reference_Tables!$B$2:$B$7,Reference_Tables!$C$2:$C$7,,0,1)</f>
        <v>MR</v>
      </c>
      <c r="J488" t="str">
        <f>INDEX(Reference_Tables!$D$11:$D$36,MATCH(LoanData[[#This Row],[Branch]],Reference_Tables!$A$11:$A$36,0))</f>
        <v>Lakshmi Reddy</v>
      </c>
      <c r="L488" s="35"/>
    </row>
    <row r="489" spans="2:12" ht="15.6" x14ac:dyDescent="0.3">
      <c r="B489" s="15">
        <f>DATEDIF(Loan_Data!K:K,Loan_Data!L:L,"D")</f>
        <v>13</v>
      </c>
      <c r="C489" s="15">
        <f ca="1">DATEDIF(LoanData[[#This Row],[Approval_Date]],TODAY(),"M")</f>
        <v>47</v>
      </c>
      <c r="D489" s="31">
        <f>EDATE(LoanData[[#This Row],[Approval_Date]],LoanData[[#This Row],[Loan_Term_Months]])</f>
        <v>45177</v>
      </c>
      <c r="E489" t="str">
        <f t="shared" ca="1" si="7"/>
        <v>YES</v>
      </c>
      <c r="F489" s="33">
        <f>IFERROR(LoanData[[#This Row],[EMI]]/LoanData[[#This Row],[Monthly_Income]]*100," ")</f>
        <v>19.785935683843469</v>
      </c>
      <c r="G489" t="str" cm="1">
        <f t="array" ref="G489">_xlfn.IFS(F489&gt;40, "High DTI Risk",F489&gt;=25, "Moderate DTI",F489&lt;25, "Low DTI")</f>
        <v>Low DTI</v>
      </c>
      <c r="H489" t="str" cm="1">
        <f t="array" ref="H4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89" t="str">
        <f>_xlfn.XLOOKUP(H489,Reference_Tables!$B$2:$B$7,Reference_Tables!$C$2:$C$7,,0,1)</f>
        <v>LR</v>
      </c>
      <c r="J489" t="str">
        <f>INDEX(Reference_Tables!$D$11:$D$36,MATCH(LoanData[[#This Row],[Branch]],Reference_Tables!$A$11:$A$36,0))</f>
        <v>Deepak Nair</v>
      </c>
      <c r="L489" s="35"/>
    </row>
    <row r="490" spans="2:12" ht="15.6" x14ac:dyDescent="0.3">
      <c r="B490" s="15">
        <f>DATEDIF(Loan_Data!K:K,Loan_Data!L:L,"D")</f>
        <v>24</v>
      </c>
      <c r="C490" s="15">
        <f ca="1">DATEDIF(LoanData[[#This Row],[Approval_Date]],TODAY(),"M")</f>
        <v>39</v>
      </c>
      <c r="D490" s="31">
        <f>EDATE(LoanData[[#This Row],[Approval_Date]],LoanData[[#This Row],[Loan_Term_Months]])</f>
        <v>45424</v>
      </c>
      <c r="E490" t="str">
        <f t="shared" ca="1" si="7"/>
        <v>YES</v>
      </c>
      <c r="F490" s="33">
        <f>IFERROR(LoanData[[#This Row],[EMI]]/LoanData[[#This Row],[Monthly_Income]]*100," ")</f>
        <v>77.476233091247025</v>
      </c>
      <c r="G490" t="str" cm="1">
        <f t="array" ref="G490">_xlfn.IFS(F490&gt;40, "High DTI Risk",F490&gt;=25, "Moderate DTI",F490&lt;25, "Low DTI")</f>
        <v>High DTI Risk</v>
      </c>
      <c r="H490" t="str" cm="1">
        <f t="array" ref="H4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90" t="str">
        <f>_xlfn.XLOOKUP(H490,Reference_Tables!$B$2:$B$7,Reference_Tables!$C$2:$C$7,,0,1)</f>
        <v>MR</v>
      </c>
      <c r="J490" t="str">
        <f>INDEX(Reference_Tables!$D$11:$D$36,MATCH(LoanData[[#This Row],[Branch]],Reference_Tables!$A$11:$A$36,0))</f>
        <v>Sandeep Saxena</v>
      </c>
      <c r="L490" s="35"/>
    </row>
    <row r="491" spans="2:12" ht="15.6" x14ac:dyDescent="0.3">
      <c r="B491" s="15">
        <f>DATEDIF(Loan_Data!K:K,Loan_Data!L:L,"D")</f>
        <v>29</v>
      </c>
      <c r="C491" s="15">
        <f ca="1">DATEDIF(LoanData[[#This Row],[Approval_Date]],TODAY(),"M")</f>
        <v>62</v>
      </c>
      <c r="D491" s="31">
        <f>EDATE(LoanData[[#This Row],[Approval_Date]],LoanData[[#This Row],[Loan_Term_Months]])</f>
        <v>45452</v>
      </c>
      <c r="E491" t="str">
        <f t="shared" ca="1" si="7"/>
        <v>YES</v>
      </c>
      <c r="F491" s="33">
        <f>IFERROR(LoanData[[#This Row],[EMI]]/LoanData[[#This Row],[Monthly_Income]]*100," ")</f>
        <v>17.331000518403318</v>
      </c>
      <c r="G491" t="str" cm="1">
        <f t="array" ref="G491">_xlfn.IFS(F491&gt;40, "High DTI Risk",F491&gt;=25, "Moderate DTI",F491&lt;25, "Low DTI")</f>
        <v>Low DTI</v>
      </c>
      <c r="H491" t="str" cm="1">
        <f t="array" ref="H4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91" t="str">
        <f>_xlfn.XLOOKUP(H491,Reference_Tables!$B$2:$B$7,Reference_Tables!$C$2:$C$7,,0,1)</f>
        <v>HR</v>
      </c>
      <c r="J491" t="str">
        <f>INDEX(Reference_Tables!$D$11:$D$36,MATCH(LoanData[[#This Row],[Branch]],Reference_Tables!$A$11:$A$36,0))</f>
        <v>Rahul Kapoor</v>
      </c>
      <c r="L491" s="35"/>
    </row>
    <row r="492" spans="2:12" ht="15.6" x14ac:dyDescent="0.3">
      <c r="B492" s="15">
        <f>DATEDIF(Loan_Data!K:K,Loan_Data!L:L,"D")</f>
        <v>14</v>
      </c>
      <c r="C492" s="15">
        <f ca="1">DATEDIF(LoanData[[#This Row],[Approval_Date]],TODAY(),"M")</f>
        <v>64</v>
      </c>
      <c r="D492" s="31">
        <f>EDATE(LoanData[[#This Row],[Approval_Date]],LoanData[[#This Row],[Loan_Term_Months]])</f>
        <v>44659</v>
      </c>
      <c r="E492" t="str">
        <f t="shared" ca="1" si="7"/>
        <v>YES</v>
      </c>
      <c r="F492" s="33">
        <f>IFERROR(LoanData[[#This Row],[EMI]]/LoanData[[#This Row],[Monthly_Income]]*100," ")</f>
        <v>12.699191659911735</v>
      </c>
      <c r="G492" t="str" cm="1">
        <f t="array" ref="G492">_xlfn.IFS(F492&gt;40, "High DTI Risk",F492&gt;=25, "Moderate DTI",F492&lt;25, "Low DTI")</f>
        <v>Low DTI</v>
      </c>
      <c r="H492" t="str" cm="1">
        <f t="array" ref="H4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92" t="str">
        <f>_xlfn.XLOOKUP(H492,Reference_Tables!$B$2:$B$7,Reference_Tables!$C$2:$C$7,,0,1)</f>
        <v>VHR</v>
      </c>
      <c r="J492" t="str">
        <f>INDEX(Reference_Tables!$D$11:$D$36,MATCH(LoanData[[#This Row],[Branch]],Reference_Tables!$A$11:$A$36,0))</f>
        <v>Rahul Kapoor</v>
      </c>
      <c r="L492" s="35"/>
    </row>
    <row r="493" spans="2:12" ht="15.6" x14ac:dyDescent="0.3">
      <c r="B493" s="15">
        <f>DATEDIF(Loan_Data!K:K,Loan_Data!L:L,"D")</f>
        <v>19</v>
      </c>
      <c r="C493" s="15">
        <f ca="1">DATEDIF(LoanData[[#This Row],[Approval_Date]],TODAY(),"M")</f>
        <v>53</v>
      </c>
      <c r="D493" s="31">
        <f>EDATE(LoanData[[#This Row],[Approval_Date]],LoanData[[#This Row],[Loan_Term_Months]])</f>
        <v>47172</v>
      </c>
      <c r="E493" t="str">
        <f t="shared" ca="1" si="7"/>
        <v>NO</v>
      </c>
      <c r="F493" s="33">
        <f>IFERROR(LoanData[[#This Row],[EMI]]/LoanData[[#This Row],[Monthly_Income]]*100," ")</f>
        <v>1.8656035711404524</v>
      </c>
      <c r="G493" t="str" cm="1">
        <f t="array" ref="G493">_xlfn.IFS(F493&gt;40, "High DTI Risk",F493&gt;=25, "Moderate DTI",F493&lt;25, "Low DTI")</f>
        <v>Low DTI</v>
      </c>
      <c r="H493" t="str" cm="1">
        <f t="array" ref="H4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93" t="str">
        <f>_xlfn.XLOOKUP(H493,Reference_Tables!$B$2:$B$7,Reference_Tables!$C$2:$C$7,,0,1)</f>
        <v>HR</v>
      </c>
      <c r="J493" t="str">
        <f>INDEX(Reference_Tables!$D$11:$D$36,MATCH(LoanData[[#This Row],[Branch]],Reference_Tables!$A$11:$A$36,0))</f>
        <v>Priya Yadav</v>
      </c>
      <c r="L493" s="35"/>
    </row>
    <row r="494" spans="2:12" ht="15.6" x14ac:dyDescent="0.3">
      <c r="B494" s="15">
        <f>DATEDIF(Loan_Data!K:K,Loan_Data!L:L,"D")</f>
        <v>7</v>
      </c>
      <c r="C494" s="15">
        <f ca="1">DATEDIF(LoanData[[#This Row],[Approval_Date]],TODAY(),"M")</f>
        <v>39</v>
      </c>
      <c r="D494" s="31">
        <f>EDATE(LoanData[[#This Row],[Approval_Date]],LoanData[[#This Row],[Loan_Term_Months]])</f>
        <v>52354</v>
      </c>
      <c r="E494" t="str">
        <f t="shared" ca="1" si="7"/>
        <v>NO</v>
      </c>
      <c r="F494" s="33">
        <f>IFERROR(LoanData[[#This Row],[EMI]]/LoanData[[#This Row],[Monthly_Income]]*100," ")</f>
        <v>6.9658030275301321</v>
      </c>
      <c r="G494" t="str" cm="1">
        <f t="array" ref="G494">_xlfn.IFS(F494&gt;40, "High DTI Risk",F494&gt;=25, "Moderate DTI",F494&lt;25, "Low DTI")</f>
        <v>Low DTI</v>
      </c>
      <c r="H494" t="str" cm="1">
        <f t="array" ref="H4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94" t="str">
        <f>_xlfn.XLOOKUP(H494,Reference_Tables!$B$2:$B$7,Reference_Tables!$C$2:$C$7,,0,1)</f>
        <v>MR</v>
      </c>
      <c r="J494" t="str">
        <f>INDEX(Reference_Tables!$D$11:$D$36,MATCH(LoanData[[#This Row],[Branch]],Reference_Tables!$A$11:$A$36,0))</f>
        <v>Jigar Mehta</v>
      </c>
      <c r="L494" s="35"/>
    </row>
    <row r="495" spans="2:12" ht="15.6" x14ac:dyDescent="0.3">
      <c r="B495" s="15">
        <f>DATEDIF(Loan_Data!K:K,Loan_Data!L:L,"D")</f>
        <v>25</v>
      </c>
      <c r="C495" s="15">
        <f ca="1">DATEDIF(LoanData[[#This Row],[Approval_Date]],TODAY(),"M")</f>
        <v>42</v>
      </c>
      <c r="D495" s="31">
        <f>EDATE(LoanData[[#This Row],[Approval_Date]],LoanData[[#This Row],[Loan_Term_Months]])</f>
        <v>45331</v>
      </c>
      <c r="E495" t="str">
        <f t="shared" ca="1" si="7"/>
        <v>YES</v>
      </c>
      <c r="F495" s="33">
        <f>IFERROR(LoanData[[#This Row],[EMI]]/LoanData[[#This Row],[Monthly_Income]]*100," ")</f>
        <v>22.117189895737503</v>
      </c>
      <c r="G495" t="str" cm="1">
        <f t="array" ref="G495">_xlfn.IFS(F495&gt;40, "High DTI Risk",F495&gt;=25, "Moderate DTI",F495&lt;25, "Low DTI")</f>
        <v>Low DTI</v>
      </c>
      <c r="H495" t="str" cm="1">
        <f t="array" ref="H4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95" t="str">
        <f>_xlfn.XLOOKUP(H495,Reference_Tables!$B$2:$B$7,Reference_Tables!$C$2:$C$7,,0,1)</f>
        <v>HR</v>
      </c>
      <c r="J495" t="str">
        <f>INDEX(Reference_Tables!$D$11:$D$36,MATCH(LoanData[[#This Row],[Branch]],Reference_Tables!$A$11:$A$36,0))</f>
        <v>Sandeep Saxena</v>
      </c>
      <c r="L495" s="35"/>
    </row>
    <row r="496" spans="2:12" ht="15.6" x14ac:dyDescent="0.3">
      <c r="B496" s="15">
        <f>DATEDIF(Loan_Data!K:K,Loan_Data!L:L,"D")</f>
        <v>22</v>
      </c>
      <c r="C496" s="15">
        <f ca="1">DATEDIF(LoanData[[#This Row],[Approval_Date]],TODAY(),"M")</f>
        <v>54</v>
      </c>
      <c r="D496" s="31">
        <f>EDATE(LoanData[[#This Row],[Approval_Date]],LoanData[[#This Row],[Loan_Term_Months]])</f>
        <v>44967</v>
      </c>
      <c r="E496" t="str">
        <f t="shared" ca="1" si="7"/>
        <v>YES</v>
      </c>
      <c r="F496" s="33">
        <f>IFERROR(LoanData[[#This Row],[EMI]]/LoanData[[#This Row],[Monthly_Income]]*100," ")</f>
        <v>32.89510334509319</v>
      </c>
      <c r="G496" t="str" cm="1">
        <f t="array" ref="G496">_xlfn.IFS(F496&gt;40, "High DTI Risk",F496&gt;=25, "Moderate DTI",F496&lt;25, "Low DTI")</f>
        <v>Moderate DTI</v>
      </c>
      <c r="H496" t="str" cm="1">
        <f t="array" ref="H4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496" t="str">
        <f>_xlfn.XLOOKUP(H496,Reference_Tables!$B$2:$B$7,Reference_Tables!$C$2:$C$7,,0,1)</f>
        <v>LR</v>
      </c>
      <c r="J496" t="str">
        <f>INDEX(Reference_Tables!$D$11:$D$36,MATCH(LoanData[[#This Row],[Branch]],Reference_Tables!$A$11:$A$36,0))</f>
        <v>Suresh Menon</v>
      </c>
      <c r="L496" s="35"/>
    </row>
    <row r="497" spans="2:12" ht="15.6" x14ac:dyDescent="0.3">
      <c r="B497" s="15">
        <f>DATEDIF(Loan_Data!K:K,Loan_Data!L:L,"D")</f>
        <v>4</v>
      </c>
      <c r="C497" s="15">
        <f ca="1">DATEDIF(LoanData[[#This Row],[Approval_Date]],TODAY(),"M")</f>
        <v>45</v>
      </c>
      <c r="D497" s="31">
        <f>EDATE(LoanData[[#This Row],[Approval_Date]],LoanData[[#This Row],[Loan_Term_Months]])</f>
        <v>46689</v>
      </c>
      <c r="E497" t="str">
        <f t="shared" ca="1" si="7"/>
        <v>NO</v>
      </c>
      <c r="F497" s="33">
        <f>IFERROR(LoanData[[#This Row],[EMI]]/LoanData[[#This Row],[Monthly_Income]]*100," ")</f>
        <v>9.1287729665707058</v>
      </c>
      <c r="G497" t="str" cm="1">
        <f t="array" ref="G497">_xlfn.IFS(F497&gt;40, "High DTI Risk",F497&gt;=25, "Moderate DTI",F497&lt;25, "Low DTI")</f>
        <v>Low DTI</v>
      </c>
      <c r="H497" t="str" cm="1">
        <f t="array" ref="H4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497" t="str">
        <f>_xlfn.XLOOKUP(H497,Reference_Tables!$B$2:$B$7,Reference_Tables!$C$2:$C$7,,0,1)</f>
        <v>MR</v>
      </c>
      <c r="J497" t="str">
        <f>INDEX(Reference_Tables!$D$11:$D$36,MATCH(LoanData[[#This Row],[Branch]],Reference_Tables!$A$11:$A$36,0))</f>
        <v>Nilesh Shah</v>
      </c>
      <c r="L497" s="35"/>
    </row>
    <row r="498" spans="2:12" ht="15.6" x14ac:dyDescent="0.3">
      <c r="B498" s="15">
        <f>DATEDIF(Loan_Data!K:K,Loan_Data!L:L,"D")</f>
        <v>17</v>
      </c>
      <c r="C498" s="15">
        <f ca="1">DATEDIF(LoanData[[#This Row],[Approval_Date]],TODAY(),"M")</f>
        <v>41</v>
      </c>
      <c r="D498" s="31">
        <f>EDATE(LoanData[[#This Row],[Approval_Date]],LoanData[[#This Row],[Loan_Term_Months]])</f>
        <v>48653</v>
      </c>
      <c r="E498" t="str">
        <f t="shared" ca="1" si="7"/>
        <v>NO</v>
      </c>
      <c r="F498" s="33">
        <f>IFERROR(LoanData[[#This Row],[EMI]]/LoanData[[#This Row],[Monthly_Income]]*100," ")</f>
        <v>4.0975408948109626</v>
      </c>
      <c r="G498" t="str" cm="1">
        <f t="array" ref="G498">_xlfn.IFS(F498&gt;40, "High DTI Risk",F498&gt;=25, "Moderate DTI",F498&lt;25, "Low DTI")</f>
        <v>Low DTI</v>
      </c>
      <c r="H498" t="str" cm="1">
        <f t="array" ref="H4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498" t="str">
        <f>_xlfn.XLOOKUP(H498,Reference_Tables!$B$2:$B$7,Reference_Tables!$C$2:$C$7,,0,1)</f>
        <v>VHR</v>
      </c>
      <c r="J498" t="str">
        <f>INDEX(Reference_Tables!$D$11:$D$36,MATCH(LoanData[[#This Row],[Branch]],Reference_Tables!$A$11:$A$36,0))</f>
        <v>Sandeep Saxena</v>
      </c>
      <c r="L498" s="35"/>
    </row>
    <row r="499" spans="2:12" ht="15.6" x14ac:dyDescent="0.3">
      <c r="B499" s="15">
        <f>DATEDIF(Loan_Data!K:K,Loan_Data!L:L,"D")</f>
        <v>17</v>
      </c>
      <c r="C499" s="15">
        <f ca="1">DATEDIF(LoanData[[#This Row],[Approval_Date]],TODAY(),"M")</f>
        <v>44</v>
      </c>
      <c r="D499" s="31">
        <f>EDATE(LoanData[[#This Row],[Approval_Date]],LoanData[[#This Row],[Loan_Term_Months]])</f>
        <v>52218</v>
      </c>
      <c r="E499" t="str">
        <f t="shared" ca="1" si="7"/>
        <v>NO</v>
      </c>
      <c r="F499" s="33">
        <f>IFERROR(LoanData[[#This Row],[EMI]]/LoanData[[#This Row],[Monthly_Income]]*100," ")</f>
        <v>1.0333998005982055</v>
      </c>
      <c r="G499" t="str" cm="1">
        <f t="array" ref="G499">_xlfn.IFS(F499&gt;40, "High DTI Risk",F499&gt;=25, "Moderate DTI",F499&lt;25, "Low DTI")</f>
        <v>Low DTI</v>
      </c>
      <c r="H499" t="str" cm="1">
        <f t="array" ref="H4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499" t="str">
        <f>_xlfn.XLOOKUP(H499,Reference_Tables!$B$2:$B$7,Reference_Tables!$C$2:$C$7,,0,1)</f>
        <v>HR</v>
      </c>
      <c r="J499" t="str">
        <f>INDEX(Reference_Tables!$D$11:$D$36,MATCH(LoanData[[#This Row],[Branch]],Reference_Tables!$A$11:$A$36,0))</f>
        <v>Rituparna Bora</v>
      </c>
      <c r="L499" s="35"/>
    </row>
    <row r="500" spans="2:12" ht="15.6" x14ac:dyDescent="0.3">
      <c r="B500" s="15">
        <f>DATEDIF(Loan_Data!K:K,Loan_Data!L:L,"D")</f>
        <v>3</v>
      </c>
      <c r="C500" s="15">
        <f ca="1">DATEDIF(LoanData[[#This Row],[Approval_Date]],TODAY(),"M")</f>
        <v>62</v>
      </c>
      <c r="D500" s="31">
        <f>EDATE(LoanData[[#This Row],[Approval_Date]],LoanData[[#This Row],[Loan_Term_Months]])</f>
        <v>45458</v>
      </c>
      <c r="E500" t="str">
        <f t="shared" ca="1" si="7"/>
        <v>YES</v>
      </c>
      <c r="F500" s="33">
        <f>IFERROR(LoanData[[#This Row],[EMI]]/LoanData[[#This Row],[Monthly_Income]]*100," ")</f>
        <v>1.4099076217661999</v>
      </c>
      <c r="G500" t="str" cm="1">
        <f t="array" ref="G500">_xlfn.IFS(F500&gt;40, "High DTI Risk",F500&gt;=25, "Moderate DTI",F500&lt;25, "Low DTI")</f>
        <v>Low DTI</v>
      </c>
      <c r="H500" t="str" cm="1">
        <f t="array" ref="H5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00" t="str">
        <f>_xlfn.XLOOKUP(H500,Reference_Tables!$B$2:$B$7,Reference_Tables!$C$2:$C$7,,0,1)</f>
        <v>VHR</v>
      </c>
      <c r="J500" t="str">
        <f>INDEX(Reference_Tables!$D$11:$D$36,MATCH(LoanData[[#This Row],[Branch]],Reference_Tables!$A$11:$A$36,0))</f>
        <v>Hetal Patel</v>
      </c>
      <c r="L500" s="35"/>
    </row>
    <row r="501" spans="2:12" ht="15.6" x14ac:dyDescent="0.3">
      <c r="B501" s="15">
        <f>DATEDIF(Loan_Data!K:K,Loan_Data!L:L,"D")</f>
        <v>30</v>
      </c>
      <c r="C501" s="15">
        <f ca="1">DATEDIF(LoanData[[#This Row],[Approval_Date]],TODAY(),"M")</f>
        <v>41</v>
      </c>
      <c r="D501" s="31">
        <f>EDATE(LoanData[[#This Row],[Approval_Date]],LoanData[[#This Row],[Loan_Term_Months]])</f>
        <v>45360</v>
      </c>
      <c r="E501" t="str">
        <f t="shared" ca="1" si="7"/>
        <v>YES</v>
      </c>
      <c r="F501" s="33">
        <f>IFERROR(LoanData[[#This Row],[EMI]]/LoanData[[#This Row],[Monthly_Income]]*100," ")</f>
        <v>23.316222022382096</v>
      </c>
      <c r="G501" t="str" cm="1">
        <f t="array" ref="G501">_xlfn.IFS(F501&gt;40, "High DTI Risk",F501&gt;=25, "Moderate DTI",F501&lt;25, "Low DTI")</f>
        <v>Low DTI</v>
      </c>
      <c r="H501" t="str" cm="1">
        <f t="array" ref="H5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01" t="str">
        <f>_xlfn.XLOOKUP(H501,Reference_Tables!$B$2:$B$7,Reference_Tables!$C$2:$C$7,,0,1)</f>
        <v>VHR</v>
      </c>
      <c r="J501" t="str">
        <f>INDEX(Reference_Tables!$D$11:$D$36,MATCH(LoanData[[#This Row],[Branch]],Reference_Tables!$A$11:$A$36,0))</f>
        <v>Amit Kumar</v>
      </c>
      <c r="L501" s="35"/>
    </row>
    <row r="502" spans="2:12" ht="15.6" x14ac:dyDescent="0.3">
      <c r="B502" s="15">
        <f>DATEDIF(Loan_Data!K:K,Loan_Data!L:L,"D")</f>
        <v>27</v>
      </c>
      <c r="C502" s="15">
        <f ca="1">DATEDIF(LoanData[[#This Row],[Approval_Date]],TODAY(),"M")</f>
        <v>62</v>
      </c>
      <c r="D502" s="31">
        <f>EDATE(LoanData[[#This Row],[Approval_Date]],LoanData[[#This Row],[Loan_Term_Months]])</f>
        <v>46191</v>
      </c>
      <c r="E502" t="str">
        <f t="shared" ca="1" si="7"/>
        <v>YES</v>
      </c>
      <c r="F502" s="33">
        <f>IFERROR(LoanData[[#This Row],[EMI]]/LoanData[[#This Row],[Monthly_Income]]*100," ")</f>
        <v>12.254641849971799</v>
      </c>
      <c r="G502" t="str" cm="1">
        <f t="array" ref="G502">_xlfn.IFS(F502&gt;40, "High DTI Risk",F502&gt;=25, "Moderate DTI",F502&lt;25, "Low DTI")</f>
        <v>Low DTI</v>
      </c>
      <c r="H502" t="str" cm="1">
        <f t="array" ref="H5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02" t="str">
        <f>_xlfn.XLOOKUP(H502,Reference_Tables!$B$2:$B$7,Reference_Tables!$C$2:$C$7,,0,1)</f>
        <v>LR</v>
      </c>
      <c r="J502" t="str">
        <f>INDEX(Reference_Tables!$D$11:$D$36,MATCH(LoanData[[#This Row],[Branch]],Reference_Tables!$A$11:$A$36,0))</f>
        <v>Ananya Sharma</v>
      </c>
      <c r="L502" s="35"/>
    </row>
    <row r="503" spans="2:12" ht="15.6" x14ac:dyDescent="0.3">
      <c r="B503" s="15">
        <f>DATEDIF(Loan_Data!K:K,Loan_Data!L:L,"D")</f>
        <v>24</v>
      </c>
      <c r="C503" s="15">
        <f ca="1">DATEDIF(LoanData[[#This Row],[Approval_Date]],TODAY(),"M")</f>
        <v>49</v>
      </c>
      <c r="D503" s="31">
        <f>EDATE(LoanData[[#This Row],[Approval_Date]],LoanData[[#This Row],[Loan_Term_Months]])</f>
        <v>46195</v>
      </c>
      <c r="E503" t="str">
        <f t="shared" ca="1" si="7"/>
        <v>YES</v>
      </c>
      <c r="F503" s="33">
        <f>IFERROR(LoanData[[#This Row],[EMI]]/LoanData[[#This Row],[Monthly_Income]]*100," ")</f>
        <v>9.4771362980028222</v>
      </c>
      <c r="G503" t="str" cm="1">
        <f t="array" ref="G503">_xlfn.IFS(F503&gt;40, "High DTI Risk",F503&gt;=25, "Moderate DTI",F503&lt;25, "Low DTI")</f>
        <v>Low DTI</v>
      </c>
      <c r="H503" t="str" cm="1">
        <f t="array" ref="H5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03" t="str">
        <f>_xlfn.XLOOKUP(H503,Reference_Tables!$B$2:$B$7,Reference_Tables!$C$2:$C$7,,0,1)</f>
        <v>VHR</v>
      </c>
      <c r="J503" t="str">
        <f>INDEX(Reference_Tables!$D$11:$D$36,MATCH(LoanData[[#This Row],[Branch]],Reference_Tables!$A$11:$A$36,0))</f>
        <v>Jigar Mehta</v>
      </c>
      <c r="L503" s="35"/>
    </row>
    <row r="504" spans="2:12" ht="15.6" x14ac:dyDescent="0.3">
      <c r="B504" s="15">
        <f>DATEDIF(Loan_Data!K:K,Loan_Data!L:L,"D")</f>
        <v>26</v>
      </c>
      <c r="C504" s="15">
        <f ca="1">DATEDIF(LoanData[[#This Row],[Approval_Date]],TODAY(),"M")</f>
        <v>57</v>
      </c>
      <c r="D504" s="31">
        <f>EDATE(LoanData[[#This Row],[Approval_Date]],LoanData[[#This Row],[Loan_Term_Months]])</f>
        <v>45611</v>
      </c>
      <c r="E504" t="str">
        <f t="shared" ca="1" si="7"/>
        <v>YES</v>
      </c>
      <c r="F504" s="33">
        <f>IFERROR(LoanData[[#This Row],[EMI]]/LoanData[[#This Row],[Monthly_Income]]*100," ")</f>
        <v>23.853851358569848</v>
      </c>
      <c r="G504" t="str" cm="1">
        <f t="array" ref="G504">_xlfn.IFS(F504&gt;40, "High DTI Risk",F504&gt;=25, "Moderate DTI",F504&lt;25, "Low DTI")</f>
        <v>Low DTI</v>
      </c>
      <c r="H504" t="str" cm="1">
        <f t="array" ref="H5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04" t="str">
        <f>_xlfn.XLOOKUP(H504,Reference_Tables!$B$2:$B$7,Reference_Tables!$C$2:$C$7,,0,1)</f>
        <v>LR</v>
      </c>
      <c r="J504" t="str">
        <f>INDEX(Reference_Tables!$D$11:$D$36,MATCH(LoanData[[#This Row],[Branch]],Reference_Tables!$A$11:$A$36,0))</f>
        <v>Suman Tiwari</v>
      </c>
      <c r="L504" s="35"/>
    </row>
    <row r="505" spans="2:12" ht="15.6" x14ac:dyDescent="0.3">
      <c r="B505" s="15">
        <f>DATEDIF(Loan_Data!K:K,Loan_Data!L:L,"D")</f>
        <v>13</v>
      </c>
      <c r="C505" s="15">
        <f ca="1">DATEDIF(LoanData[[#This Row],[Approval_Date]],TODAY(),"M")</f>
        <v>39</v>
      </c>
      <c r="D505" s="31">
        <f>EDATE(LoanData[[#This Row],[Approval_Date]],LoanData[[#This Row],[Loan_Term_Months]])</f>
        <v>50535</v>
      </c>
      <c r="E505" t="str">
        <f t="shared" ca="1" si="7"/>
        <v>NO</v>
      </c>
      <c r="F505" s="33">
        <f>IFERROR(LoanData[[#This Row],[EMI]]/LoanData[[#This Row],[Monthly_Income]]*100," ")</f>
        <v>7.3466569980369751</v>
      </c>
      <c r="G505" t="str" cm="1">
        <f t="array" ref="G505">_xlfn.IFS(F505&gt;40, "High DTI Risk",F505&gt;=25, "Moderate DTI",F505&lt;25, "Low DTI")</f>
        <v>Low DTI</v>
      </c>
      <c r="H505" t="str" cm="1">
        <f t="array" ref="H5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05" t="str">
        <f>_xlfn.XLOOKUP(H505,Reference_Tables!$B$2:$B$7,Reference_Tables!$C$2:$C$7,,0,1)</f>
        <v>VHR</v>
      </c>
      <c r="J505" t="str">
        <f>INDEX(Reference_Tables!$D$11:$D$36,MATCH(LoanData[[#This Row],[Branch]],Reference_Tables!$A$11:$A$36,0))</f>
        <v>Sandeep Saxena</v>
      </c>
      <c r="L505" s="35"/>
    </row>
    <row r="506" spans="2:12" ht="15.6" x14ac:dyDescent="0.3">
      <c r="B506" s="15">
        <f>DATEDIF(Loan_Data!K:K,Loan_Data!L:L,"D")</f>
        <v>4</v>
      </c>
      <c r="C506" s="15">
        <f ca="1">DATEDIF(LoanData[[#This Row],[Approval_Date]],TODAY(),"M")</f>
        <v>51</v>
      </c>
      <c r="D506" s="31">
        <f>EDATE(LoanData[[#This Row],[Approval_Date]],LoanData[[#This Row],[Loan_Term_Months]])</f>
        <v>46155</v>
      </c>
      <c r="E506" t="str">
        <f t="shared" ca="1" si="7"/>
        <v>YES</v>
      </c>
      <c r="F506" s="33">
        <f>IFERROR(LoanData[[#This Row],[EMI]]/LoanData[[#This Row],[Monthly_Income]]*100," ")</f>
        <v>3.9988761600928076</v>
      </c>
      <c r="G506" t="str" cm="1">
        <f t="array" ref="G506">_xlfn.IFS(F506&gt;40, "High DTI Risk",F506&gt;=25, "Moderate DTI",F506&lt;25, "Low DTI")</f>
        <v>Low DTI</v>
      </c>
      <c r="H506" t="str" cm="1">
        <f t="array" ref="H5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06" t="str">
        <f>_xlfn.XLOOKUP(H506,Reference_Tables!$B$2:$B$7,Reference_Tables!$C$2:$C$7,,0,1)</f>
        <v>VHR</v>
      </c>
      <c r="J506" t="str">
        <f>INDEX(Reference_Tables!$D$11:$D$36,MATCH(LoanData[[#This Row],[Branch]],Reference_Tables!$A$11:$A$36,0))</f>
        <v>Priyanka Gupta</v>
      </c>
      <c r="L506" s="35"/>
    </row>
    <row r="507" spans="2:12" ht="15.6" x14ac:dyDescent="0.3">
      <c r="B507" s="15">
        <f>DATEDIF(Loan_Data!K:K,Loan_Data!L:L,"D")</f>
        <v>6</v>
      </c>
      <c r="C507" s="15">
        <f ca="1">DATEDIF(LoanData[[#This Row],[Approval_Date]],TODAY(),"M")</f>
        <v>39</v>
      </c>
      <c r="D507" s="31">
        <f>EDATE(LoanData[[#This Row],[Approval_Date]],LoanData[[#This Row],[Loan_Term_Months]])</f>
        <v>46500</v>
      </c>
      <c r="E507" t="str">
        <f t="shared" ca="1" si="7"/>
        <v>NO</v>
      </c>
      <c r="F507" s="33">
        <f>IFERROR(LoanData[[#This Row],[EMI]]/LoanData[[#This Row],[Monthly_Income]]*100," ")</f>
        <v>89.372769217376174</v>
      </c>
      <c r="G507" t="str" cm="1">
        <f t="array" ref="G507">_xlfn.IFS(F507&gt;40, "High DTI Risk",F507&gt;=25, "Moderate DTI",F507&lt;25, "Low DTI")</f>
        <v>High DTI Risk</v>
      </c>
      <c r="H507" t="str" cm="1">
        <f t="array" ref="H5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07" t="str">
        <f>_xlfn.XLOOKUP(H507,Reference_Tables!$B$2:$B$7,Reference_Tables!$C$2:$C$7,,0,1)</f>
        <v>VHR</v>
      </c>
      <c r="J507" t="str">
        <f>INDEX(Reference_Tables!$D$11:$D$36,MATCH(LoanData[[#This Row],[Branch]],Reference_Tables!$A$11:$A$36,0))</f>
        <v>Anil Mishra</v>
      </c>
      <c r="L507" s="35"/>
    </row>
    <row r="508" spans="2:12" ht="15.6" x14ac:dyDescent="0.3">
      <c r="B508" s="15">
        <f>DATEDIF(Loan_Data!K:K,Loan_Data!L:L,"D")</f>
        <v>30</v>
      </c>
      <c r="C508" s="15">
        <f ca="1">DATEDIF(LoanData[[#This Row],[Approval_Date]],TODAY(),"M")</f>
        <v>39</v>
      </c>
      <c r="D508" s="31">
        <f>EDATE(LoanData[[#This Row],[Approval_Date]],LoanData[[#This Row],[Loan_Term_Months]])</f>
        <v>46505</v>
      </c>
      <c r="E508" t="str">
        <f t="shared" ca="1" si="7"/>
        <v>NO</v>
      </c>
      <c r="F508" s="33">
        <f>IFERROR(LoanData[[#This Row],[EMI]]/LoanData[[#This Row],[Monthly_Income]]*100," ")</f>
        <v>9.5341773891532515</v>
      </c>
      <c r="G508" t="str" cm="1">
        <f t="array" ref="G508">_xlfn.IFS(F508&gt;40, "High DTI Risk",F508&gt;=25, "Moderate DTI",F508&lt;25, "Low DTI")</f>
        <v>Low DTI</v>
      </c>
      <c r="H508" t="str" cm="1">
        <f t="array" ref="H5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08" t="str">
        <f>_xlfn.XLOOKUP(H508,Reference_Tables!$B$2:$B$7,Reference_Tables!$C$2:$C$7,,0,1)</f>
        <v>VHR</v>
      </c>
      <c r="J508" t="str">
        <f>INDEX(Reference_Tables!$D$11:$D$36,MATCH(LoanData[[#This Row],[Branch]],Reference_Tables!$A$11:$A$36,0))</f>
        <v>Rahul Kapoor</v>
      </c>
      <c r="L508" s="35"/>
    </row>
    <row r="509" spans="2:12" ht="15.6" x14ac:dyDescent="0.3">
      <c r="B509" s="15">
        <f>DATEDIF(Loan_Data!K:K,Loan_Data!L:L,"D")</f>
        <v>13</v>
      </c>
      <c r="C509" s="15">
        <f ca="1">DATEDIF(LoanData[[#This Row],[Approval_Date]],TODAY(),"M")</f>
        <v>38</v>
      </c>
      <c r="D509" s="31">
        <f>EDATE(LoanData[[#This Row],[Approval_Date]],LoanData[[#This Row],[Loan_Term_Months]])</f>
        <v>45817</v>
      </c>
      <c r="E509" t="str">
        <f t="shared" ca="1" si="7"/>
        <v>YES</v>
      </c>
      <c r="F509" s="33">
        <f>IFERROR(LoanData[[#This Row],[EMI]]/LoanData[[#This Row],[Monthly_Income]]*100," ")</f>
        <v>19.332494758909853</v>
      </c>
      <c r="G509" t="str" cm="1">
        <f t="array" ref="G509">_xlfn.IFS(F509&gt;40, "High DTI Risk",F509&gt;=25, "Moderate DTI",F509&lt;25, "Low DTI")</f>
        <v>Low DTI</v>
      </c>
      <c r="H509" t="str" cm="1">
        <f t="array" ref="H5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09" t="str">
        <f>_xlfn.XLOOKUP(H509,Reference_Tables!$B$2:$B$7,Reference_Tables!$C$2:$C$7,,0,1)</f>
        <v>LR</v>
      </c>
      <c r="J509" t="str">
        <f>INDEX(Reference_Tables!$D$11:$D$36,MATCH(LoanData[[#This Row],[Branch]],Reference_Tables!$A$11:$A$36,0))</f>
        <v>Santhosh Rao</v>
      </c>
      <c r="L509" s="35"/>
    </row>
    <row r="510" spans="2:12" ht="15.6" x14ac:dyDescent="0.3">
      <c r="B510" s="15">
        <f>DATEDIF(Loan_Data!K:K,Loan_Data!L:L,"D")</f>
        <v>6</v>
      </c>
      <c r="C510" s="15">
        <f ca="1">DATEDIF(LoanData[[#This Row],[Approval_Date]],TODAY(),"M")</f>
        <v>50</v>
      </c>
      <c r="D510" s="31">
        <f>EDATE(LoanData[[#This Row],[Approval_Date]],LoanData[[#This Row],[Loan_Term_Months]])</f>
        <v>46538</v>
      </c>
      <c r="E510" t="str">
        <f t="shared" ca="1" si="7"/>
        <v>NO</v>
      </c>
      <c r="F510" s="33">
        <f>IFERROR(LoanData[[#This Row],[EMI]]/LoanData[[#This Row],[Monthly_Income]]*100," ")</f>
        <v>1.9810804309779946</v>
      </c>
      <c r="G510" t="str" cm="1">
        <f t="array" ref="G510">_xlfn.IFS(F510&gt;40, "High DTI Risk",F510&gt;=25, "Moderate DTI",F510&lt;25, "Low DTI")</f>
        <v>Low DTI</v>
      </c>
      <c r="H510" t="str" cm="1">
        <f t="array" ref="H5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10" t="str">
        <f>_xlfn.XLOOKUP(H510,Reference_Tables!$B$2:$B$7,Reference_Tables!$C$2:$C$7,,0,1)</f>
        <v>LR</v>
      </c>
      <c r="J510" t="str">
        <f>INDEX(Reference_Tables!$D$11:$D$36,MATCH(LoanData[[#This Row],[Branch]],Reference_Tables!$A$11:$A$36,0))</f>
        <v>Nilesh Shah</v>
      </c>
      <c r="L510" s="35"/>
    </row>
    <row r="511" spans="2:12" ht="15.6" x14ac:dyDescent="0.3">
      <c r="B511" s="15">
        <f>DATEDIF(Loan_Data!K:K,Loan_Data!L:L,"D")</f>
        <v>14</v>
      </c>
      <c r="C511" s="15">
        <f ca="1">DATEDIF(LoanData[[#This Row],[Approval_Date]],TODAY(),"M")</f>
        <v>66</v>
      </c>
      <c r="D511" s="31">
        <f>EDATE(LoanData[[#This Row],[Approval_Date]],LoanData[[#This Row],[Loan_Term_Months]])</f>
        <v>47892</v>
      </c>
      <c r="E511" t="str">
        <f t="shared" ca="1" si="7"/>
        <v>NO</v>
      </c>
      <c r="F511" s="33">
        <f>IFERROR(LoanData[[#This Row],[EMI]]/LoanData[[#This Row],[Monthly_Income]]*100," ")</f>
        <v>1.2657946997843046</v>
      </c>
      <c r="G511" t="str" cm="1">
        <f t="array" ref="G511">_xlfn.IFS(F511&gt;40, "High DTI Risk",F511&gt;=25, "Moderate DTI",F511&lt;25, "Low DTI")</f>
        <v>Low DTI</v>
      </c>
      <c r="H511" t="str" cm="1">
        <f t="array" ref="H5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11" t="str">
        <f>_xlfn.XLOOKUP(H511,Reference_Tables!$B$2:$B$7,Reference_Tables!$C$2:$C$7,,0,1)</f>
        <v>MR</v>
      </c>
      <c r="J511" t="str">
        <f>INDEX(Reference_Tables!$D$11:$D$36,MATCH(LoanData[[#This Row],[Branch]],Reference_Tables!$A$11:$A$36,0))</f>
        <v>Arvind Pillai</v>
      </c>
      <c r="L511" s="35"/>
    </row>
    <row r="512" spans="2:12" ht="15.6" x14ac:dyDescent="0.3">
      <c r="B512" s="15">
        <f>DATEDIF(Loan_Data!K:K,Loan_Data!L:L,"D")</f>
        <v>14</v>
      </c>
      <c r="C512" s="15">
        <f ca="1">DATEDIF(LoanData[[#This Row],[Approval_Date]],TODAY(),"M")</f>
        <v>43</v>
      </c>
      <c r="D512" s="31">
        <f>EDATE(LoanData[[#This Row],[Approval_Date]],LoanData[[#This Row],[Loan_Term_Months]])</f>
        <v>46384</v>
      </c>
      <c r="E512" t="str">
        <f t="shared" ca="1" si="7"/>
        <v>NO</v>
      </c>
      <c r="F512" s="33">
        <f>IFERROR(LoanData[[#This Row],[EMI]]/LoanData[[#This Row],[Monthly_Income]]*100," ")</f>
        <v>17.212918226341046</v>
      </c>
      <c r="G512" t="str" cm="1">
        <f t="array" ref="G512">_xlfn.IFS(F512&gt;40, "High DTI Risk",F512&gt;=25, "Moderate DTI",F512&lt;25, "Low DTI")</f>
        <v>Low DTI</v>
      </c>
      <c r="H512" t="str" cm="1">
        <f t="array" ref="H5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12" t="str">
        <f>_xlfn.XLOOKUP(H512,Reference_Tables!$B$2:$B$7,Reference_Tables!$C$2:$C$7,,0,1)</f>
        <v>VHR</v>
      </c>
      <c r="J512" t="str">
        <f>INDEX(Reference_Tables!$D$11:$D$36,MATCH(LoanData[[#This Row],[Branch]],Reference_Tables!$A$11:$A$36,0))</f>
        <v>Anil Mishra</v>
      </c>
      <c r="L512" s="35"/>
    </row>
    <row r="513" spans="2:12" ht="15.6" x14ac:dyDescent="0.3">
      <c r="B513" s="15">
        <f>DATEDIF(Loan_Data!K:K,Loan_Data!L:L,"D")</f>
        <v>22</v>
      </c>
      <c r="C513" s="15">
        <f ca="1">DATEDIF(LoanData[[#This Row],[Approval_Date]],TODAY(),"M")</f>
        <v>36</v>
      </c>
      <c r="D513" s="31">
        <f>EDATE(LoanData[[#This Row],[Approval_Date]],LoanData[[#This Row],[Loan_Term_Months]])</f>
        <v>46243</v>
      </c>
      <c r="E513" t="str">
        <f t="shared" ca="1" si="7"/>
        <v>YES</v>
      </c>
      <c r="F513" s="33">
        <f>IFERROR(LoanData[[#This Row],[EMI]]/LoanData[[#This Row],[Monthly_Income]]*100," ")</f>
        <v>4.7275759216758209</v>
      </c>
      <c r="G513" t="str" cm="1">
        <f t="array" ref="G513">_xlfn.IFS(F513&gt;40, "High DTI Risk",F513&gt;=25, "Moderate DTI",F513&lt;25, "Low DTI")</f>
        <v>Low DTI</v>
      </c>
      <c r="H513" t="str" cm="1">
        <f t="array" ref="H5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13" t="str">
        <f>_xlfn.XLOOKUP(H513,Reference_Tables!$B$2:$B$7,Reference_Tables!$C$2:$C$7,,0,1)</f>
        <v>LR</v>
      </c>
      <c r="J513" t="str">
        <f>INDEX(Reference_Tables!$D$11:$D$36,MATCH(LoanData[[#This Row],[Branch]],Reference_Tables!$A$11:$A$36,0))</f>
        <v>Puja Chatterjee</v>
      </c>
      <c r="L513" s="35"/>
    </row>
    <row r="514" spans="2:12" ht="15.6" x14ac:dyDescent="0.3">
      <c r="B514" s="15">
        <f>DATEDIF(Loan_Data!K:K,Loan_Data!L:L,"D")</f>
        <v>14</v>
      </c>
      <c r="C514" s="15">
        <f ca="1">DATEDIF(LoanData[[#This Row],[Approval_Date]],TODAY(),"M")</f>
        <v>58</v>
      </c>
      <c r="D514" s="31">
        <f>EDATE(LoanData[[#This Row],[Approval_Date]],LoanData[[#This Row],[Loan_Term_Months]])</f>
        <v>45926</v>
      </c>
      <c r="E514" t="str">
        <f t="shared" ref="E514:E577" ca="1" si="8">IF(D514&lt;TODAY(),"YES","NO")</f>
        <v>YES</v>
      </c>
      <c r="F514" s="33">
        <f>IFERROR(LoanData[[#This Row],[EMI]]/LoanData[[#This Row],[Monthly_Income]]*100," ")</f>
        <v>3.2376767435125844</v>
      </c>
      <c r="G514" t="str" cm="1">
        <f t="array" ref="G514">_xlfn.IFS(F514&gt;40, "High DTI Risk",F514&gt;=25, "Moderate DTI",F514&lt;25, "Low DTI")</f>
        <v>Low DTI</v>
      </c>
      <c r="H514" t="str" cm="1">
        <f t="array" ref="H5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14" t="str">
        <f>_xlfn.XLOOKUP(H514,Reference_Tables!$B$2:$B$7,Reference_Tables!$C$2:$C$7,,0,1)</f>
        <v>LR</v>
      </c>
      <c r="J514" t="str">
        <f>INDEX(Reference_Tables!$D$11:$D$36,MATCH(LoanData[[#This Row],[Branch]],Reference_Tables!$A$11:$A$36,0))</f>
        <v>Nilesh Shah</v>
      </c>
      <c r="L514" s="35"/>
    </row>
    <row r="515" spans="2:12" ht="15.6" x14ac:dyDescent="0.3">
      <c r="B515" s="15">
        <f>DATEDIF(Loan_Data!K:K,Loan_Data!L:L,"D")</f>
        <v>6</v>
      </c>
      <c r="C515" s="15">
        <f ca="1">DATEDIF(LoanData[[#This Row],[Approval_Date]],TODAY(),"M")</f>
        <v>57</v>
      </c>
      <c r="D515" s="31">
        <f>EDATE(LoanData[[#This Row],[Approval_Date]],LoanData[[#This Row],[Loan_Term_Months]])</f>
        <v>46342</v>
      </c>
      <c r="E515" t="str">
        <f t="shared" ca="1" si="8"/>
        <v>NO</v>
      </c>
      <c r="F515" s="33">
        <f>IFERROR(LoanData[[#This Row],[EMI]]/LoanData[[#This Row],[Monthly_Income]]*100," ")</f>
        <v>2.4428892233169517</v>
      </c>
      <c r="G515" t="str" cm="1">
        <f t="array" ref="G515">_xlfn.IFS(F515&gt;40, "High DTI Risk",F515&gt;=25, "Moderate DTI",F515&lt;25, "Low DTI")</f>
        <v>Low DTI</v>
      </c>
      <c r="H515" t="str" cm="1">
        <f t="array" ref="H5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15" t="str">
        <f>_xlfn.XLOOKUP(H515,Reference_Tables!$B$2:$B$7,Reference_Tables!$C$2:$C$7,,0,1)</f>
        <v>LR</v>
      </c>
      <c r="J515" t="str">
        <f>INDEX(Reference_Tables!$D$11:$D$36,MATCH(LoanData[[#This Row],[Branch]],Reference_Tables!$A$11:$A$36,0))</f>
        <v>Meena Iyer</v>
      </c>
      <c r="L515" s="35"/>
    </row>
    <row r="516" spans="2:12" ht="15.6" x14ac:dyDescent="0.3">
      <c r="B516" s="15">
        <f>DATEDIF(Loan_Data!K:K,Loan_Data!L:L,"D")</f>
        <v>8</v>
      </c>
      <c r="C516" s="15">
        <f ca="1">DATEDIF(LoanData[[#This Row],[Approval_Date]],TODAY(),"M")</f>
        <v>46</v>
      </c>
      <c r="D516" s="31">
        <f>EDATE(LoanData[[#This Row],[Approval_Date]],LoanData[[#This Row],[Loan_Term_Months]])</f>
        <v>45555</v>
      </c>
      <c r="E516" t="str">
        <f t="shared" ca="1" si="8"/>
        <v>YES</v>
      </c>
      <c r="F516" s="33">
        <f>IFERROR(LoanData[[#This Row],[EMI]]/LoanData[[#This Row],[Monthly_Income]]*100," ")</f>
        <v>16.832449431943459</v>
      </c>
      <c r="G516" t="str" cm="1">
        <f t="array" ref="G516">_xlfn.IFS(F516&gt;40, "High DTI Risk",F516&gt;=25, "Moderate DTI",F516&lt;25, "Low DTI")</f>
        <v>Low DTI</v>
      </c>
      <c r="H516" t="str" cm="1">
        <f t="array" ref="H5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16" t="str">
        <f>_xlfn.XLOOKUP(H516,Reference_Tables!$B$2:$B$7,Reference_Tables!$C$2:$C$7,,0,1)</f>
        <v>MR</v>
      </c>
      <c r="J516" t="str">
        <f>INDEX(Reference_Tables!$D$11:$D$36,MATCH(LoanData[[#This Row],[Branch]],Reference_Tables!$A$11:$A$36,0))</f>
        <v>Sachin Deshpande</v>
      </c>
      <c r="L516" s="35"/>
    </row>
    <row r="517" spans="2:12" ht="15.6" x14ac:dyDescent="0.3">
      <c r="B517" s="15">
        <f>DATEDIF(Loan_Data!K:K,Loan_Data!L:L,"D")</f>
        <v>16</v>
      </c>
      <c r="C517" s="15">
        <f ca="1">DATEDIF(LoanData[[#This Row],[Approval_Date]],TODAY(),"M")</f>
        <v>41</v>
      </c>
      <c r="D517" s="31">
        <f>EDATE(LoanData[[#This Row],[Approval_Date]],LoanData[[#This Row],[Loan_Term_Months]])</f>
        <v>46439</v>
      </c>
      <c r="E517" t="str">
        <f t="shared" ca="1" si="8"/>
        <v>NO</v>
      </c>
      <c r="F517" s="33">
        <f>IFERROR(LoanData[[#This Row],[EMI]]/LoanData[[#This Row],[Monthly_Income]]*100," ")</f>
        <v>17.303972195529372</v>
      </c>
      <c r="G517" t="str" cm="1">
        <f t="array" ref="G517">_xlfn.IFS(F517&gt;40, "High DTI Risk",F517&gt;=25, "Moderate DTI",F517&lt;25, "Low DTI")</f>
        <v>Low DTI</v>
      </c>
      <c r="H517" t="str" cm="1">
        <f t="array" ref="H5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17" t="str">
        <f>_xlfn.XLOOKUP(H517,Reference_Tables!$B$2:$B$7,Reference_Tables!$C$2:$C$7,,0,1)</f>
        <v>LR</v>
      </c>
      <c r="J517" t="str">
        <f>INDEX(Reference_Tables!$D$11:$D$36,MATCH(LoanData[[#This Row],[Branch]],Reference_Tables!$A$11:$A$36,0))</f>
        <v>Lakshmi Reddy</v>
      </c>
      <c r="L517" s="35"/>
    </row>
    <row r="518" spans="2:12" ht="15.6" x14ac:dyDescent="0.3">
      <c r="B518" s="15">
        <f>DATEDIF(Loan_Data!K:K,Loan_Data!L:L,"D")</f>
        <v>25</v>
      </c>
      <c r="C518" s="15">
        <f ca="1">DATEDIF(LoanData[[#This Row],[Approval_Date]],TODAY(),"M")</f>
        <v>52</v>
      </c>
      <c r="D518" s="31">
        <f>EDATE(LoanData[[#This Row],[Approval_Date]],LoanData[[#This Row],[Loan_Term_Months]])</f>
        <v>50145</v>
      </c>
      <c r="E518" t="str">
        <f t="shared" ca="1" si="8"/>
        <v>NO</v>
      </c>
      <c r="F518" s="33">
        <f>IFERROR(LoanData[[#This Row],[EMI]]/LoanData[[#This Row],[Monthly_Income]]*100," ")</f>
        <v>2.8550200589207009</v>
      </c>
      <c r="G518" t="str" cm="1">
        <f t="array" ref="G518">_xlfn.IFS(F518&gt;40, "High DTI Risk",F518&gt;=25, "Moderate DTI",F518&lt;25, "Low DTI")</f>
        <v>Low DTI</v>
      </c>
      <c r="H518" t="str" cm="1">
        <f t="array" ref="H5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18" t="str">
        <f>_xlfn.XLOOKUP(H518,Reference_Tables!$B$2:$B$7,Reference_Tables!$C$2:$C$7,,0,1)</f>
        <v>MR</v>
      </c>
      <c r="J518" t="str">
        <f>INDEX(Reference_Tables!$D$11:$D$36,MATCH(LoanData[[#This Row],[Branch]],Reference_Tables!$A$11:$A$36,0))</f>
        <v>Suresh Menon</v>
      </c>
      <c r="L518" s="35"/>
    </row>
    <row r="519" spans="2:12" ht="15.6" x14ac:dyDescent="0.3">
      <c r="B519" s="15">
        <f>DATEDIF(Loan_Data!K:K,Loan_Data!L:L,"D")</f>
        <v>5</v>
      </c>
      <c r="C519" s="15">
        <f ca="1">DATEDIF(LoanData[[#This Row],[Approval_Date]],TODAY(),"M")</f>
        <v>42</v>
      </c>
      <c r="D519" s="31">
        <f>EDATE(LoanData[[#This Row],[Approval_Date]],LoanData[[#This Row],[Loan_Term_Months]])</f>
        <v>48620</v>
      </c>
      <c r="E519" t="str">
        <f t="shared" ca="1" si="8"/>
        <v>NO</v>
      </c>
      <c r="F519" s="33">
        <f>IFERROR(LoanData[[#This Row],[EMI]]/LoanData[[#This Row],[Monthly_Income]]*100," ")</f>
        <v>1.2645202388188959</v>
      </c>
      <c r="G519" t="str" cm="1">
        <f t="array" ref="G519">_xlfn.IFS(F519&gt;40, "High DTI Risk",F519&gt;=25, "Moderate DTI",F519&lt;25, "Low DTI")</f>
        <v>Low DTI</v>
      </c>
      <c r="H519" t="str" cm="1">
        <f t="array" ref="H5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19" t="str">
        <f>_xlfn.XLOOKUP(H519,Reference_Tables!$B$2:$B$7,Reference_Tables!$C$2:$C$7,,0,1)</f>
        <v>LR</v>
      </c>
      <c r="J519" t="str">
        <f>INDEX(Reference_Tables!$D$11:$D$36,MATCH(LoanData[[#This Row],[Branch]],Reference_Tables!$A$11:$A$36,0))</f>
        <v>Rituparna Bora</v>
      </c>
      <c r="L519" s="35"/>
    </row>
    <row r="520" spans="2:12" ht="15.6" x14ac:dyDescent="0.3">
      <c r="B520" s="15">
        <f>DATEDIF(Loan_Data!K:K,Loan_Data!L:L,"D")</f>
        <v>21</v>
      </c>
      <c r="C520" s="15">
        <f ca="1">DATEDIF(LoanData[[#This Row],[Approval_Date]],TODAY(),"M")</f>
        <v>45</v>
      </c>
      <c r="D520" s="31">
        <f>EDATE(LoanData[[#This Row],[Approval_Date]],LoanData[[#This Row],[Loan_Term_Months]])</f>
        <v>52171</v>
      </c>
      <c r="E520" t="str">
        <f t="shared" ca="1" si="8"/>
        <v>NO</v>
      </c>
      <c r="F520" s="33">
        <f>IFERROR(LoanData[[#This Row],[EMI]]/LoanData[[#This Row],[Monthly_Income]]*100," ")</f>
        <v>0.60737709544505269</v>
      </c>
      <c r="G520" t="str" cm="1">
        <f t="array" ref="G520">_xlfn.IFS(F520&gt;40, "High DTI Risk",F520&gt;=25, "Moderate DTI",F520&lt;25, "Low DTI")</f>
        <v>Low DTI</v>
      </c>
      <c r="H520" t="str" cm="1">
        <f t="array" ref="H5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20" t="str">
        <f>_xlfn.XLOOKUP(H520,Reference_Tables!$B$2:$B$7,Reference_Tables!$C$2:$C$7,,0,1)</f>
        <v>VHR</v>
      </c>
      <c r="J520" t="str">
        <f>INDEX(Reference_Tables!$D$11:$D$36,MATCH(LoanData[[#This Row],[Branch]],Reference_Tables!$A$11:$A$36,0))</f>
        <v>Meena Iyer</v>
      </c>
      <c r="L520" s="35"/>
    </row>
    <row r="521" spans="2:12" ht="15.6" x14ac:dyDescent="0.3">
      <c r="B521" s="15">
        <f>DATEDIF(Loan_Data!K:K,Loan_Data!L:L,"D")</f>
        <v>27</v>
      </c>
      <c r="C521" s="15">
        <f ca="1">DATEDIF(LoanData[[#This Row],[Approval_Date]],TODAY(),"M")</f>
        <v>57</v>
      </c>
      <c r="D521" s="31">
        <f>EDATE(LoanData[[#This Row],[Approval_Date]],LoanData[[#This Row],[Loan_Term_Months]])</f>
        <v>46338</v>
      </c>
      <c r="E521" t="str">
        <f t="shared" ca="1" si="8"/>
        <v>NO</v>
      </c>
      <c r="F521" s="33">
        <f>IFERROR(LoanData[[#This Row],[EMI]]/LoanData[[#This Row],[Monthly_Income]]*100," ")</f>
        <v>3.1134415381589755</v>
      </c>
      <c r="G521" t="str" cm="1">
        <f t="array" ref="G521">_xlfn.IFS(F521&gt;40, "High DTI Risk",F521&gt;=25, "Moderate DTI",F521&lt;25, "Low DTI")</f>
        <v>Low DTI</v>
      </c>
      <c r="H521" t="str" cm="1">
        <f t="array" ref="H5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21" t="str">
        <f>_xlfn.XLOOKUP(H521,Reference_Tables!$B$2:$B$7,Reference_Tables!$C$2:$C$7,,0,1)</f>
        <v>HR</v>
      </c>
      <c r="J521" t="str">
        <f>INDEX(Reference_Tables!$D$11:$D$36,MATCH(LoanData[[#This Row],[Branch]],Reference_Tables!$A$11:$A$36,0))</f>
        <v>Debashis Das</v>
      </c>
      <c r="L521" s="35"/>
    </row>
    <row r="522" spans="2:12" ht="15.6" x14ac:dyDescent="0.3">
      <c r="B522" s="15">
        <f>DATEDIF(Loan_Data!K:K,Loan_Data!L:L,"D")</f>
        <v>7</v>
      </c>
      <c r="C522" s="15">
        <f ca="1">DATEDIF(LoanData[[#This Row],[Approval_Date]],TODAY(),"M")</f>
        <v>66</v>
      </c>
      <c r="D522" s="31">
        <f>EDATE(LoanData[[#This Row],[Approval_Date]],LoanData[[#This Row],[Loan_Term_Months]])</f>
        <v>44958</v>
      </c>
      <c r="E522" t="str">
        <f t="shared" ca="1" si="8"/>
        <v>YES</v>
      </c>
      <c r="F522" s="33">
        <f>IFERROR(LoanData[[#This Row],[EMI]]/LoanData[[#This Row],[Monthly_Income]]*100," ")</f>
        <v>3.4341983965136742</v>
      </c>
      <c r="G522" t="str" cm="1">
        <f t="array" ref="G522">_xlfn.IFS(F522&gt;40, "High DTI Risk",F522&gt;=25, "Moderate DTI",F522&lt;25, "Low DTI")</f>
        <v>Low DTI</v>
      </c>
      <c r="H522" t="str" cm="1">
        <f t="array" ref="H5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22" t="str">
        <f>_xlfn.XLOOKUP(H522,Reference_Tables!$B$2:$B$7,Reference_Tables!$C$2:$C$7,,0,1)</f>
        <v>MR</v>
      </c>
      <c r="J522" t="str">
        <f>INDEX(Reference_Tables!$D$11:$D$36,MATCH(LoanData[[#This Row],[Branch]],Reference_Tables!$A$11:$A$36,0))</f>
        <v>Santhosh Rao</v>
      </c>
      <c r="L522" s="35"/>
    </row>
    <row r="523" spans="2:12" ht="15.6" x14ac:dyDescent="0.3">
      <c r="B523" s="15">
        <f>DATEDIF(Loan_Data!K:K,Loan_Data!L:L,"D")</f>
        <v>18</v>
      </c>
      <c r="C523" s="15">
        <f ca="1">DATEDIF(LoanData[[#This Row],[Approval_Date]],TODAY(),"M")</f>
        <v>45</v>
      </c>
      <c r="D523" s="31">
        <f>EDATE(LoanData[[#This Row],[Approval_Date]],LoanData[[#This Row],[Loan_Term_Months]])</f>
        <v>45614</v>
      </c>
      <c r="E523" t="str">
        <f t="shared" ca="1" si="8"/>
        <v>YES</v>
      </c>
      <c r="F523" s="33">
        <f>IFERROR(LoanData[[#This Row],[EMI]]/LoanData[[#This Row],[Monthly_Income]]*100," ")</f>
        <v>7.4074207768625779</v>
      </c>
      <c r="G523" t="str" cm="1">
        <f t="array" ref="G523">_xlfn.IFS(F523&gt;40, "High DTI Risk",F523&gt;=25, "Moderate DTI",F523&lt;25, "Low DTI")</f>
        <v>Low DTI</v>
      </c>
      <c r="H523" t="str" cm="1">
        <f t="array" ref="H5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23" t="str">
        <f>_xlfn.XLOOKUP(H523,Reference_Tables!$B$2:$B$7,Reference_Tables!$C$2:$C$7,,0,1)</f>
        <v>LR</v>
      </c>
      <c r="J523" t="str">
        <f>INDEX(Reference_Tables!$D$11:$D$36,MATCH(LoanData[[#This Row],[Branch]],Reference_Tables!$A$11:$A$36,0))</f>
        <v>Amit Kumar</v>
      </c>
      <c r="L523" s="35"/>
    </row>
    <row r="524" spans="2:12" ht="15.6" x14ac:dyDescent="0.3">
      <c r="B524" s="15">
        <f>DATEDIF(Loan_Data!K:K,Loan_Data!L:L,"D")</f>
        <v>20</v>
      </c>
      <c r="C524" s="15">
        <f ca="1">DATEDIF(LoanData[[#This Row],[Approval_Date]],TODAY(),"M")</f>
        <v>44</v>
      </c>
      <c r="D524" s="31">
        <f>EDATE(LoanData[[#This Row],[Approval_Date]],LoanData[[#This Row],[Loan_Term_Months]])</f>
        <v>45250</v>
      </c>
      <c r="E524" t="str">
        <f t="shared" ca="1" si="8"/>
        <v>YES</v>
      </c>
      <c r="F524" s="33">
        <f>IFERROR(LoanData[[#This Row],[EMI]]/LoanData[[#This Row],[Monthly_Income]]*100," ")</f>
        <v>11.220332338128411</v>
      </c>
      <c r="G524" t="str" cm="1">
        <f t="array" ref="G524">_xlfn.IFS(F524&gt;40, "High DTI Risk",F524&gt;=25, "Moderate DTI",F524&lt;25, "Low DTI")</f>
        <v>Low DTI</v>
      </c>
      <c r="H524" t="str" cm="1">
        <f t="array" ref="H5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524" t="str">
        <f>_xlfn.XLOOKUP(H524,Reference_Tables!$B$2:$B$7,Reference_Tables!$C$2:$C$7,,0,1)</f>
        <v>UC</v>
      </c>
      <c r="J524" t="str">
        <f>INDEX(Reference_Tables!$D$11:$D$36,MATCH(LoanData[[#This Row],[Branch]],Reference_Tables!$A$11:$A$36,0))</f>
        <v>Arvind Pillai</v>
      </c>
      <c r="L524" s="35"/>
    </row>
    <row r="525" spans="2:12" ht="15.6" x14ac:dyDescent="0.3">
      <c r="B525" s="15">
        <f>DATEDIF(Loan_Data!K:K,Loan_Data!L:L,"D")</f>
        <v>28</v>
      </c>
      <c r="C525" s="15">
        <f ca="1">DATEDIF(LoanData[[#This Row],[Approval_Date]],TODAY(),"M")</f>
        <v>54</v>
      </c>
      <c r="D525" s="31">
        <f>EDATE(LoanData[[#This Row],[Approval_Date]],LoanData[[#This Row],[Loan_Term_Months]])</f>
        <v>44953</v>
      </c>
      <c r="E525" t="str">
        <f t="shared" ca="1" si="8"/>
        <v>YES</v>
      </c>
      <c r="F525" s="33">
        <f>IFERROR(LoanData[[#This Row],[EMI]]/LoanData[[#This Row],[Monthly_Income]]*100," ")</f>
        <v>7.8437894419934926</v>
      </c>
      <c r="G525" t="str" cm="1">
        <f t="array" ref="G525">_xlfn.IFS(F525&gt;40, "High DTI Risk",F525&gt;=25, "Moderate DTI",F525&lt;25, "Low DTI")</f>
        <v>Low DTI</v>
      </c>
      <c r="H525" t="str" cm="1">
        <f t="array" ref="H5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25" t="str">
        <f>_xlfn.XLOOKUP(H525,Reference_Tables!$B$2:$B$7,Reference_Tables!$C$2:$C$7,,0,1)</f>
        <v>HR</v>
      </c>
      <c r="J525" t="str">
        <f>INDEX(Reference_Tables!$D$11:$D$36,MATCH(LoanData[[#This Row],[Branch]],Reference_Tables!$A$11:$A$36,0))</f>
        <v>Suman Tiwari</v>
      </c>
      <c r="L525" s="35"/>
    </row>
    <row r="526" spans="2:12" ht="15.6" x14ac:dyDescent="0.3">
      <c r="B526" s="15">
        <f>DATEDIF(Loan_Data!K:K,Loan_Data!L:L,"D")</f>
        <v>26</v>
      </c>
      <c r="C526" s="15">
        <f ca="1">DATEDIF(LoanData[[#This Row],[Approval_Date]],TODAY(),"M")</f>
        <v>38</v>
      </c>
      <c r="D526" s="31">
        <f>EDATE(LoanData[[#This Row],[Approval_Date]],LoanData[[#This Row],[Loan_Term_Months]])</f>
        <v>46556</v>
      </c>
      <c r="E526" t="str">
        <f t="shared" ca="1" si="8"/>
        <v>NO</v>
      </c>
      <c r="F526" s="33">
        <f>IFERROR(LoanData[[#This Row],[EMI]]/LoanData[[#This Row],[Monthly_Income]]*100," ")</f>
        <v>1.3810254005901983</v>
      </c>
      <c r="G526" t="str" cm="1">
        <f t="array" ref="G526">_xlfn.IFS(F526&gt;40, "High DTI Risk",F526&gt;=25, "Moderate DTI",F526&lt;25, "Low DTI")</f>
        <v>Low DTI</v>
      </c>
      <c r="H526" t="str" cm="1">
        <f t="array" ref="H5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26" t="str">
        <f>_xlfn.XLOOKUP(H526,Reference_Tables!$B$2:$B$7,Reference_Tables!$C$2:$C$7,,0,1)</f>
        <v>LR</v>
      </c>
      <c r="J526" t="str">
        <f>INDEX(Reference_Tables!$D$11:$D$36,MATCH(LoanData[[#This Row],[Branch]],Reference_Tables!$A$11:$A$36,0))</f>
        <v>Meena Iyer</v>
      </c>
      <c r="L526" s="35"/>
    </row>
    <row r="527" spans="2:12" ht="15.6" x14ac:dyDescent="0.3">
      <c r="B527" s="15">
        <f>DATEDIF(Loan_Data!K:K,Loan_Data!L:L,"D")</f>
        <v>5</v>
      </c>
      <c r="C527" s="15">
        <f ca="1">DATEDIF(LoanData[[#This Row],[Approval_Date]],TODAY(),"M")</f>
        <v>62</v>
      </c>
      <c r="D527" s="31">
        <f>EDATE(LoanData[[#This Row],[Approval_Date]],LoanData[[#This Row],[Loan_Term_Months]])</f>
        <v>51656</v>
      </c>
      <c r="E527" t="str">
        <f t="shared" ca="1" si="8"/>
        <v>NO</v>
      </c>
      <c r="F527" s="33">
        <f>IFERROR(LoanData[[#This Row],[EMI]]/LoanData[[#This Row],[Monthly_Income]]*100," ")</f>
        <v>3.6696527266028003</v>
      </c>
      <c r="G527" t="str" cm="1">
        <f t="array" ref="G527">_xlfn.IFS(F527&gt;40, "High DTI Risk",F527&gt;=25, "Moderate DTI",F527&lt;25, "Low DTI")</f>
        <v>Low DTI</v>
      </c>
      <c r="H527" t="str" cm="1">
        <f t="array" ref="H5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27" t="str">
        <f>_xlfn.XLOOKUP(H527,Reference_Tables!$B$2:$B$7,Reference_Tables!$C$2:$C$7,,0,1)</f>
        <v>VHR</v>
      </c>
      <c r="J527" t="str">
        <f>INDEX(Reference_Tables!$D$11:$D$36,MATCH(LoanData[[#This Row],[Branch]],Reference_Tables!$A$11:$A$36,0))</f>
        <v>Sachin Deshpande</v>
      </c>
      <c r="L527" s="35"/>
    </row>
    <row r="528" spans="2:12" ht="15.6" x14ac:dyDescent="0.3">
      <c r="B528" s="15">
        <f>DATEDIF(Loan_Data!K:K,Loan_Data!L:L,"D")</f>
        <v>13</v>
      </c>
      <c r="C528" s="15">
        <f ca="1">DATEDIF(LoanData[[#This Row],[Approval_Date]],TODAY(),"M")</f>
        <v>56</v>
      </c>
      <c r="D528" s="31">
        <f>EDATE(LoanData[[#This Row],[Approval_Date]],LoanData[[#This Row],[Loan_Term_Months]])</f>
        <v>45630</v>
      </c>
      <c r="E528" t="str">
        <f t="shared" ca="1" si="8"/>
        <v>YES</v>
      </c>
      <c r="F528" s="33">
        <f>IFERROR(LoanData[[#This Row],[EMI]]/LoanData[[#This Row],[Monthly_Income]]*100," ")</f>
        <v>3.7509507557289128</v>
      </c>
      <c r="G528" t="str" cm="1">
        <f t="array" ref="G528">_xlfn.IFS(F528&gt;40, "High DTI Risk",F528&gt;=25, "Moderate DTI",F528&lt;25, "Low DTI")</f>
        <v>Low DTI</v>
      </c>
      <c r="H528" t="str" cm="1">
        <f t="array" ref="H5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28" t="str">
        <f>_xlfn.XLOOKUP(H528,Reference_Tables!$B$2:$B$7,Reference_Tables!$C$2:$C$7,,0,1)</f>
        <v>VHR</v>
      </c>
      <c r="J528" t="str">
        <f>INDEX(Reference_Tables!$D$11:$D$36,MATCH(LoanData[[#This Row],[Branch]],Reference_Tables!$A$11:$A$36,0))</f>
        <v>Hetal Patel</v>
      </c>
      <c r="L528" s="35"/>
    </row>
    <row r="529" spans="2:12" ht="15.6" x14ac:dyDescent="0.3">
      <c r="B529" s="15">
        <f>DATEDIF(Loan_Data!K:K,Loan_Data!L:L,"D")</f>
        <v>15</v>
      </c>
      <c r="C529" s="15">
        <f ca="1">DATEDIF(LoanData[[#This Row],[Approval_Date]],TODAY(),"M")</f>
        <v>43</v>
      </c>
      <c r="D529" s="31">
        <f>EDATE(LoanData[[#This Row],[Approval_Date]],LoanData[[#This Row],[Loan_Term_Months]])</f>
        <v>46031</v>
      </c>
      <c r="E529" t="str">
        <f t="shared" ca="1" si="8"/>
        <v>YES</v>
      </c>
      <c r="F529" s="33">
        <f>IFERROR(LoanData[[#This Row],[EMI]]/LoanData[[#This Row],[Monthly_Income]]*100," ")</f>
        <v>13.070372629316603</v>
      </c>
      <c r="G529" t="str" cm="1">
        <f t="array" ref="G529">_xlfn.IFS(F529&gt;40, "High DTI Risk",F529&gt;=25, "Moderate DTI",F529&lt;25, "Low DTI")</f>
        <v>Low DTI</v>
      </c>
      <c r="H529" t="str" cm="1">
        <f t="array" ref="H5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29" t="str">
        <f>_xlfn.XLOOKUP(H529,Reference_Tables!$B$2:$B$7,Reference_Tables!$C$2:$C$7,,0,1)</f>
        <v>VHR</v>
      </c>
      <c r="J529" t="str">
        <f>INDEX(Reference_Tables!$D$11:$D$36,MATCH(LoanData[[#This Row],[Branch]],Reference_Tables!$A$11:$A$36,0))</f>
        <v>Kavita Joshi</v>
      </c>
      <c r="L529" s="35"/>
    </row>
    <row r="530" spans="2:12" ht="15.6" x14ac:dyDescent="0.3">
      <c r="B530" s="15">
        <f>DATEDIF(Loan_Data!K:K,Loan_Data!L:L,"D")</f>
        <v>12</v>
      </c>
      <c r="C530" s="15">
        <f ca="1">DATEDIF(LoanData[[#This Row],[Approval_Date]],TODAY(),"M")</f>
        <v>66</v>
      </c>
      <c r="D530" s="31">
        <f>EDATE(LoanData[[#This Row],[Approval_Date]],LoanData[[#This Row],[Loan_Term_Months]])</f>
        <v>44592</v>
      </c>
      <c r="E530" t="str">
        <f t="shared" ca="1" si="8"/>
        <v>YES</v>
      </c>
      <c r="F530" s="33">
        <f>IFERROR(LoanData[[#This Row],[EMI]]/LoanData[[#This Row],[Monthly_Income]]*100," ")</f>
        <v>125.75432140069142</v>
      </c>
      <c r="G530" t="str" cm="1">
        <f t="array" ref="G530">_xlfn.IFS(F530&gt;40, "High DTI Risk",F530&gt;=25, "Moderate DTI",F530&lt;25, "Low DTI")</f>
        <v>High DTI Risk</v>
      </c>
      <c r="H530" t="str" cm="1">
        <f t="array" ref="H5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30" t="str">
        <f>_xlfn.XLOOKUP(H530,Reference_Tables!$B$2:$B$7,Reference_Tables!$C$2:$C$7,,0,1)</f>
        <v>VHR</v>
      </c>
      <c r="J530" t="str">
        <f>INDEX(Reference_Tables!$D$11:$D$36,MATCH(LoanData[[#This Row],[Branch]],Reference_Tables!$A$11:$A$36,0))</f>
        <v>Anil Mishra</v>
      </c>
      <c r="L530" s="35"/>
    </row>
    <row r="531" spans="2:12" ht="15.6" x14ac:dyDescent="0.3">
      <c r="B531" s="15">
        <f>DATEDIF(Loan_Data!K:K,Loan_Data!L:L,"D")</f>
        <v>3</v>
      </c>
      <c r="C531" s="15">
        <f ca="1">DATEDIF(LoanData[[#This Row],[Approval_Date]],TODAY(),"M")</f>
        <v>43</v>
      </c>
      <c r="D531" s="31">
        <f>EDATE(LoanData[[#This Row],[Approval_Date]],LoanData[[#This Row],[Loan_Term_Months]])</f>
        <v>46745</v>
      </c>
      <c r="E531" t="str">
        <f t="shared" ca="1" si="8"/>
        <v>NO</v>
      </c>
      <c r="F531" s="33">
        <f>IFERROR(LoanData[[#This Row],[EMI]]/LoanData[[#This Row],[Monthly_Income]]*100," ")</f>
        <v>3.0611753074213683</v>
      </c>
      <c r="G531" t="str" cm="1">
        <f t="array" ref="G531">_xlfn.IFS(F531&gt;40, "High DTI Risk",F531&gt;=25, "Moderate DTI",F531&lt;25, "Low DTI")</f>
        <v>Low DTI</v>
      </c>
      <c r="H531" t="str" cm="1">
        <f t="array" ref="H5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31" t="str">
        <f>_xlfn.XLOOKUP(H531,Reference_Tables!$B$2:$B$7,Reference_Tables!$C$2:$C$7,,0,1)</f>
        <v>VHR</v>
      </c>
      <c r="J531" t="str">
        <f>INDEX(Reference_Tables!$D$11:$D$36,MATCH(LoanData[[#This Row],[Branch]],Reference_Tables!$A$11:$A$36,0))</f>
        <v>Nilesh Shah</v>
      </c>
      <c r="L531" s="35"/>
    </row>
    <row r="532" spans="2:12" ht="15.6" x14ac:dyDescent="0.3">
      <c r="B532" s="15">
        <f>DATEDIF(Loan_Data!K:K,Loan_Data!L:L,"D")</f>
        <v>21</v>
      </c>
      <c r="C532" s="15">
        <f ca="1">DATEDIF(LoanData[[#This Row],[Approval_Date]],TODAY(),"M")</f>
        <v>42</v>
      </c>
      <c r="D532" s="31">
        <f>EDATE(LoanData[[#This Row],[Approval_Date]],LoanData[[#This Row],[Loan_Term_Months]])</f>
        <v>45703</v>
      </c>
      <c r="E532" t="str">
        <f t="shared" ca="1" si="8"/>
        <v>YES</v>
      </c>
      <c r="F532" s="33">
        <f>IFERROR(LoanData[[#This Row],[EMI]]/LoanData[[#This Row],[Monthly_Income]]*100," ")</f>
        <v>6.1578064067608809</v>
      </c>
      <c r="G532" t="str" cm="1">
        <f t="array" ref="G532">_xlfn.IFS(F532&gt;40, "High DTI Risk",F532&gt;=25, "Moderate DTI",F532&lt;25, "Low DTI")</f>
        <v>Low DTI</v>
      </c>
      <c r="H532" t="str" cm="1">
        <f t="array" ref="H5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32" t="str">
        <f>_xlfn.XLOOKUP(H532,Reference_Tables!$B$2:$B$7,Reference_Tables!$C$2:$C$7,,0,1)</f>
        <v>LR</v>
      </c>
      <c r="J532" t="str">
        <f>INDEX(Reference_Tables!$D$11:$D$36,MATCH(LoanData[[#This Row],[Branch]],Reference_Tables!$A$11:$A$36,0))</f>
        <v>Deepak Nair</v>
      </c>
      <c r="L532" s="35"/>
    </row>
    <row r="533" spans="2:12" ht="15.6" x14ac:dyDescent="0.3">
      <c r="B533" s="15">
        <f>DATEDIF(Loan_Data!K:K,Loan_Data!L:L,"D")</f>
        <v>25</v>
      </c>
      <c r="C533" s="15">
        <f ca="1">DATEDIF(LoanData[[#This Row],[Approval_Date]],TODAY(),"M")</f>
        <v>61</v>
      </c>
      <c r="D533" s="31">
        <f>EDATE(LoanData[[#This Row],[Approval_Date]],LoanData[[#This Row],[Loan_Term_Months]])</f>
        <v>46202</v>
      </c>
      <c r="E533" t="str">
        <f t="shared" ca="1" si="8"/>
        <v>YES</v>
      </c>
      <c r="F533" s="33">
        <f>IFERROR(LoanData[[#This Row],[EMI]]/LoanData[[#This Row],[Monthly_Income]]*100," ")</f>
        <v>0.97485539549791844</v>
      </c>
      <c r="G533" t="str" cm="1">
        <f t="array" ref="G533">_xlfn.IFS(F533&gt;40, "High DTI Risk",F533&gt;=25, "Moderate DTI",F533&lt;25, "Low DTI")</f>
        <v>Low DTI</v>
      </c>
      <c r="H533" t="str" cm="1">
        <f t="array" ref="H5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33" t="str">
        <f>_xlfn.XLOOKUP(H533,Reference_Tables!$B$2:$B$7,Reference_Tables!$C$2:$C$7,,0,1)</f>
        <v>LR</v>
      </c>
      <c r="J533" t="str">
        <f>INDEX(Reference_Tables!$D$11:$D$36,MATCH(LoanData[[#This Row],[Branch]],Reference_Tables!$A$11:$A$36,0))</f>
        <v>Jigar Mehta</v>
      </c>
      <c r="L533" s="35"/>
    </row>
    <row r="534" spans="2:12" ht="15.6" x14ac:dyDescent="0.3">
      <c r="B534" s="15">
        <f>DATEDIF(Loan_Data!K:K,Loan_Data!L:L,"D")</f>
        <v>28</v>
      </c>
      <c r="C534" s="15">
        <f ca="1">DATEDIF(LoanData[[#This Row],[Approval_Date]],TODAY(),"M")</f>
        <v>54</v>
      </c>
      <c r="D534" s="31">
        <f>EDATE(LoanData[[#This Row],[Approval_Date]],LoanData[[#This Row],[Loan_Term_Months]])</f>
        <v>50089</v>
      </c>
      <c r="E534" t="str">
        <f t="shared" ca="1" si="8"/>
        <v>NO</v>
      </c>
      <c r="F534" s="33">
        <f>IFERROR(LoanData[[#This Row],[EMI]]/LoanData[[#This Row],[Monthly_Income]]*100," ")</f>
        <v>3.6507530612474794</v>
      </c>
      <c r="G534" t="str" cm="1">
        <f t="array" ref="G534">_xlfn.IFS(F534&gt;40, "High DTI Risk",F534&gt;=25, "Moderate DTI",F534&lt;25, "Low DTI")</f>
        <v>Low DTI</v>
      </c>
      <c r="H534" t="str" cm="1">
        <f t="array" ref="H5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34" t="str">
        <f>_xlfn.XLOOKUP(H534,Reference_Tables!$B$2:$B$7,Reference_Tables!$C$2:$C$7,,0,1)</f>
        <v>VHR</v>
      </c>
      <c r="J534" t="str">
        <f>INDEX(Reference_Tables!$D$11:$D$36,MATCH(LoanData[[#This Row],[Branch]],Reference_Tables!$A$11:$A$36,0))</f>
        <v>Meena Iyer</v>
      </c>
      <c r="L534" s="35"/>
    </row>
    <row r="535" spans="2:12" ht="15.6" x14ac:dyDescent="0.3">
      <c r="B535" s="15">
        <f>DATEDIF(Loan_Data!K:K,Loan_Data!L:L,"D")</f>
        <v>30</v>
      </c>
      <c r="C535" s="15">
        <f ca="1">DATEDIF(LoanData[[#This Row],[Approval_Date]],TODAY(),"M")</f>
        <v>47</v>
      </c>
      <c r="D535" s="31">
        <f>EDATE(LoanData[[#This Row],[Approval_Date]],LoanData[[#This Row],[Loan_Term_Months]])</f>
        <v>45528</v>
      </c>
      <c r="E535" t="str">
        <f t="shared" ca="1" si="8"/>
        <v>YES</v>
      </c>
      <c r="F535" s="33">
        <f>IFERROR(LoanData[[#This Row],[EMI]]/LoanData[[#This Row],[Monthly_Income]]*100," ")</f>
        <v>34.521191864599629</v>
      </c>
      <c r="G535" t="str" cm="1">
        <f t="array" ref="G535">_xlfn.IFS(F535&gt;40, "High DTI Risk",F535&gt;=25, "Moderate DTI",F535&lt;25, "Low DTI")</f>
        <v>Moderate DTI</v>
      </c>
      <c r="H535" t="str" cm="1">
        <f t="array" ref="H5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35" t="str">
        <f>_xlfn.XLOOKUP(H535,Reference_Tables!$B$2:$B$7,Reference_Tables!$C$2:$C$7,,0,1)</f>
        <v>LR</v>
      </c>
      <c r="J535" t="str">
        <f>INDEX(Reference_Tables!$D$11:$D$36,MATCH(LoanData[[#This Row],[Branch]],Reference_Tables!$A$11:$A$36,0))</f>
        <v>Arvind Pillai</v>
      </c>
      <c r="L535" s="35"/>
    </row>
    <row r="536" spans="2:12" ht="15.6" x14ac:dyDescent="0.3">
      <c r="B536" s="15">
        <f>DATEDIF(Loan_Data!K:K,Loan_Data!L:L,"D")</f>
        <v>19</v>
      </c>
      <c r="C536" s="15">
        <f ca="1">DATEDIF(LoanData[[#This Row],[Approval_Date]],TODAY(),"M")</f>
        <v>51</v>
      </c>
      <c r="D536" s="31">
        <f>EDATE(LoanData[[#This Row],[Approval_Date]],LoanData[[#This Row],[Loan_Term_Months]])</f>
        <v>45788</v>
      </c>
      <c r="E536" t="str">
        <f t="shared" ca="1" si="8"/>
        <v>YES</v>
      </c>
      <c r="F536" s="33">
        <f>IFERROR(LoanData[[#This Row],[EMI]]/LoanData[[#This Row],[Monthly_Income]]*100," ")</f>
        <v>6.8645007323602192</v>
      </c>
      <c r="G536" t="str" cm="1">
        <f t="array" ref="G536">_xlfn.IFS(F536&gt;40, "High DTI Risk",F536&gt;=25, "Moderate DTI",F536&lt;25, "Low DTI")</f>
        <v>Low DTI</v>
      </c>
      <c r="H536" t="str" cm="1">
        <f t="array" ref="H5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36" t="str">
        <f>_xlfn.XLOOKUP(H536,Reference_Tables!$B$2:$B$7,Reference_Tables!$C$2:$C$7,,0,1)</f>
        <v>MR</v>
      </c>
      <c r="J536" t="str">
        <f>INDEX(Reference_Tables!$D$11:$D$36,MATCH(LoanData[[#This Row],[Branch]],Reference_Tables!$A$11:$A$36,0))</f>
        <v>Ananya Sharma</v>
      </c>
      <c r="L536" s="35"/>
    </row>
    <row r="537" spans="2:12" ht="15.6" x14ac:dyDescent="0.3">
      <c r="B537" s="15">
        <f>DATEDIF(Loan_Data!K:K,Loan_Data!L:L,"D")</f>
        <v>4</v>
      </c>
      <c r="C537" s="15">
        <f ca="1">DATEDIF(LoanData[[#This Row],[Approval_Date]],TODAY(),"M")</f>
        <v>54</v>
      </c>
      <c r="D537" s="31">
        <f>EDATE(LoanData[[#This Row],[Approval_Date]],LoanData[[#This Row],[Loan_Term_Months]])</f>
        <v>48243</v>
      </c>
      <c r="E537" t="str">
        <f t="shared" ca="1" si="8"/>
        <v>NO</v>
      </c>
      <c r="F537" s="33">
        <f>IFERROR(LoanData[[#This Row],[EMI]]/LoanData[[#This Row],[Monthly_Income]]*100," ")</f>
        <v>0.89559811347720464</v>
      </c>
      <c r="G537" t="str" cm="1">
        <f t="array" ref="G537">_xlfn.IFS(F537&gt;40, "High DTI Risk",F537&gt;=25, "Moderate DTI",F537&lt;25, "Low DTI")</f>
        <v>Low DTI</v>
      </c>
      <c r="H537" t="str" cm="1">
        <f t="array" ref="H5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37" t="str">
        <f>_xlfn.XLOOKUP(H537,Reference_Tables!$B$2:$B$7,Reference_Tables!$C$2:$C$7,,0,1)</f>
        <v>HR</v>
      </c>
      <c r="J537" t="str">
        <f>INDEX(Reference_Tables!$D$11:$D$36,MATCH(LoanData[[#This Row],[Branch]],Reference_Tables!$A$11:$A$36,0))</f>
        <v>Rahul Kapoor</v>
      </c>
      <c r="L537" s="35"/>
    </row>
    <row r="538" spans="2:12" ht="15.6" x14ac:dyDescent="0.3">
      <c r="B538" s="15">
        <f>DATEDIF(Loan_Data!K:K,Loan_Data!L:L,"D")</f>
        <v>29</v>
      </c>
      <c r="C538" s="15">
        <f ca="1">DATEDIF(LoanData[[#This Row],[Approval_Date]],TODAY(),"M")</f>
        <v>43</v>
      </c>
      <c r="D538" s="31">
        <f>EDATE(LoanData[[#This Row],[Approval_Date]],LoanData[[#This Row],[Loan_Term_Months]])</f>
        <v>45648</v>
      </c>
      <c r="E538" t="str">
        <f t="shared" ca="1" si="8"/>
        <v>YES</v>
      </c>
      <c r="F538" s="33">
        <f>IFERROR(LoanData[[#This Row],[EMI]]/LoanData[[#This Row],[Monthly_Income]]*100," ")</f>
        <v>13.740980757434629</v>
      </c>
      <c r="G538" t="str" cm="1">
        <f t="array" ref="G538">_xlfn.IFS(F538&gt;40, "High DTI Risk",F538&gt;=25, "Moderate DTI",F538&lt;25, "Low DTI")</f>
        <v>Low DTI</v>
      </c>
      <c r="H538" t="str" cm="1">
        <f t="array" ref="H5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38" t="str">
        <f>_xlfn.XLOOKUP(H538,Reference_Tables!$B$2:$B$7,Reference_Tables!$C$2:$C$7,,0,1)</f>
        <v>LR</v>
      </c>
      <c r="J538" t="str">
        <f>INDEX(Reference_Tables!$D$11:$D$36,MATCH(LoanData[[#This Row],[Branch]],Reference_Tables!$A$11:$A$36,0))</f>
        <v>Meena Iyer</v>
      </c>
      <c r="L538" s="35"/>
    </row>
    <row r="539" spans="2:12" ht="15.6" x14ac:dyDescent="0.3">
      <c r="B539" s="15">
        <f>DATEDIF(Loan_Data!K:K,Loan_Data!L:L,"D")</f>
        <v>7</v>
      </c>
      <c r="C539" s="15">
        <f ca="1">DATEDIF(LoanData[[#This Row],[Approval_Date]],TODAY(),"M")</f>
        <v>32</v>
      </c>
      <c r="D539" s="31">
        <f>EDATE(LoanData[[#This Row],[Approval_Date]],LoanData[[#This Row],[Loan_Term_Months]])</f>
        <v>46360</v>
      </c>
      <c r="E539" t="str">
        <f t="shared" ca="1" si="8"/>
        <v>NO</v>
      </c>
      <c r="F539" s="33">
        <f>IFERROR(LoanData[[#This Row],[EMI]]/LoanData[[#This Row],[Monthly_Income]]*100," ")</f>
        <v>1.9762480175213353</v>
      </c>
      <c r="G539" t="str" cm="1">
        <f t="array" ref="G539">_xlfn.IFS(F539&gt;40, "High DTI Risk",F539&gt;=25, "Moderate DTI",F539&lt;25, "Low DTI")</f>
        <v>Low DTI</v>
      </c>
      <c r="H539" t="str" cm="1">
        <f t="array" ref="H5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39" t="str">
        <f>_xlfn.XLOOKUP(H539,Reference_Tables!$B$2:$B$7,Reference_Tables!$C$2:$C$7,,0,1)</f>
        <v>VHR</v>
      </c>
      <c r="J539" t="str">
        <f>INDEX(Reference_Tables!$D$11:$D$36,MATCH(LoanData[[#This Row],[Branch]],Reference_Tables!$A$11:$A$36,0))</f>
        <v>Meena Iyer</v>
      </c>
      <c r="L539" s="35"/>
    </row>
    <row r="540" spans="2:12" ht="15.6" x14ac:dyDescent="0.3">
      <c r="B540" s="15">
        <f>DATEDIF(Loan_Data!K:K,Loan_Data!L:L,"D")</f>
        <v>10</v>
      </c>
      <c r="C540" s="15">
        <f ca="1">DATEDIF(LoanData[[#This Row],[Approval_Date]],TODAY(),"M")</f>
        <v>61</v>
      </c>
      <c r="D540" s="31">
        <f>EDATE(LoanData[[#This Row],[Approval_Date]],LoanData[[#This Row],[Loan_Term_Months]])</f>
        <v>45118</v>
      </c>
      <c r="E540" t="str">
        <f t="shared" ca="1" si="8"/>
        <v>YES</v>
      </c>
      <c r="F540" s="33">
        <f>IFERROR(LoanData[[#This Row],[EMI]]/LoanData[[#This Row],[Monthly_Income]]*100," ")</f>
        <v>10.996654958022416</v>
      </c>
      <c r="G540" t="str" cm="1">
        <f t="array" ref="G540">_xlfn.IFS(F540&gt;40, "High DTI Risk",F540&gt;=25, "Moderate DTI",F540&lt;25, "Low DTI")</f>
        <v>Low DTI</v>
      </c>
      <c r="H540" t="str" cm="1">
        <f t="array" ref="H5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40" t="str">
        <f>_xlfn.XLOOKUP(H540,Reference_Tables!$B$2:$B$7,Reference_Tables!$C$2:$C$7,,0,1)</f>
        <v>LR</v>
      </c>
      <c r="J540" t="str">
        <f>INDEX(Reference_Tables!$D$11:$D$36,MATCH(LoanData[[#This Row],[Branch]],Reference_Tables!$A$11:$A$36,0))</f>
        <v>Ravi Verma</v>
      </c>
      <c r="L540" s="35"/>
    </row>
    <row r="541" spans="2:12" ht="15.6" x14ac:dyDescent="0.3">
      <c r="B541" s="15">
        <f>DATEDIF(Loan_Data!K:K,Loan_Data!L:L,"D")</f>
        <v>21</v>
      </c>
      <c r="C541" s="15">
        <f ca="1">DATEDIF(LoanData[[#This Row],[Approval_Date]],TODAY(),"M")</f>
        <v>55</v>
      </c>
      <c r="D541" s="31">
        <f>EDATE(LoanData[[#This Row],[Approval_Date]],LoanData[[#This Row],[Loan_Term_Months]])</f>
        <v>46390</v>
      </c>
      <c r="E541" t="str">
        <f t="shared" ca="1" si="8"/>
        <v>NO</v>
      </c>
      <c r="F541" s="33">
        <f>IFERROR(LoanData[[#This Row],[EMI]]/LoanData[[#This Row],[Monthly_Income]]*100," ")</f>
        <v>1.8918791165177997</v>
      </c>
      <c r="G541" t="str" cm="1">
        <f t="array" ref="G541">_xlfn.IFS(F541&gt;40, "High DTI Risk",F541&gt;=25, "Moderate DTI",F541&lt;25, "Low DTI")</f>
        <v>Low DTI</v>
      </c>
      <c r="H541" t="str" cm="1">
        <f t="array" ref="H5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41" t="str">
        <f>_xlfn.XLOOKUP(H541,Reference_Tables!$B$2:$B$7,Reference_Tables!$C$2:$C$7,,0,1)</f>
        <v>LR</v>
      </c>
      <c r="J541" t="str">
        <f>INDEX(Reference_Tables!$D$11:$D$36,MATCH(LoanData[[#This Row],[Branch]],Reference_Tables!$A$11:$A$36,0))</f>
        <v>Debashis Das</v>
      </c>
      <c r="L541" s="35"/>
    </row>
    <row r="542" spans="2:12" ht="15.6" x14ac:dyDescent="0.3">
      <c r="B542" s="15">
        <f>DATEDIF(Loan_Data!K:K,Loan_Data!L:L,"D")</f>
        <v>18</v>
      </c>
      <c r="C542" s="15">
        <f ca="1">DATEDIF(LoanData[[#This Row],[Approval_Date]],TODAY(),"M")</f>
        <v>43</v>
      </c>
      <c r="D542" s="31">
        <f>EDATE(LoanData[[#This Row],[Approval_Date]],LoanData[[#This Row],[Loan_Term_Months]])</f>
        <v>48578</v>
      </c>
      <c r="E542" t="str">
        <f t="shared" ca="1" si="8"/>
        <v>NO</v>
      </c>
      <c r="F542" s="33">
        <f>IFERROR(LoanData[[#This Row],[EMI]]/LoanData[[#This Row],[Monthly_Income]]*100," ")</f>
        <v>0.85933859468810891</v>
      </c>
      <c r="G542" t="str" cm="1">
        <f t="array" ref="G542">_xlfn.IFS(F542&gt;40, "High DTI Risk",F542&gt;=25, "Moderate DTI",F542&lt;25, "Low DTI")</f>
        <v>Low DTI</v>
      </c>
      <c r="H542" t="str" cm="1">
        <f t="array" ref="H5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42" t="str">
        <f>_xlfn.XLOOKUP(H542,Reference_Tables!$B$2:$B$7,Reference_Tables!$C$2:$C$7,,0,1)</f>
        <v>MR</v>
      </c>
      <c r="J542" t="str">
        <f>INDEX(Reference_Tables!$D$11:$D$36,MATCH(LoanData[[#This Row],[Branch]],Reference_Tables!$A$11:$A$36,0))</f>
        <v>Priya Yadav</v>
      </c>
      <c r="L542" s="35"/>
    </row>
    <row r="543" spans="2:12" ht="15.6" x14ac:dyDescent="0.3">
      <c r="B543" s="15">
        <f>DATEDIF(Loan_Data!K:K,Loan_Data!L:L,"D")</f>
        <v>19</v>
      </c>
      <c r="C543" s="15">
        <f ca="1">DATEDIF(LoanData[[#This Row],[Approval_Date]],TODAY(),"M")</f>
        <v>36</v>
      </c>
      <c r="D543" s="31">
        <f>EDATE(LoanData[[#This Row],[Approval_Date]],LoanData[[#This Row],[Loan_Term_Months]])</f>
        <v>45878</v>
      </c>
      <c r="E543" t="str">
        <f t="shared" ca="1" si="8"/>
        <v>YES</v>
      </c>
      <c r="F543" s="33">
        <f>IFERROR(LoanData[[#This Row],[EMI]]/LoanData[[#This Row],[Monthly_Income]]*100," ")</f>
        <v>28.981398951333947</v>
      </c>
      <c r="G543" t="str" cm="1">
        <f t="array" ref="G543">_xlfn.IFS(F543&gt;40, "High DTI Risk",F543&gt;=25, "Moderate DTI",F543&lt;25, "Low DTI")</f>
        <v>Moderate DTI</v>
      </c>
      <c r="H543" t="str" cm="1">
        <f t="array" ref="H5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43" t="str">
        <f>_xlfn.XLOOKUP(H543,Reference_Tables!$B$2:$B$7,Reference_Tables!$C$2:$C$7,,0,1)</f>
        <v>VHR</v>
      </c>
      <c r="J543" t="str">
        <f>INDEX(Reference_Tables!$D$11:$D$36,MATCH(LoanData[[#This Row],[Branch]],Reference_Tables!$A$11:$A$36,0))</f>
        <v>Ananya Sharma</v>
      </c>
      <c r="L543" s="35"/>
    </row>
    <row r="544" spans="2:12" ht="15.6" x14ac:dyDescent="0.3">
      <c r="B544" s="15">
        <f>DATEDIF(Loan_Data!K:K,Loan_Data!L:L,"D")</f>
        <v>18</v>
      </c>
      <c r="C544" s="15">
        <f ca="1">DATEDIF(LoanData[[#This Row],[Approval_Date]],TODAY(),"M")</f>
        <v>46</v>
      </c>
      <c r="D544" s="31">
        <f>EDATE(LoanData[[#This Row],[Approval_Date]],LoanData[[#This Row],[Loan_Term_Months]])</f>
        <v>46659</v>
      </c>
      <c r="E544" t="str">
        <f t="shared" ca="1" si="8"/>
        <v>NO</v>
      </c>
      <c r="F544" s="33">
        <f>IFERROR(LoanData[[#This Row],[EMI]]/LoanData[[#This Row],[Monthly_Income]]*100," ")</f>
        <v>92.210610394917708</v>
      </c>
      <c r="G544" t="str" cm="1">
        <f t="array" ref="G544">_xlfn.IFS(F544&gt;40, "High DTI Risk",F544&gt;=25, "Moderate DTI",F544&lt;25, "Low DTI")</f>
        <v>High DTI Risk</v>
      </c>
      <c r="H544" t="str" cm="1">
        <f t="array" ref="H5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44" t="str">
        <f>_xlfn.XLOOKUP(H544,Reference_Tables!$B$2:$B$7,Reference_Tables!$C$2:$C$7,,0,1)</f>
        <v>VHR</v>
      </c>
      <c r="J544" t="str">
        <f>INDEX(Reference_Tables!$D$11:$D$36,MATCH(LoanData[[#This Row],[Branch]],Reference_Tables!$A$11:$A$36,0))</f>
        <v>Jigar Mehta</v>
      </c>
      <c r="L544" s="35"/>
    </row>
    <row r="545" spans="2:12" ht="15.6" x14ac:dyDescent="0.3">
      <c r="B545" s="15">
        <f>DATEDIF(Loan_Data!K:K,Loan_Data!L:L,"D")</f>
        <v>14</v>
      </c>
      <c r="C545" s="15">
        <f ca="1">DATEDIF(LoanData[[#This Row],[Approval_Date]],TODAY(),"M")</f>
        <v>42</v>
      </c>
      <c r="D545" s="31">
        <f>EDATE(LoanData[[#This Row],[Approval_Date]],LoanData[[#This Row],[Loan_Term_Months]])</f>
        <v>45321</v>
      </c>
      <c r="E545" t="str">
        <f t="shared" ca="1" si="8"/>
        <v>YES</v>
      </c>
      <c r="F545" s="33">
        <f>IFERROR(LoanData[[#This Row],[EMI]]/LoanData[[#This Row],[Monthly_Income]]*100," ")</f>
        <v>4.7957782381845995</v>
      </c>
      <c r="G545" t="str" cm="1">
        <f t="array" ref="G545">_xlfn.IFS(F545&gt;40, "High DTI Risk",F545&gt;=25, "Moderate DTI",F545&lt;25, "Low DTI")</f>
        <v>Low DTI</v>
      </c>
      <c r="H545" t="str" cm="1">
        <f t="array" ref="H5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45" t="str">
        <f>_xlfn.XLOOKUP(H545,Reference_Tables!$B$2:$B$7,Reference_Tables!$C$2:$C$7,,0,1)</f>
        <v>MR</v>
      </c>
      <c r="J545" t="str">
        <f>INDEX(Reference_Tables!$D$11:$D$36,MATCH(LoanData[[#This Row],[Branch]],Reference_Tables!$A$11:$A$36,0))</f>
        <v>Sandeep Saxena</v>
      </c>
      <c r="L545" s="35"/>
    </row>
    <row r="546" spans="2:12" ht="15.6" x14ac:dyDescent="0.3">
      <c r="B546" s="15">
        <f>DATEDIF(Loan_Data!K:K,Loan_Data!L:L,"D")</f>
        <v>12</v>
      </c>
      <c r="C546" s="15">
        <f ca="1">DATEDIF(LoanData[[#This Row],[Approval_Date]],TODAY(),"M")</f>
        <v>53</v>
      </c>
      <c r="D546" s="31">
        <f>EDATE(LoanData[[#This Row],[Approval_Date]],LoanData[[#This Row],[Loan_Term_Months]])</f>
        <v>45361</v>
      </c>
      <c r="E546" t="str">
        <f t="shared" ca="1" si="8"/>
        <v>YES</v>
      </c>
      <c r="F546" s="33">
        <f>IFERROR(LoanData[[#This Row],[EMI]]/LoanData[[#This Row],[Monthly_Income]]*100," ")</f>
        <v>3.9016975111678369</v>
      </c>
      <c r="G546" t="str" cm="1">
        <f t="array" ref="G546">_xlfn.IFS(F546&gt;40, "High DTI Risk",F546&gt;=25, "Moderate DTI",F546&lt;25, "Low DTI")</f>
        <v>Low DTI</v>
      </c>
      <c r="H546" t="str" cm="1">
        <f t="array" ref="H5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46" t="str">
        <f>_xlfn.XLOOKUP(H546,Reference_Tables!$B$2:$B$7,Reference_Tables!$C$2:$C$7,,0,1)</f>
        <v>LR</v>
      </c>
      <c r="J546" t="str">
        <f>INDEX(Reference_Tables!$D$11:$D$36,MATCH(LoanData[[#This Row],[Branch]],Reference_Tables!$A$11:$A$36,0))</f>
        <v>Rahul Kapoor</v>
      </c>
      <c r="L546" s="35"/>
    </row>
    <row r="547" spans="2:12" ht="15.6" x14ac:dyDescent="0.3">
      <c r="B547" s="15">
        <f>DATEDIF(Loan_Data!K:K,Loan_Data!L:L,"D")</f>
        <v>13</v>
      </c>
      <c r="C547" s="15">
        <f ca="1">DATEDIF(LoanData[[#This Row],[Approval_Date]],TODAY(),"M")</f>
        <v>61</v>
      </c>
      <c r="D547" s="31">
        <f>EDATE(LoanData[[#This Row],[Approval_Date]],LoanData[[#This Row],[Loan_Term_Months]])</f>
        <v>45474</v>
      </c>
      <c r="E547" t="str">
        <f t="shared" ca="1" si="8"/>
        <v>YES</v>
      </c>
      <c r="F547" s="33">
        <f>IFERROR(LoanData[[#This Row],[EMI]]/LoanData[[#This Row],[Monthly_Income]]*100," ")</f>
        <v>3.027860621390011</v>
      </c>
      <c r="G547" t="str" cm="1">
        <f t="array" ref="G547">_xlfn.IFS(F547&gt;40, "High DTI Risk",F547&gt;=25, "Moderate DTI",F547&lt;25, "Low DTI")</f>
        <v>Low DTI</v>
      </c>
      <c r="H547" t="str" cm="1">
        <f t="array" ref="H5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47" t="str">
        <f>_xlfn.XLOOKUP(H547,Reference_Tables!$B$2:$B$7,Reference_Tables!$C$2:$C$7,,0,1)</f>
        <v>MR</v>
      </c>
      <c r="J547" t="str">
        <f>INDEX(Reference_Tables!$D$11:$D$36,MATCH(LoanData[[#This Row],[Branch]],Reference_Tables!$A$11:$A$36,0))</f>
        <v>Lakshmi Reddy</v>
      </c>
      <c r="L547" s="35"/>
    </row>
    <row r="548" spans="2:12" ht="15.6" x14ac:dyDescent="0.3">
      <c r="B548" s="15">
        <f>DATEDIF(Loan_Data!K:K,Loan_Data!L:L,"D")</f>
        <v>23</v>
      </c>
      <c r="C548" s="15">
        <f ca="1">DATEDIF(LoanData[[#This Row],[Approval_Date]],TODAY(),"M")</f>
        <v>66</v>
      </c>
      <c r="D548" s="31">
        <f>EDATE(LoanData[[#This Row],[Approval_Date]],LoanData[[#This Row],[Loan_Term_Months]])</f>
        <v>46048</v>
      </c>
      <c r="E548" t="str">
        <f t="shared" ca="1" si="8"/>
        <v>YES</v>
      </c>
      <c r="F548" s="33">
        <f>IFERROR(LoanData[[#This Row],[EMI]]/LoanData[[#This Row],[Monthly_Income]]*100," ")</f>
        <v>1.4794466554625529</v>
      </c>
      <c r="G548" t="str" cm="1">
        <f t="array" ref="G548">_xlfn.IFS(F548&gt;40, "High DTI Risk",F548&gt;=25, "Moderate DTI",F548&lt;25, "Low DTI")</f>
        <v>Low DTI</v>
      </c>
      <c r="H548" t="str" cm="1">
        <f t="array" ref="H5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48" t="str">
        <f>_xlfn.XLOOKUP(H548,Reference_Tables!$B$2:$B$7,Reference_Tables!$C$2:$C$7,,0,1)</f>
        <v>VHR</v>
      </c>
      <c r="J548" t="str">
        <f>INDEX(Reference_Tables!$D$11:$D$36,MATCH(LoanData[[#This Row],[Branch]],Reference_Tables!$A$11:$A$36,0))</f>
        <v>Meena Iyer</v>
      </c>
      <c r="L548" s="35"/>
    </row>
    <row r="549" spans="2:12" ht="15.6" x14ac:dyDescent="0.3">
      <c r="B549" s="15">
        <f>DATEDIF(Loan_Data!K:K,Loan_Data!L:L,"D")</f>
        <v>8</v>
      </c>
      <c r="C549" s="15">
        <f ca="1">DATEDIF(LoanData[[#This Row],[Approval_Date]],TODAY(),"M")</f>
        <v>54</v>
      </c>
      <c r="D549" s="31">
        <f>EDATE(LoanData[[#This Row],[Approval_Date]],LoanData[[#This Row],[Loan_Term_Months]])</f>
        <v>47156</v>
      </c>
      <c r="E549" t="str">
        <f t="shared" ca="1" si="8"/>
        <v>NO</v>
      </c>
      <c r="F549" s="33">
        <f>IFERROR(LoanData[[#This Row],[EMI]]/LoanData[[#This Row],[Monthly_Income]]*100," ")</f>
        <v>2.6910418069258069</v>
      </c>
      <c r="G549" t="str" cm="1">
        <f t="array" ref="G549">_xlfn.IFS(F549&gt;40, "High DTI Risk",F549&gt;=25, "Moderate DTI",F549&lt;25, "Low DTI")</f>
        <v>Low DTI</v>
      </c>
      <c r="H549" t="str" cm="1">
        <f t="array" ref="H5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49" t="str">
        <f>_xlfn.XLOOKUP(H549,Reference_Tables!$B$2:$B$7,Reference_Tables!$C$2:$C$7,,0,1)</f>
        <v>VHR</v>
      </c>
      <c r="J549" t="str">
        <f>INDEX(Reference_Tables!$D$11:$D$36,MATCH(LoanData[[#This Row],[Branch]],Reference_Tables!$A$11:$A$36,0))</f>
        <v>Deepak Nair</v>
      </c>
      <c r="L549" s="35"/>
    </row>
    <row r="550" spans="2:12" ht="15.6" x14ac:dyDescent="0.3">
      <c r="B550" s="15">
        <f>DATEDIF(Loan_Data!K:K,Loan_Data!L:L,"D")</f>
        <v>11</v>
      </c>
      <c r="C550" s="15">
        <f ca="1">DATEDIF(LoanData[[#This Row],[Approval_Date]],TODAY(),"M")</f>
        <v>35</v>
      </c>
      <c r="D550" s="31">
        <f>EDATE(LoanData[[#This Row],[Approval_Date]],LoanData[[#This Row],[Loan_Term_Months]])</f>
        <v>52470</v>
      </c>
      <c r="E550" t="str">
        <f t="shared" ca="1" si="8"/>
        <v>NO</v>
      </c>
      <c r="F550" s="33">
        <f>IFERROR(LoanData[[#This Row],[EMI]]/LoanData[[#This Row],[Monthly_Income]]*100," ")</f>
        <v>4.8784952435860482</v>
      </c>
      <c r="G550" t="str" cm="1">
        <f t="array" ref="G550">_xlfn.IFS(F550&gt;40, "High DTI Risk",F550&gt;=25, "Moderate DTI",F550&lt;25, "Low DTI")</f>
        <v>Low DTI</v>
      </c>
      <c r="H550" t="str" cm="1">
        <f t="array" ref="H5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50" t="str">
        <f>_xlfn.XLOOKUP(H550,Reference_Tables!$B$2:$B$7,Reference_Tables!$C$2:$C$7,,0,1)</f>
        <v>VHR</v>
      </c>
      <c r="J550" t="str">
        <f>INDEX(Reference_Tables!$D$11:$D$36,MATCH(LoanData[[#This Row],[Branch]],Reference_Tables!$A$11:$A$36,0))</f>
        <v>Suman Tiwari</v>
      </c>
      <c r="L550" s="35"/>
    </row>
    <row r="551" spans="2:12" ht="15.6" x14ac:dyDescent="0.3">
      <c r="B551" s="15">
        <f>DATEDIF(Loan_Data!K:K,Loan_Data!L:L,"D")</f>
        <v>26</v>
      </c>
      <c r="C551" s="15">
        <f ca="1">DATEDIF(LoanData[[#This Row],[Approval_Date]],TODAY(),"M")</f>
        <v>45</v>
      </c>
      <c r="D551" s="31">
        <f>EDATE(LoanData[[#This Row],[Approval_Date]],LoanData[[#This Row],[Loan_Term_Months]])</f>
        <v>45973</v>
      </c>
      <c r="E551" t="str">
        <f t="shared" ca="1" si="8"/>
        <v>YES</v>
      </c>
      <c r="F551" s="33">
        <f>IFERROR(LoanData[[#This Row],[EMI]]/LoanData[[#This Row],[Monthly_Income]]*100," ")</f>
        <v>2.0749560442950123</v>
      </c>
      <c r="G551" t="str" cm="1">
        <f t="array" ref="G551">_xlfn.IFS(F551&gt;40, "High DTI Risk",F551&gt;=25, "Moderate DTI",F551&lt;25, "Low DTI")</f>
        <v>Low DTI</v>
      </c>
      <c r="H551" t="str" cm="1">
        <f t="array" ref="H5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51" t="str">
        <f>_xlfn.XLOOKUP(H551,Reference_Tables!$B$2:$B$7,Reference_Tables!$C$2:$C$7,,0,1)</f>
        <v>MR</v>
      </c>
      <c r="J551" t="str">
        <f>INDEX(Reference_Tables!$D$11:$D$36,MATCH(LoanData[[#This Row],[Branch]],Reference_Tables!$A$11:$A$36,0))</f>
        <v>Meena Iyer</v>
      </c>
      <c r="L551" s="35"/>
    </row>
    <row r="552" spans="2:12" ht="15.6" x14ac:dyDescent="0.3">
      <c r="B552" s="15">
        <f>DATEDIF(Loan_Data!K:K,Loan_Data!L:L,"D")</f>
        <v>29</v>
      </c>
      <c r="C552" s="15">
        <f ca="1">DATEDIF(LoanData[[#This Row],[Approval_Date]],TODAY(),"M")</f>
        <v>54</v>
      </c>
      <c r="D552" s="31">
        <f>EDATE(LoanData[[#This Row],[Approval_Date]],LoanData[[#This Row],[Loan_Term_Months]])</f>
        <v>45314</v>
      </c>
      <c r="E552" t="str">
        <f t="shared" ca="1" si="8"/>
        <v>YES</v>
      </c>
      <c r="F552" s="33">
        <f>IFERROR(LoanData[[#This Row],[EMI]]/LoanData[[#This Row],[Monthly_Income]]*100," ")</f>
        <v>7.1533680624744997</v>
      </c>
      <c r="G552" t="str" cm="1">
        <f t="array" ref="G552">_xlfn.IFS(F552&gt;40, "High DTI Risk",F552&gt;=25, "Moderate DTI",F552&lt;25, "Low DTI")</f>
        <v>Low DTI</v>
      </c>
      <c r="H552" t="str" cm="1">
        <f t="array" ref="H5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552" t="str">
        <f>_xlfn.XLOOKUP(H552,Reference_Tables!$B$2:$B$7,Reference_Tables!$C$2:$C$7,,0,1)</f>
        <v>UC</v>
      </c>
      <c r="J552" t="str">
        <f>INDEX(Reference_Tables!$D$11:$D$36,MATCH(LoanData[[#This Row],[Branch]],Reference_Tables!$A$11:$A$36,0))</f>
        <v>Priyanka Gupta</v>
      </c>
      <c r="L552" s="35"/>
    </row>
    <row r="553" spans="2:12" ht="15.6" x14ac:dyDescent="0.3">
      <c r="B553" s="15">
        <f>DATEDIF(Loan_Data!K:K,Loan_Data!L:L,"D")</f>
        <v>28</v>
      </c>
      <c r="C553" s="15">
        <f ca="1">DATEDIF(LoanData[[#This Row],[Approval_Date]],TODAY(),"M")</f>
        <v>39</v>
      </c>
      <c r="D553" s="31">
        <f>EDATE(LoanData[[#This Row],[Approval_Date]],LoanData[[#This Row],[Loan_Term_Months]])</f>
        <v>46149</v>
      </c>
      <c r="E553" t="str">
        <f t="shared" ca="1" si="8"/>
        <v>YES</v>
      </c>
      <c r="F553" s="33">
        <f>IFERROR(LoanData[[#This Row],[EMI]]/LoanData[[#This Row],[Monthly_Income]]*100," ")</f>
        <v>2.6939667874636615</v>
      </c>
      <c r="G553" t="str" cm="1">
        <f t="array" ref="G553">_xlfn.IFS(F553&gt;40, "High DTI Risk",F553&gt;=25, "Moderate DTI",F553&lt;25, "Low DTI")</f>
        <v>Low DTI</v>
      </c>
      <c r="H553" t="str" cm="1">
        <f t="array" ref="H5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53" t="str">
        <f>_xlfn.XLOOKUP(H553,Reference_Tables!$B$2:$B$7,Reference_Tables!$C$2:$C$7,,0,1)</f>
        <v>LR</v>
      </c>
      <c r="J553" t="str">
        <f>INDEX(Reference_Tables!$D$11:$D$36,MATCH(LoanData[[#This Row],[Branch]],Reference_Tables!$A$11:$A$36,0))</f>
        <v>Priyanka Gupta</v>
      </c>
      <c r="L553" s="35"/>
    </row>
    <row r="554" spans="2:12" ht="15.6" x14ac:dyDescent="0.3">
      <c r="B554" s="15">
        <f>DATEDIF(Loan_Data!K:K,Loan_Data!L:L,"D")</f>
        <v>21</v>
      </c>
      <c r="C554" s="15">
        <f ca="1">DATEDIF(LoanData[[#This Row],[Approval_Date]],TODAY(),"M")</f>
        <v>48</v>
      </c>
      <c r="D554" s="31">
        <f>EDATE(LoanData[[#This Row],[Approval_Date]],LoanData[[#This Row],[Loan_Term_Months]])</f>
        <v>45148</v>
      </c>
      <c r="E554" t="str">
        <f t="shared" ca="1" si="8"/>
        <v>YES</v>
      </c>
      <c r="F554" s="33">
        <f>IFERROR(LoanData[[#This Row],[EMI]]/LoanData[[#This Row],[Monthly_Income]]*100," ")</f>
        <v>57.490964918254015</v>
      </c>
      <c r="G554" t="str" cm="1">
        <f t="array" ref="G554">_xlfn.IFS(F554&gt;40, "High DTI Risk",F554&gt;=25, "Moderate DTI",F554&lt;25, "Low DTI")</f>
        <v>High DTI Risk</v>
      </c>
      <c r="H554" t="str" cm="1">
        <f t="array" ref="H5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54" t="str">
        <f>_xlfn.XLOOKUP(H554,Reference_Tables!$B$2:$B$7,Reference_Tables!$C$2:$C$7,,0,1)</f>
        <v>VHR</v>
      </c>
      <c r="J554" t="str">
        <f>INDEX(Reference_Tables!$D$11:$D$36,MATCH(LoanData[[#This Row],[Branch]],Reference_Tables!$A$11:$A$36,0))</f>
        <v>Priyanka Gupta</v>
      </c>
      <c r="L554" s="35"/>
    </row>
    <row r="555" spans="2:12" ht="15.6" x14ac:dyDescent="0.3">
      <c r="B555" s="15">
        <f>DATEDIF(Loan_Data!K:K,Loan_Data!L:L,"D")</f>
        <v>25</v>
      </c>
      <c r="C555" s="15">
        <f ca="1">DATEDIF(LoanData[[#This Row],[Approval_Date]],TODAY(),"M")</f>
        <v>45</v>
      </c>
      <c r="D555" s="31">
        <f>EDATE(LoanData[[#This Row],[Approval_Date]],LoanData[[#This Row],[Loan_Term_Months]])</f>
        <v>45235</v>
      </c>
      <c r="E555" t="str">
        <f t="shared" ca="1" si="8"/>
        <v>YES</v>
      </c>
      <c r="F555" s="33">
        <f>IFERROR(LoanData[[#This Row],[EMI]]/LoanData[[#This Row],[Monthly_Income]]*100," ")</f>
        <v>119.73171224572275</v>
      </c>
      <c r="G555" t="str" cm="1">
        <f t="array" ref="G555">_xlfn.IFS(F555&gt;40, "High DTI Risk",F555&gt;=25, "Moderate DTI",F555&lt;25, "Low DTI")</f>
        <v>High DTI Risk</v>
      </c>
      <c r="H555" t="str" cm="1">
        <f t="array" ref="H5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55" t="str">
        <f>_xlfn.XLOOKUP(H555,Reference_Tables!$B$2:$B$7,Reference_Tables!$C$2:$C$7,,0,1)</f>
        <v>VHR</v>
      </c>
      <c r="J555" t="str">
        <f>INDEX(Reference_Tables!$D$11:$D$36,MATCH(LoanData[[#This Row],[Branch]],Reference_Tables!$A$11:$A$36,0))</f>
        <v>Ravi Verma</v>
      </c>
      <c r="L555" s="35"/>
    </row>
    <row r="556" spans="2:12" ht="15.6" x14ac:dyDescent="0.3">
      <c r="B556" s="15">
        <f>DATEDIF(Loan_Data!K:K,Loan_Data!L:L,"D")</f>
        <v>11</v>
      </c>
      <c r="C556" s="15">
        <f ca="1">DATEDIF(LoanData[[#This Row],[Approval_Date]],TODAY(),"M")</f>
        <v>67</v>
      </c>
      <c r="D556" s="31">
        <f>EDATE(LoanData[[#This Row],[Approval_Date]],LoanData[[#This Row],[Loan_Term_Months]])</f>
        <v>45674</v>
      </c>
      <c r="E556" t="str">
        <f t="shared" ca="1" si="8"/>
        <v>YES</v>
      </c>
      <c r="F556" s="33">
        <f>IFERROR(LoanData[[#This Row],[EMI]]/LoanData[[#This Row],[Monthly_Income]]*100," ")</f>
        <v>3.1253772986683579</v>
      </c>
      <c r="G556" t="str" cm="1">
        <f t="array" ref="G556">_xlfn.IFS(F556&gt;40, "High DTI Risk",F556&gt;=25, "Moderate DTI",F556&lt;25, "Low DTI")</f>
        <v>Low DTI</v>
      </c>
      <c r="H556" t="str" cm="1">
        <f t="array" ref="H5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56" t="str">
        <f>_xlfn.XLOOKUP(H556,Reference_Tables!$B$2:$B$7,Reference_Tables!$C$2:$C$7,,0,1)</f>
        <v>LR</v>
      </c>
      <c r="J556" t="str">
        <f>INDEX(Reference_Tables!$D$11:$D$36,MATCH(LoanData[[#This Row],[Branch]],Reference_Tables!$A$11:$A$36,0))</f>
        <v>Meena Iyer</v>
      </c>
      <c r="L556" s="35"/>
    </row>
    <row r="557" spans="2:12" ht="15.6" x14ac:dyDescent="0.3">
      <c r="B557" s="15">
        <f>DATEDIF(Loan_Data!K:K,Loan_Data!L:L,"D")</f>
        <v>19</v>
      </c>
      <c r="C557" s="15">
        <f ca="1">DATEDIF(LoanData[[#This Row],[Approval_Date]],TODAY(),"M")</f>
        <v>57</v>
      </c>
      <c r="D557" s="31">
        <f>EDATE(LoanData[[#This Row],[Approval_Date]],LoanData[[#This Row],[Loan_Term_Months]])</f>
        <v>44862</v>
      </c>
      <c r="E557" t="str">
        <f t="shared" ca="1" si="8"/>
        <v>YES</v>
      </c>
      <c r="F557" s="33">
        <f>IFERROR(LoanData[[#This Row],[EMI]]/LoanData[[#This Row],[Monthly_Income]]*100," ")</f>
        <v>24.794287533542548</v>
      </c>
      <c r="G557" t="str" cm="1">
        <f t="array" ref="G557">_xlfn.IFS(F557&gt;40, "High DTI Risk",F557&gt;=25, "Moderate DTI",F557&lt;25, "Low DTI")</f>
        <v>Low DTI</v>
      </c>
      <c r="H557" t="str" cm="1">
        <f t="array" ref="H5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57" t="str">
        <f>_xlfn.XLOOKUP(H557,Reference_Tables!$B$2:$B$7,Reference_Tables!$C$2:$C$7,,0,1)</f>
        <v>MR</v>
      </c>
      <c r="J557" t="str">
        <f>INDEX(Reference_Tables!$D$11:$D$36,MATCH(LoanData[[#This Row],[Branch]],Reference_Tables!$A$11:$A$36,0))</f>
        <v>Amit Kumar</v>
      </c>
      <c r="L557" s="35"/>
    </row>
    <row r="558" spans="2:12" ht="15.6" x14ac:dyDescent="0.3">
      <c r="B558" s="15">
        <f>DATEDIF(Loan_Data!K:K,Loan_Data!L:L,"D")</f>
        <v>9</v>
      </c>
      <c r="C558" s="15">
        <f ca="1">DATEDIF(LoanData[[#This Row],[Approval_Date]],TODAY(),"M")</f>
        <v>55</v>
      </c>
      <c r="D558" s="31">
        <f>EDATE(LoanData[[#This Row],[Approval_Date]],LoanData[[#This Row],[Loan_Term_Months]])</f>
        <v>50045</v>
      </c>
      <c r="E558" t="str">
        <f t="shared" ca="1" si="8"/>
        <v>NO</v>
      </c>
      <c r="F558" s="33">
        <f>IFERROR(LoanData[[#This Row],[EMI]]/LoanData[[#This Row],[Monthly_Income]]*100," ")</f>
        <v>0.58940268305478527</v>
      </c>
      <c r="G558" t="str" cm="1">
        <f t="array" ref="G558">_xlfn.IFS(F558&gt;40, "High DTI Risk",F558&gt;=25, "Moderate DTI",F558&lt;25, "Low DTI")</f>
        <v>Low DTI</v>
      </c>
      <c r="H558" t="str" cm="1">
        <f t="array" ref="H5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58" t="str">
        <f>_xlfn.XLOOKUP(H558,Reference_Tables!$B$2:$B$7,Reference_Tables!$C$2:$C$7,,0,1)</f>
        <v>LR</v>
      </c>
      <c r="J558" t="str">
        <f>INDEX(Reference_Tables!$D$11:$D$36,MATCH(LoanData[[#This Row],[Branch]],Reference_Tables!$A$11:$A$36,0))</f>
        <v>Suresh Menon</v>
      </c>
      <c r="L558" s="35"/>
    </row>
    <row r="559" spans="2:12" ht="15.6" x14ac:dyDescent="0.3">
      <c r="B559" s="15">
        <f>DATEDIF(Loan_Data!K:K,Loan_Data!L:L,"D")</f>
        <v>22</v>
      </c>
      <c r="C559" s="15">
        <f ca="1">DATEDIF(LoanData[[#This Row],[Approval_Date]],TODAY(),"M")</f>
        <v>64</v>
      </c>
      <c r="D559" s="31">
        <f>EDATE(LoanData[[#This Row],[Approval_Date]],LoanData[[#This Row],[Loan_Term_Months]])</f>
        <v>46115</v>
      </c>
      <c r="E559" t="str">
        <f t="shared" ca="1" si="8"/>
        <v>YES</v>
      </c>
      <c r="F559" s="33">
        <f>IFERROR(LoanData[[#This Row],[EMI]]/LoanData[[#This Row],[Monthly_Income]]*100," ")</f>
        <v>2.6880533235191888</v>
      </c>
      <c r="G559" t="str" cm="1">
        <f t="array" ref="G559">_xlfn.IFS(F559&gt;40, "High DTI Risk",F559&gt;=25, "Moderate DTI",F559&lt;25, "Low DTI")</f>
        <v>Low DTI</v>
      </c>
      <c r="H559" t="str" cm="1">
        <f t="array" ref="H5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59" t="str">
        <f>_xlfn.XLOOKUP(H559,Reference_Tables!$B$2:$B$7,Reference_Tables!$C$2:$C$7,,0,1)</f>
        <v>LR</v>
      </c>
      <c r="J559" t="str">
        <f>INDEX(Reference_Tables!$D$11:$D$36,MATCH(LoanData[[#This Row],[Branch]],Reference_Tables!$A$11:$A$36,0))</f>
        <v>Suresh Menon</v>
      </c>
      <c r="L559" s="35"/>
    </row>
    <row r="560" spans="2:12" ht="15.6" x14ac:dyDescent="0.3">
      <c r="B560" s="15">
        <f>DATEDIF(Loan_Data!K:K,Loan_Data!L:L,"D")</f>
        <v>12</v>
      </c>
      <c r="C560" s="15">
        <f ca="1">DATEDIF(LoanData[[#This Row],[Approval_Date]],TODAY(),"M")</f>
        <v>31</v>
      </c>
      <c r="D560" s="31">
        <f>EDATE(LoanData[[#This Row],[Approval_Date]],LoanData[[#This Row],[Loan_Term_Months]])</f>
        <v>46387</v>
      </c>
      <c r="E560" t="str">
        <f t="shared" ca="1" si="8"/>
        <v>NO</v>
      </c>
      <c r="F560" s="33">
        <f>IFERROR(LoanData[[#This Row],[EMI]]/LoanData[[#This Row],[Monthly_Income]]*100," ")</f>
        <v>16.781915732996687</v>
      </c>
      <c r="G560" t="str" cm="1">
        <f t="array" ref="G560">_xlfn.IFS(F560&gt;40, "High DTI Risk",F560&gt;=25, "Moderate DTI",F560&lt;25, "Low DTI")</f>
        <v>Low DTI</v>
      </c>
      <c r="H560" t="str" cm="1">
        <f t="array" ref="H5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60" t="str">
        <f>_xlfn.XLOOKUP(H560,Reference_Tables!$B$2:$B$7,Reference_Tables!$C$2:$C$7,,0,1)</f>
        <v>MR</v>
      </c>
      <c r="J560" t="str">
        <f>INDEX(Reference_Tables!$D$11:$D$36,MATCH(LoanData[[#This Row],[Branch]],Reference_Tables!$A$11:$A$36,0))</f>
        <v>Rahul Kapoor</v>
      </c>
      <c r="L560" s="35"/>
    </row>
    <row r="561" spans="2:12" ht="15.6" x14ac:dyDescent="0.3">
      <c r="B561" s="15">
        <f>DATEDIF(Loan_Data!K:K,Loan_Data!L:L,"D")</f>
        <v>10</v>
      </c>
      <c r="C561" s="15">
        <f ca="1">DATEDIF(LoanData[[#This Row],[Approval_Date]],TODAY(),"M")</f>
        <v>37</v>
      </c>
      <c r="D561" s="31">
        <f>EDATE(LoanData[[#This Row],[Approval_Date]],LoanData[[#This Row],[Loan_Term_Months]])</f>
        <v>47662</v>
      </c>
      <c r="E561" t="str">
        <f t="shared" ca="1" si="8"/>
        <v>NO</v>
      </c>
      <c r="F561" s="33">
        <f>IFERROR(LoanData[[#This Row],[EMI]]/LoanData[[#This Row],[Monthly_Income]]*100," ")</f>
        <v>13.695211671196114</v>
      </c>
      <c r="G561" t="str" cm="1">
        <f t="array" ref="G561">_xlfn.IFS(F561&gt;40, "High DTI Risk",F561&gt;=25, "Moderate DTI",F561&lt;25, "Low DTI")</f>
        <v>Low DTI</v>
      </c>
      <c r="H561" t="str" cm="1">
        <f t="array" ref="H5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61" t="str">
        <f>_xlfn.XLOOKUP(H561,Reference_Tables!$B$2:$B$7,Reference_Tables!$C$2:$C$7,,0,1)</f>
        <v>VHR</v>
      </c>
      <c r="J561" t="str">
        <f>INDEX(Reference_Tables!$D$11:$D$36,MATCH(LoanData[[#This Row],[Branch]],Reference_Tables!$A$11:$A$36,0))</f>
        <v>Priyanka Gupta</v>
      </c>
      <c r="L561" s="35"/>
    </row>
    <row r="562" spans="2:12" ht="15.6" x14ac:dyDescent="0.3">
      <c r="B562" s="15">
        <f>DATEDIF(Loan_Data!K:K,Loan_Data!L:L,"D")</f>
        <v>28</v>
      </c>
      <c r="C562" s="15">
        <f ca="1">DATEDIF(LoanData[[#This Row],[Approval_Date]],TODAY(),"M")</f>
        <v>41</v>
      </c>
      <c r="D562" s="31">
        <f>EDATE(LoanData[[#This Row],[Approval_Date]],LoanData[[#This Row],[Loan_Term_Months]])</f>
        <v>45342</v>
      </c>
      <c r="E562" t="str">
        <f t="shared" ca="1" si="8"/>
        <v>YES</v>
      </c>
      <c r="F562" s="33">
        <f>IFERROR(LoanData[[#This Row],[EMI]]/LoanData[[#This Row],[Monthly_Income]]*100," ")</f>
        <v>12.584306150443716</v>
      </c>
      <c r="G562" t="str" cm="1">
        <f t="array" ref="G562">_xlfn.IFS(F562&gt;40, "High DTI Risk",F562&gt;=25, "Moderate DTI",F562&lt;25, "Low DTI")</f>
        <v>Low DTI</v>
      </c>
      <c r="H562" t="str" cm="1">
        <f t="array" ref="H5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62" t="str">
        <f>_xlfn.XLOOKUP(H562,Reference_Tables!$B$2:$B$7,Reference_Tables!$C$2:$C$7,,0,1)</f>
        <v>MR</v>
      </c>
      <c r="J562" t="str">
        <f>INDEX(Reference_Tables!$D$11:$D$36,MATCH(LoanData[[#This Row],[Branch]],Reference_Tables!$A$11:$A$36,0))</f>
        <v>Hetal Patel</v>
      </c>
      <c r="L562" s="35"/>
    </row>
    <row r="563" spans="2:12" ht="15.6" x14ac:dyDescent="0.3">
      <c r="B563" s="15">
        <f>DATEDIF(Loan_Data!K:K,Loan_Data!L:L,"D")</f>
        <v>19</v>
      </c>
      <c r="C563" s="15">
        <f ca="1">DATEDIF(LoanData[[#This Row],[Approval_Date]],TODAY(),"M")</f>
        <v>36</v>
      </c>
      <c r="D563" s="31">
        <f>EDATE(LoanData[[#This Row],[Approval_Date]],LoanData[[#This Row],[Loan_Term_Months]])</f>
        <v>45493</v>
      </c>
      <c r="E563" t="str">
        <f t="shared" ca="1" si="8"/>
        <v>YES</v>
      </c>
      <c r="F563" s="33">
        <f>IFERROR(LoanData[[#This Row],[EMI]]/LoanData[[#This Row],[Monthly_Income]]*100," ")</f>
        <v>6.0187302294497664</v>
      </c>
      <c r="G563" t="str" cm="1">
        <f t="array" ref="G563">_xlfn.IFS(F563&gt;40, "High DTI Risk",F563&gt;=25, "Moderate DTI",F563&lt;25, "Low DTI")</f>
        <v>Low DTI</v>
      </c>
      <c r="H563" t="str" cm="1">
        <f t="array" ref="H5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63" t="str">
        <f>_xlfn.XLOOKUP(H563,Reference_Tables!$B$2:$B$7,Reference_Tables!$C$2:$C$7,,0,1)</f>
        <v>MR</v>
      </c>
      <c r="J563" t="str">
        <f>INDEX(Reference_Tables!$D$11:$D$36,MATCH(LoanData[[#This Row],[Branch]],Reference_Tables!$A$11:$A$36,0))</f>
        <v>Arvind Pillai</v>
      </c>
      <c r="L563" s="35"/>
    </row>
    <row r="564" spans="2:12" ht="15.6" x14ac:dyDescent="0.3">
      <c r="B564" s="15">
        <f>DATEDIF(Loan_Data!K:K,Loan_Data!L:L,"D")</f>
        <v>3</v>
      </c>
      <c r="C564" s="15">
        <f ca="1">DATEDIF(LoanData[[#This Row],[Approval_Date]],TODAY(),"M")</f>
        <v>56</v>
      </c>
      <c r="D564" s="31">
        <f>EDATE(LoanData[[#This Row],[Approval_Date]],LoanData[[#This Row],[Loan_Term_Months]])</f>
        <v>46008</v>
      </c>
      <c r="E564" t="str">
        <f t="shared" ca="1" si="8"/>
        <v>YES</v>
      </c>
      <c r="F564" s="33">
        <f>IFERROR(LoanData[[#This Row],[EMI]]/LoanData[[#This Row],[Monthly_Income]]*100," ")</f>
        <v>2.0545555909525328</v>
      </c>
      <c r="G564" t="str" cm="1">
        <f t="array" ref="G564">_xlfn.IFS(F564&gt;40, "High DTI Risk",F564&gt;=25, "Moderate DTI",F564&lt;25, "Low DTI")</f>
        <v>Low DTI</v>
      </c>
      <c r="H564" t="str" cm="1">
        <f t="array" ref="H5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64" t="str">
        <f>_xlfn.XLOOKUP(H564,Reference_Tables!$B$2:$B$7,Reference_Tables!$C$2:$C$7,,0,1)</f>
        <v>VHR</v>
      </c>
      <c r="J564" t="str">
        <f>INDEX(Reference_Tables!$D$11:$D$36,MATCH(LoanData[[#This Row],[Branch]],Reference_Tables!$A$11:$A$36,0))</f>
        <v>Priyanka Gupta</v>
      </c>
      <c r="L564" s="35"/>
    </row>
    <row r="565" spans="2:12" ht="15.6" x14ac:dyDescent="0.3">
      <c r="B565" s="15">
        <f>DATEDIF(Loan_Data!K:K,Loan_Data!L:L,"D")</f>
        <v>14</v>
      </c>
      <c r="C565" s="15">
        <f ca="1">DATEDIF(LoanData[[#This Row],[Approval_Date]],TODAY(),"M")</f>
        <v>57</v>
      </c>
      <c r="D565" s="31">
        <f>EDATE(LoanData[[#This Row],[Approval_Date]],LoanData[[#This Row],[Loan_Term_Months]])</f>
        <v>49983</v>
      </c>
      <c r="E565" t="str">
        <f t="shared" ca="1" si="8"/>
        <v>NO</v>
      </c>
      <c r="F565" s="33">
        <f>IFERROR(LoanData[[#This Row],[EMI]]/LoanData[[#This Row],[Monthly_Income]]*100," ")</f>
        <v>18.531145012942666</v>
      </c>
      <c r="G565" t="str" cm="1">
        <f t="array" ref="G565">_xlfn.IFS(F565&gt;40, "High DTI Risk",F565&gt;=25, "Moderate DTI",F565&lt;25, "Low DTI")</f>
        <v>Low DTI</v>
      </c>
      <c r="H565" t="str" cm="1">
        <f t="array" ref="H5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65" t="str">
        <f>_xlfn.XLOOKUP(H565,Reference_Tables!$B$2:$B$7,Reference_Tables!$C$2:$C$7,,0,1)</f>
        <v>VHR</v>
      </c>
      <c r="J565" t="str">
        <f>INDEX(Reference_Tables!$D$11:$D$36,MATCH(LoanData[[#This Row],[Branch]],Reference_Tables!$A$11:$A$36,0))</f>
        <v>Hetal Patel</v>
      </c>
      <c r="L565" s="35"/>
    </row>
    <row r="566" spans="2:12" ht="15.6" x14ac:dyDescent="0.3">
      <c r="B566" s="15">
        <f>DATEDIF(Loan_Data!K:K,Loan_Data!L:L,"D")</f>
        <v>18</v>
      </c>
      <c r="C566" s="15">
        <f ca="1">DATEDIF(LoanData[[#This Row],[Approval_Date]],TODAY(),"M")</f>
        <v>59</v>
      </c>
      <c r="D566" s="31">
        <f>EDATE(LoanData[[#This Row],[Approval_Date]],LoanData[[#This Row],[Loan_Term_Months]])</f>
        <v>48084</v>
      </c>
      <c r="E566" t="str">
        <f t="shared" ca="1" si="8"/>
        <v>NO</v>
      </c>
      <c r="F566" s="33">
        <f>IFERROR(LoanData[[#This Row],[EMI]]/LoanData[[#This Row],[Monthly_Income]]*100," ")</f>
        <v>0.95734582844718696</v>
      </c>
      <c r="G566" t="str" cm="1">
        <f t="array" ref="G566">_xlfn.IFS(F566&gt;40, "High DTI Risk",F566&gt;=25, "Moderate DTI",F566&lt;25, "Low DTI")</f>
        <v>Low DTI</v>
      </c>
      <c r="H566" t="str" cm="1">
        <f t="array" ref="H5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66" t="str">
        <f>_xlfn.XLOOKUP(H566,Reference_Tables!$B$2:$B$7,Reference_Tables!$C$2:$C$7,,0,1)</f>
        <v>LR</v>
      </c>
      <c r="J566" t="str">
        <f>INDEX(Reference_Tables!$D$11:$D$36,MATCH(LoanData[[#This Row],[Branch]],Reference_Tables!$A$11:$A$36,0))</f>
        <v>Ravi Verma</v>
      </c>
      <c r="L566" s="35"/>
    </row>
    <row r="567" spans="2:12" ht="15.6" x14ac:dyDescent="0.3">
      <c r="B567" s="15">
        <f>DATEDIF(Loan_Data!K:K,Loan_Data!L:L,"D")</f>
        <v>15</v>
      </c>
      <c r="C567" s="15">
        <f ca="1">DATEDIF(LoanData[[#This Row],[Approval_Date]],TODAY(),"M")</f>
        <v>53</v>
      </c>
      <c r="D567" s="31">
        <f>EDATE(LoanData[[#This Row],[Approval_Date]],LoanData[[#This Row],[Loan_Term_Months]])</f>
        <v>45734</v>
      </c>
      <c r="E567" t="str">
        <f t="shared" ca="1" si="8"/>
        <v>YES</v>
      </c>
      <c r="F567" s="33">
        <f>IFERROR(LoanData[[#This Row],[EMI]]/LoanData[[#This Row],[Monthly_Income]]*100," ")</f>
        <v>2.7762620277345409</v>
      </c>
      <c r="G567" t="str" cm="1">
        <f t="array" ref="G567">_xlfn.IFS(F567&gt;40, "High DTI Risk",F567&gt;=25, "Moderate DTI",F567&lt;25, "Low DTI")</f>
        <v>Low DTI</v>
      </c>
      <c r="H567" t="str" cm="1">
        <f t="array" ref="H5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67" t="str">
        <f>_xlfn.XLOOKUP(H567,Reference_Tables!$B$2:$B$7,Reference_Tables!$C$2:$C$7,,0,1)</f>
        <v>LR</v>
      </c>
      <c r="J567" t="str">
        <f>INDEX(Reference_Tables!$D$11:$D$36,MATCH(LoanData[[#This Row],[Branch]],Reference_Tables!$A$11:$A$36,0))</f>
        <v>Lakshmi Reddy</v>
      </c>
      <c r="L567" s="35"/>
    </row>
    <row r="568" spans="2:12" ht="15.6" x14ac:dyDescent="0.3">
      <c r="B568" s="15">
        <f>DATEDIF(Loan_Data!K:K,Loan_Data!L:L,"D")</f>
        <v>13</v>
      </c>
      <c r="C568" s="15">
        <f ca="1">DATEDIF(LoanData[[#This Row],[Approval_Date]],TODAY(),"M")</f>
        <v>41</v>
      </c>
      <c r="D568" s="31">
        <f>EDATE(LoanData[[#This Row],[Approval_Date]],LoanData[[#This Row],[Loan_Term_Months]])</f>
        <v>46829</v>
      </c>
      <c r="E568" t="str">
        <f t="shared" ca="1" si="8"/>
        <v>NO</v>
      </c>
      <c r="F568" s="33">
        <f>IFERROR(LoanData[[#This Row],[EMI]]/LoanData[[#This Row],[Monthly_Income]]*100," ")</f>
        <v>2.4425013375496087</v>
      </c>
      <c r="G568" t="str" cm="1">
        <f t="array" ref="G568">_xlfn.IFS(F568&gt;40, "High DTI Risk",F568&gt;=25, "Moderate DTI",F568&lt;25, "Low DTI")</f>
        <v>Low DTI</v>
      </c>
      <c r="H568" t="str" cm="1">
        <f t="array" ref="H5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68" t="str">
        <f>_xlfn.XLOOKUP(H568,Reference_Tables!$B$2:$B$7,Reference_Tables!$C$2:$C$7,,0,1)</f>
        <v>LR</v>
      </c>
      <c r="J568" t="str">
        <f>INDEX(Reference_Tables!$D$11:$D$36,MATCH(LoanData[[#This Row],[Branch]],Reference_Tables!$A$11:$A$36,0))</f>
        <v>Ravi Verma</v>
      </c>
      <c r="L568" s="35"/>
    </row>
    <row r="569" spans="2:12" ht="15.6" x14ac:dyDescent="0.3">
      <c r="B569" s="15">
        <f>DATEDIF(Loan_Data!K:K,Loan_Data!L:L,"D")</f>
        <v>9</v>
      </c>
      <c r="C569" s="15">
        <f ca="1">DATEDIF(LoanData[[#This Row],[Approval_Date]],TODAY(),"M")</f>
        <v>51</v>
      </c>
      <c r="D569" s="31">
        <f>EDATE(LoanData[[#This Row],[Approval_Date]],LoanData[[#This Row],[Loan_Term_Months]])</f>
        <v>47240</v>
      </c>
      <c r="E569" t="str">
        <f t="shared" ca="1" si="8"/>
        <v>NO</v>
      </c>
      <c r="F569" s="33">
        <f>IFERROR(LoanData[[#This Row],[EMI]]/LoanData[[#This Row],[Monthly_Income]]*100," ")</f>
        <v>17.181771571613837</v>
      </c>
      <c r="G569" t="str" cm="1">
        <f t="array" ref="G569">_xlfn.IFS(F569&gt;40, "High DTI Risk",F569&gt;=25, "Moderate DTI",F569&lt;25, "Low DTI")</f>
        <v>Low DTI</v>
      </c>
      <c r="H569" t="str" cm="1">
        <f t="array" ref="H5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69" t="str">
        <f>_xlfn.XLOOKUP(H569,Reference_Tables!$B$2:$B$7,Reference_Tables!$C$2:$C$7,,0,1)</f>
        <v>VHR</v>
      </c>
      <c r="J569" t="str">
        <f>INDEX(Reference_Tables!$D$11:$D$36,MATCH(LoanData[[#This Row],[Branch]],Reference_Tables!$A$11:$A$36,0))</f>
        <v>Puja Chatterjee</v>
      </c>
      <c r="L569" s="35"/>
    </row>
    <row r="570" spans="2:12" ht="15.6" x14ac:dyDescent="0.3">
      <c r="B570" s="15">
        <f>DATEDIF(Loan_Data!K:K,Loan_Data!L:L,"D")</f>
        <v>5</v>
      </c>
      <c r="C570" s="15">
        <f ca="1">DATEDIF(LoanData[[#This Row],[Approval_Date]],TODAY(),"M")</f>
        <v>56</v>
      </c>
      <c r="D570" s="31">
        <f>EDATE(LoanData[[#This Row],[Approval_Date]],LoanData[[#This Row],[Loan_Term_Months]])</f>
        <v>44897</v>
      </c>
      <c r="E570" t="str">
        <f t="shared" ca="1" si="8"/>
        <v>YES</v>
      </c>
      <c r="F570" s="33">
        <f>IFERROR(LoanData[[#This Row],[EMI]]/LoanData[[#This Row],[Monthly_Income]]*100," ")</f>
        <v>4.5888535128722507</v>
      </c>
      <c r="G570" t="str" cm="1">
        <f t="array" ref="G570">_xlfn.IFS(F570&gt;40, "High DTI Risk",F570&gt;=25, "Moderate DTI",F570&lt;25, "Low DTI")</f>
        <v>Low DTI</v>
      </c>
      <c r="H570" t="str" cm="1">
        <f t="array" ref="H5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70" t="str">
        <f>_xlfn.XLOOKUP(H570,Reference_Tables!$B$2:$B$7,Reference_Tables!$C$2:$C$7,,0,1)</f>
        <v>VHR</v>
      </c>
      <c r="J570" t="str">
        <f>INDEX(Reference_Tables!$D$11:$D$36,MATCH(LoanData[[#This Row],[Branch]],Reference_Tables!$A$11:$A$36,0))</f>
        <v>Vikram Malhotra</v>
      </c>
      <c r="L570" s="35"/>
    </row>
    <row r="571" spans="2:12" ht="15.6" x14ac:dyDescent="0.3">
      <c r="B571" s="15">
        <f>DATEDIF(Loan_Data!K:K,Loan_Data!L:L,"D")</f>
        <v>15</v>
      </c>
      <c r="C571" s="15">
        <f ca="1">DATEDIF(LoanData[[#This Row],[Approval_Date]],TODAY(),"M")</f>
        <v>33</v>
      </c>
      <c r="D571" s="31">
        <f>EDATE(LoanData[[#This Row],[Approval_Date]],LoanData[[#This Row],[Loan_Term_Months]])</f>
        <v>52553</v>
      </c>
      <c r="E571" t="str">
        <f t="shared" ca="1" si="8"/>
        <v>NO</v>
      </c>
      <c r="F571" s="33">
        <f>IFERROR(LoanData[[#This Row],[EMI]]/LoanData[[#This Row],[Monthly_Income]]*100," ")</f>
        <v>1.2473304928725475</v>
      </c>
      <c r="G571" t="str" cm="1">
        <f t="array" ref="G571">_xlfn.IFS(F571&gt;40, "High DTI Risk",F571&gt;=25, "Moderate DTI",F571&lt;25, "Low DTI")</f>
        <v>Low DTI</v>
      </c>
      <c r="H571" t="str" cm="1">
        <f t="array" ref="H5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71" t="str">
        <f>_xlfn.XLOOKUP(H571,Reference_Tables!$B$2:$B$7,Reference_Tables!$C$2:$C$7,,0,1)</f>
        <v>HR</v>
      </c>
      <c r="J571" t="str">
        <f>INDEX(Reference_Tables!$D$11:$D$36,MATCH(LoanData[[#This Row],[Branch]],Reference_Tables!$A$11:$A$36,0))</f>
        <v>Anil Mishra</v>
      </c>
      <c r="L571" s="35"/>
    </row>
    <row r="572" spans="2:12" ht="15.6" x14ac:dyDescent="0.3">
      <c r="B572" s="15">
        <f>DATEDIF(Loan_Data!K:K,Loan_Data!L:L,"D")</f>
        <v>14</v>
      </c>
      <c r="C572" s="15">
        <f ca="1">DATEDIF(LoanData[[#This Row],[Approval_Date]],TODAY(),"M")</f>
        <v>44</v>
      </c>
      <c r="D572" s="31">
        <f>EDATE(LoanData[[#This Row],[Approval_Date]],LoanData[[#This Row],[Loan_Term_Months]])</f>
        <v>45259</v>
      </c>
      <c r="E572" t="str">
        <f t="shared" ca="1" si="8"/>
        <v>YES</v>
      </c>
      <c r="F572" s="33">
        <f>IFERROR(LoanData[[#This Row],[EMI]]/LoanData[[#This Row],[Monthly_Income]]*100," ")</f>
        <v>43.742766316335803</v>
      </c>
      <c r="G572" t="str" cm="1">
        <f t="array" ref="G572">_xlfn.IFS(F572&gt;40, "High DTI Risk",F572&gt;=25, "Moderate DTI",F572&lt;25, "Low DTI")</f>
        <v>High DTI Risk</v>
      </c>
      <c r="H572" t="str" cm="1">
        <f t="array" ref="H5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72" t="str">
        <f>_xlfn.XLOOKUP(H572,Reference_Tables!$B$2:$B$7,Reference_Tables!$C$2:$C$7,,0,1)</f>
        <v>VHR</v>
      </c>
      <c r="J572" t="str">
        <f>INDEX(Reference_Tables!$D$11:$D$36,MATCH(LoanData[[#This Row],[Branch]],Reference_Tables!$A$11:$A$36,0))</f>
        <v>Priya Yadav</v>
      </c>
      <c r="L572" s="35"/>
    </row>
    <row r="573" spans="2:12" ht="15.6" x14ac:dyDescent="0.3">
      <c r="B573" s="15">
        <f>DATEDIF(Loan_Data!K:K,Loan_Data!L:L,"D")</f>
        <v>13</v>
      </c>
      <c r="C573" s="15">
        <f ca="1">DATEDIF(LoanData[[#This Row],[Approval_Date]],TODAY(),"M")</f>
        <v>36</v>
      </c>
      <c r="D573" s="31">
        <f>EDATE(LoanData[[#This Row],[Approval_Date]],LoanData[[#This Row],[Loan_Term_Months]])</f>
        <v>45504</v>
      </c>
      <c r="E573" t="str">
        <f t="shared" ca="1" si="8"/>
        <v>YES</v>
      </c>
      <c r="F573" s="33">
        <f>IFERROR(LoanData[[#This Row],[EMI]]/LoanData[[#This Row],[Monthly_Income]]*100," ")</f>
        <v>6.3867664909240851</v>
      </c>
      <c r="G573" t="str" cm="1">
        <f t="array" ref="G573">_xlfn.IFS(F573&gt;40, "High DTI Risk",F573&gt;=25, "Moderate DTI",F573&lt;25, "Low DTI")</f>
        <v>Low DTI</v>
      </c>
      <c r="H573" t="str" cm="1">
        <f t="array" ref="H5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73" t="str">
        <f>_xlfn.XLOOKUP(H573,Reference_Tables!$B$2:$B$7,Reference_Tables!$C$2:$C$7,,0,1)</f>
        <v>LR</v>
      </c>
      <c r="J573" t="str">
        <f>INDEX(Reference_Tables!$D$11:$D$36,MATCH(LoanData[[#This Row],[Branch]],Reference_Tables!$A$11:$A$36,0))</f>
        <v>Rituparna Bora</v>
      </c>
      <c r="L573" s="35"/>
    </row>
    <row r="574" spans="2:12" ht="15.6" x14ac:dyDescent="0.3">
      <c r="B574" s="15">
        <f>DATEDIF(Loan_Data!K:K,Loan_Data!L:L,"D")</f>
        <v>13</v>
      </c>
      <c r="C574" s="15">
        <f ca="1">DATEDIF(LoanData[[#This Row],[Approval_Date]],TODAY(),"M")</f>
        <v>55</v>
      </c>
      <c r="D574" s="31">
        <f>EDATE(LoanData[[#This Row],[Approval_Date]],LoanData[[#This Row],[Loan_Term_Months]])</f>
        <v>44931</v>
      </c>
      <c r="E574" t="str">
        <f t="shared" ca="1" si="8"/>
        <v>YES</v>
      </c>
      <c r="F574" s="33">
        <f>IFERROR(LoanData[[#This Row],[EMI]]/LoanData[[#This Row],[Monthly_Income]]*100," ")</f>
        <v>8.6034192060697716</v>
      </c>
      <c r="G574" t="str" cm="1">
        <f t="array" ref="G574">_xlfn.IFS(F574&gt;40, "High DTI Risk",F574&gt;=25, "Moderate DTI",F574&lt;25, "Low DTI")</f>
        <v>Low DTI</v>
      </c>
      <c r="H574" t="str" cm="1">
        <f t="array" ref="H5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74" t="str">
        <f>_xlfn.XLOOKUP(H574,Reference_Tables!$B$2:$B$7,Reference_Tables!$C$2:$C$7,,0,1)</f>
        <v>LR</v>
      </c>
      <c r="J574" t="str">
        <f>INDEX(Reference_Tables!$D$11:$D$36,MATCH(LoanData[[#This Row],[Branch]],Reference_Tables!$A$11:$A$36,0))</f>
        <v>Rituparna Bora</v>
      </c>
      <c r="L574" s="35"/>
    </row>
    <row r="575" spans="2:12" ht="15.6" x14ac:dyDescent="0.3">
      <c r="B575" s="15">
        <f>DATEDIF(Loan_Data!K:K,Loan_Data!L:L,"D")</f>
        <v>28</v>
      </c>
      <c r="C575" s="15">
        <f ca="1">DATEDIF(LoanData[[#This Row],[Approval_Date]],TODAY(),"M")</f>
        <v>55</v>
      </c>
      <c r="D575" s="31">
        <f>EDATE(LoanData[[#This Row],[Approval_Date]],LoanData[[#This Row],[Loan_Term_Months]])</f>
        <v>45301</v>
      </c>
      <c r="E575" t="str">
        <f t="shared" ca="1" si="8"/>
        <v>YES</v>
      </c>
      <c r="F575" s="33">
        <f>IFERROR(LoanData[[#This Row],[EMI]]/LoanData[[#This Row],[Monthly_Income]]*100," ")</f>
        <v>9.0946445908005558</v>
      </c>
      <c r="G575" t="str" cm="1">
        <f t="array" ref="G575">_xlfn.IFS(F575&gt;40, "High DTI Risk",F575&gt;=25, "Moderate DTI",F575&lt;25, "Low DTI")</f>
        <v>Low DTI</v>
      </c>
      <c r="H575" t="str" cm="1">
        <f t="array" ref="H5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75" t="str">
        <f>_xlfn.XLOOKUP(H575,Reference_Tables!$B$2:$B$7,Reference_Tables!$C$2:$C$7,,0,1)</f>
        <v>VHR</v>
      </c>
      <c r="J575" t="str">
        <f>INDEX(Reference_Tables!$D$11:$D$36,MATCH(LoanData[[#This Row],[Branch]],Reference_Tables!$A$11:$A$36,0))</f>
        <v>Rituparna Bora</v>
      </c>
      <c r="L575" s="35"/>
    </row>
    <row r="576" spans="2:12" ht="15.6" x14ac:dyDescent="0.3">
      <c r="B576" s="15">
        <f>DATEDIF(Loan_Data!K:K,Loan_Data!L:L,"D")</f>
        <v>5</v>
      </c>
      <c r="C576" s="15">
        <f ca="1">DATEDIF(LoanData[[#This Row],[Approval_Date]],TODAY(),"M")</f>
        <v>35</v>
      </c>
      <c r="D576" s="31">
        <f>EDATE(LoanData[[#This Row],[Approval_Date]],LoanData[[#This Row],[Loan_Term_Months]])</f>
        <v>45915</v>
      </c>
      <c r="E576" t="str">
        <f t="shared" ca="1" si="8"/>
        <v>YES</v>
      </c>
      <c r="F576" s="33">
        <f>IFERROR(LoanData[[#This Row],[EMI]]/LoanData[[#This Row],[Monthly_Income]]*100," ")</f>
        <v>19.960927505330492</v>
      </c>
      <c r="G576" t="str" cm="1">
        <f t="array" ref="G576">_xlfn.IFS(F576&gt;40, "High DTI Risk",F576&gt;=25, "Moderate DTI",F576&lt;25, "Low DTI")</f>
        <v>Low DTI</v>
      </c>
      <c r="H576" t="str" cm="1">
        <f t="array" ref="H5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76" t="str">
        <f>_xlfn.XLOOKUP(H576,Reference_Tables!$B$2:$B$7,Reference_Tables!$C$2:$C$7,,0,1)</f>
        <v>LR</v>
      </c>
      <c r="J576" t="str">
        <f>INDEX(Reference_Tables!$D$11:$D$36,MATCH(LoanData[[#This Row],[Branch]],Reference_Tables!$A$11:$A$36,0))</f>
        <v>Anil Mishra</v>
      </c>
      <c r="L576" s="35"/>
    </row>
    <row r="577" spans="2:12" ht="15.6" x14ac:dyDescent="0.3">
      <c r="B577" s="15">
        <f>DATEDIF(Loan_Data!K:K,Loan_Data!L:L,"D")</f>
        <v>7</v>
      </c>
      <c r="C577" s="15">
        <f ca="1">DATEDIF(LoanData[[#This Row],[Approval_Date]],TODAY(),"M")</f>
        <v>34</v>
      </c>
      <c r="D577" s="31">
        <f>EDATE(LoanData[[#This Row],[Approval_Date]],LoanData[[#This Row],[Loan_Term_Months]])</f>
        <v>52514</v>
      </c>
      <c r="E577" t="str">
        <f t="shared" ca="1" si="8"/>
        <v>NO</v>
      </c>
      <c r="F577" s="33">
        <f>IFERROR(LoanData[[#This Row],[EMI]]/LoanData[[#This Row],[Monthly_Income]]*100," ")</f>
        <v>7.755004234446365</v>
      </c>
      <c r="G577" t="str" cm="1">
        <f t="array" ref="G577">_xlfn.IFS(F577&gt;40, "High DTI Risk",F577&gt;=25, "Moderate DTI",F577&lt;25, "Low DTI")</f>
        <v>Low DTI</v>
      </c>
      <c r="H577" t="str" cm="1">
        <f t="array" ref="H5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77" t="str">
        <f>_xlfn.XLOOKUP(H577,Reference_Tables!$B$2:$B$7,Reference_Tables!$C$2:$C$7,,0,1)</f>
        <v>HR</v>
      </c>
      <c r="J577" t="str">
        <f>INDEX(Reference_Tables!$D$11:$D$36,MATCH(LoanData[[#This Row],[Branch]],Reference_Tables!$A$11:$A$36,0))</f>
        <v>Santhosh Rao</v>
      </c>
      <c r="L577" s="35"/>
    </row>
    <row r="578" spans="2:12" ht="15.6" x14ac:dyDescent="0.3">
      <c r="B578" s="15">
        <f>DATEDIF(Loan_Data!K:K,Loan_Data!L:L,"D")</f>
        <v>11</v>
      </c>
      <c r="C578" s="15">
        <f ca="1">DATEDIF(LoanData[[#This Row],[Approval_Date]],TODAY(),"M")</f>
        <v>51</v>
      </c>
      <c r="D578" s="31">
        <f>EDATE(LoanData[[#This Row],[Approval_Date]],LoanData[[#This Row],[Loan_Term_Months]])</f>
        <v>45039</v>
      </c>
      <c r="E578" t="str">
        <f t="shared" ref="E578:E641" ca="1" si="9">IF(D578&lt;TODAY(),"YES","NO")</f>
        <v>YES</v>
      </c>
      <c r="F578" s="33">
        <f>IFERROR(LoanData[[#This Row],[EMI]]/LoanData[[#This Row],[Monthly_Income]]*100," ")</f>
        <v>10.760888420181153</v>
      </c>
      <c r="G578" t="str" cm="1">
        <f t="array" ref="G578">_xlfn.IFS(F578&gt;40, "High DTI Risk",F578&gt;=25, "Moderate DTI",F578&lt;25, "Low DTI")</f>
        <v>Low DTI</v>
      </c>
      <c r="H578" t="str" cm="1">
        <f t="array" ref="H5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78" t="str">
        <f>_xlfn.XLOOKUP(H578,Reference_Tables!$B$2:$B$7,Reference_Tables!$C$2:$C$7,,0,1)</f>
        <v>VHR</v>
      </c>
      <c r="J578" t="str">
        <f>INDEX(Reference_Tables!$D$11:$D$36,MATCH(LoanData[[#This Row],[Branch]],Reference_Tables!$A$11:$A$36,0))</f>
        <v>Rituparna Bora</v>
      </c>
      <c r="L578" s="35"/>
    </row>
    <row r="579" spans="2:12" ht="15.6" x14ac:dyDescent="0.3">
      <c r="B579" s="15">
        <f>DATEDIF(Loan_Data!K:K,Loan_Data!L:L,"D")</f>
        <v>13</v>
      </c>
      <c r="C579" s="15">
        <f ca="1">DATEDIF(LoanData[[#This Row],[Approval_Date]],TODAY(),"M")</f>
        <v>64</v>
      </c>
      <c r="D579" s="31">
        <f>EDATE(LoanData[[#This Row],[Approval_Date]],LoanData[[#This Row],[Loan_Term_Months]])</f>
        <v>45025</v>
      </c>
      <c r="E579" t="str">
        <f t="shared" ca="1" si="9"/>
        <v>YES</v>
      </c>
      <c r="F579" s="33">
        <f>IFERROR(LoanData[[#This Row],[EMI]]/LoanData[[#This Row],[Monthly_Income]]*100," ")</f>
        <v>2.1897123335192266</v>
      </c>
      <c r="G579" t="str" cm="1">
        <f t="array" ref="G579">_xlfn.IFS(F579&gt;40, "High DTI Risk",F579&gt;=25, "Moderate DTI",F579&lt;25, "Low DTI")</f>
        <v>Low DTI</v>
      </c>
      <c r="H579" t="str" cm="1">
        <f t="array" ref="H5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79" t="str">
        <f>_xlfn.XLOOKUP(H579,Reference_Tables!$B$2:$B$7,Reference_Tables!$C$2:$C$7,,0,1)</f>
        <v>VHR</v>
      </c>
      <c r="J579" t="str">
        <f>INDEX(Reference_Tables!$D$11:$D$36,MATCH(LoanData[[#This Row],[Branch]],Reference_Tables!$A$11:$A$36,0))</f>
        <v>Puja Chatterjee</v>
      </c>
      <c r="L579" s="35"/>
    </row>
    <row r="580" spans="2:12" ht="15.6" x14ac:dyDescent="0.3">
      <c r="B580" s="15">
        <f>DATEDIF(Loan_Data!K:K,Loan_Data!L:L,"D")</f>
        <v>18</v>
      </c>
      <c r="C580" s="15">
        <f ca="1">DATEDIF(LoanData[[#This Row],[Approval_Date]],TODAY(),"M")</f>
        <v>33</v>
      </c>
      <c r="D580" s="31">
        <f>EDATE(LoanData[[#This Row],[Approval_Date]],LoanData[[#This Row],[Loan_Term_Months]])</f>
        <v>47061</v>
      </c>
      <c r="E580" t="str">
        <f t="shared" ca="1" si="9"/>
        <v>NO</v>
      </c>
      <c r="F580" s="33">
        <f>IFERROR(LoanData[[#This Row],[EMI]]/LoanData[[#This Row],[Monthly_Income]]*100," ")</f>
        <v>2.5135366393390797</v>
      </c>
      <c r="G580" t="str" cm="1">
        <f t="array" ref="G580">_xlfn.IFS(F580&gt;40, "High DTI Risk",F580&gt;=25, "Moderate DTI",F580&lt;25, "Low DTI")</f>
        <v>Low DTI</v>
      </c>
      <c r="H580" t="str" cm="1">
        <f t="array" ref="H5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80" t="str">
        <f>_xlfn.XLOOKUP(H580,Reference_Tables!$B$2:$B$7,Reference_Tables!$C$2:$C$7,,0,1)</f>
        <v>VHR</v>
      </c>
      <c r="J580" t="str">
        <f>INDEX(Reference_Tables!$D$11:$D$36,MATCH(LoanData[[#This Row],[Branch]],Reference_Tables!$A$11:$A$36,0))</f>
        <v>Sandeep Saxena</v>
      </c>
      <c r="L580" s="35"/>
    </row>
    <row r="581" spans="2:12" ht="15.6" x14ac:dyDescent="0.3">
      <c r="B581" s="15">
        <f>DATEDIF(Loan_Data!K:K,Loan_Data!L:L,"D")</f>
        <v>21</v>
      </c>
      <c r="C581" s="15">
        <f ca="1">DATEDIF(LoanData[[#This Row],[Approval_Date]],TODAY(),"M")</f>
        <v>54</v>
      </c>
      <c r="D581" s="31">
        <f>EDATE(LoanData[[#This Row],[Approval_Date]],LoanData[[#This Row],[Loan_Term_Months]])</f>
        <v>44952</v>
      </c>
      <c r="E581" t="str">
        <f t="shared" ca="1" si="9"/>
        <v>YES</v>
      </c>
      <c r="F581" s="33">
        <f>IFERROR(LoanData[[#This Row],[EMI]]/LoanData[[#This Row],[Monthly_Income]]*100," ")</f>
        <v>15.927437532552224</v>
      </c>
      <c r="G581" t="str" cm="1">
        <f t="array" ref="G581">_xlfn.IFS(F581&gt;40, "High DTI Risk",F581&gt;=25, "Moderate DTI",F581&lt;25, "Low DTI")</f>
        <v>Low DTI</v>
      </c>
      <c r="H581" t="str" cm="1">
        <f t="array" ref="H5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81" t="str">
        <f>_xlfn.XLOOKUP(H581,Reference_Tables!$B$2:$B$7,Reference_Tables!$C$2:$C$7,,0,1)</f>
        <v>HR</v>
      </c>
      <c r="J581" t="str">
        <f>INDEX(Reference_Tables!$D$11:$D$36,MATCH(LoanData[[#This Row],[Branch]],Reference_Tables!$A$11:$A$36,0))</f>
        <v>Debashis Das</v>
      </c>
      <c r="L581" s="35"/>
    </row>
    <row r="582" spans="2:12" ht="15.6" x14ac:dyDescent="0.3">
      <c r="B582" s="15">
        <f>DATEDIF(Loan_Data!K:K,Loan_Data!L:L,"D")</f>
        <v>25</v>
      </c>
      <c r="C582" s="15">
        <f ca="1">DATEDIF(LoanData[[#This Row],[Approval_Date]],TODAY(),"M")</f>
        <v>60</v>
      </c>
      <c r="D582" s="31">
        <f>EDATE(LoanData[[#This Row],[Approval_Date]],LoanData[[#This Row],[Loan_Term_Months]])</f>
        <v>51711</v>
      </c>
      <c r="E582" t="str">
        <f t="shared" ca="1" si="9"/>
        <v>NO</v>
      </c>
      <c r="F582" s="33">
        <f>IFERROR(LoanData[[#This Row],[EMI]]/LoanData[[#This Row],[Monthly_Income]]*100," ")</f>
        <v>4.4548768232066704</v>
      </c>
      <c r="G582" t="str" cm="1">
        <f t="array" ref="G582">_xlfn.IFS(F582&gt;40, "High DTI Risk",F582&gt;=25, "Moderate DTI",F582&lt;25, "Low DTI")</f>
        <v>Low DTI</v>
      </c>
      <c r="H582" t="str" cm="1">
        <f t="array" ref="H5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82" t="str">
        <f>_xlfn.XLOOKUP(H582,Reference_Tables!$B$2:$B$7,Reference_Tables!$C$2:$C$7,,0,1)</f>
        <v>MR</v>
      </c>
      <c r="J582" t="str">
        <f>INDEX(Reference_Tables!$D$11:$D$36,MATCH(LoanData[[#This Row],[Branch]],Reference_Tables!$A$11:$A$36,0))</f>
        <v>Debashis Das</v>
      </c>
      <c r="L582" s="35"/>
    </row>
    <row r="583" spans="2:12" ht="15.6" x14ac:dyDescent="0.3">
      <c r="B583" s="15">
        <f>DATEDIF(Loan_Data!K:K,Loan_Data!L:L,"D")</f>
        <v>14</v>
      </c>
      <c r="C583" s="15">
        <f ca="1">DATEDIF(LoanData[[#This Row],[Approval_Date]],TODAY(),"M")</f>
        <v>47</v>
      </c>
      <c r="D583" s="31">
        <f>EDATE(LoanData[[#This Row],[Approval_Date]],LoanData[[#This Row],[Loan_Term_Months]])</f>
        <v>45542</v>
      </c>
      <c r="E583" t="str">
        <f t="shared" ca="1" si="9"/>
        <v>YES</v>
      </c>
      <c r="F583" s="33">
        <f>IFERROR(LoanData[[#This Row],[EMI]]/LoanData[[#This Row],[Monthly_Income]]*100," ")</f>
        <v>2.7946615099057959</v>
      </c>
      <c r="G583" t="str" cm="1">
        <f t="array" ref="G583">_xlfn.IFS(F583&gt;40, "High DTI Risk",F583&gt;=25, "Moderate DTI",F583&lt;25, "Low DTI")</f>
        <v>Low DTI</v>
      </c>
      <c r="H583" t="str" cm="1">
        <f t="array" ref="H5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83" t="str">
        <f>_xlfn.XLOOKUP(H583,Reference_Tables!$B$2:$B$7,Reference_Tables!$C$2:$C$7,,0,1)</f>
        <v>VHR</v>
      </c>
      <c r="J583" t="str">
        <f>INDEX(Reference_Tables!$D$11:$D$36,MATCH(LoanData[[#This Row],[Branch]],Reference_Tables!$A$11:$A$36,0))</f>
        <v>Priyanka Gupta</v>
      </c>
      <c r="L583" s="35"/>
    </row>
    <row r="584" spans="2:12" ht="15.6" x14ac:dyDescent="0.3">
      <c r="B584" s="15">
        <f>DATEDIF(Loan_Data!K:K,Loan_Data!L:L,"D")</f>
        <v>30</v>
      </c>
      <c r="C584" s="15">
        <f ca="1">DATEDIF(LoanData[[#This Row],[Approval_Date]],TODAY(),"M")</f>
        <v>59</v>
      </c>
      <c r="D584" s="31">
        <f>EDATE(LoanData[[#This Row],[Approval_Date]],LoanData[[#This Row],[Loan_Term_Months]])</f>
        <v>45172</v>
      </c>
      <c r="E584" t="str">
        <f t="shared" ca="1" si="9"/>
        <v>YES</v>
      </c>
      <c r="F584" s="33">
        <f>IFERROR(LoanData[[#This Row],[EMI]]/LoanData[[#This Row],[Monthly_Income]]*100," ")</f>
        <v>2.5580531241162969</v>
      </c>
      <c r="G584" t="str" cm="1">
        <f t="array" ref="G584">_xlfn.IFS(F584&gt;40, "High DTI Risk",F584&gt;=25, "Moderate DTI",F584&lt;25, "Low DTI")</f>
        <v>Low DTI</v>
      </c>
      <c r="H584" t="str" cm="1">
        <f t="array" ref="H5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84" t="str">
        <f>_xlfn.XLOOKUP(H584,Reference_Tables!$B$2:$B$7,Reference_Tables!$C$2:$C$7,,0,1)</f>
        <v>VHR</v>
      </c>
      <c r="J584" t="str">
        <f>INDEX(Reference_Tables!$D$11:$D$36,MATCH(LoanData[[#This Row],[Branch]],Reference_Tables!$A$11:$A$36,0))</f>
        <v>Hetal Patel</v>
      </c>
      <c r="L584" s="35"/>
    </row>
    <row r="585" spans="2:12" ht="15.6" x14ac:dyDescent="0.3">
      <c r="B585" s="15">
        <f>DATEDIF(Loan_Data!K:K,Loan_Data!L:L,"D")</f>
        <v>8</v>
      </c>
      <c r="C585" s="15">
        <f ca="1">DATEDIF(LoanData[[#This Row],[Approval_Date]],TODAY(),"M")</f>
        <v>46</v>
      </c>
      <c r="D585" s="31">
        <f>EDATE(LoanData[[#This Row],[Approval_Date]],LoanData[[#This Row],[Loan_Term_Months]])</f>
        <v>46285</v>
      </c>
      <c r="E585" t="str">
        <f t="shared" ca="1" si="9"/>
        <v>NO</v>
      </c>
      <c r="F585" s="33">
        <f>IFERROR(LoanData[[#This Row],[EMI]]/LoanData[[#This Row],[Monthly_Income]]*100," ")</f>
        <v>0.88181841440949704</v>
      </c>
      <c r="G585" t="str" cm="1">
        <f t="array" ref="G585">_xlfn.IFS(F585&gt;40, "High DTI Risk",F585&gt;=25, "Moderate DTI",F585&lt;25, "Low DTI")</f>
        <v>Low DTI</v>
      </c>
      <c r="H585" t="str" cm="1">
        <f t="array" ref="H5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85" t="str">
        <f>_xlfn.XLOOKUP(H585,Reference_Tables!$B$2:$B$7,Reference_Tables!$C$2:$C$7,,0,1)</f>
        <v>VHR</v>
      </c>
      <c r="J585" t="str">
        <f>INDEX(Reference_Tables!$D$11:$D$36,MATCH(LoanData[[#This Row],[Branch]],Reference_Tables!$A$11:$A$36,0))</f>
        <v>Kavita Joshi</v>
      </c>
      <c r="L585" s="35"/>
    </row>
    <row r="586" spans="2:12" ht="15.6" x14ac:dyDescent="0.3">
      <c r="B586" s="15">
        <f>DATEDIF(Loan_Data!K:K,Loan_Data!L:L,"D")</f>
        <v>20</v>
      </c>
      <c r="C586" s="15">
        <f ca="1">DATEDIF(LoanData[[#This Row],[Approval_Date]],TODAY(),"M")</f>
        <v>45</v>
      </c>
      <c r="D586" s="31">
        <f>EDATE(LoanData[[#This Row],[Approval_Date]],LoanData[[#This Row],[Loan_Term_Months]])</f>
        <v>46331</v>
      </c>
      <c r="E586" t="str">
        <f t="shared" ca="1" si="9"/>
        <v>NO</v>
      </c>
      <c r="F586" s="33">
        <f>IFERROR(LoanData[[#This Row],[EMI]]/LoanData[[#This Row],[Monthly_Income]]*100," ")</f>
        <v>0.91402332409606746</v>
      </c>
      <c r="G586" t="str" cm="1">
        <f t="array" ref="G586">_xlfn.IFS(F586&gt;40, "High DTI Risk",F586&gt;=25, "Moderate DTI",F586&lt;25, "Low DTI")</f>
        <v>Low DTI</v>
      </c>
      <c r="H586" t="str" cm="1">
        <f t="array" ref="H5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86" t="str">
        <f>_xlfn.XLOOKUP(H586,Reference_Tables!$B$2:$B$7,Reference_Tables!$C$2:$C$7,,0,1)</f>
        <v>MR</v>
      </c>
      <c r="J586" t="str">
        <f>INDEX(Reference_Tables!$D$11:$D$36,MATCH(LoanData[[#This Row],[Branch]],Reference_Tables!$A$11:$A$36,0))</f>
        <v>Priyanka Gupta</v>
      </c>
      <c r="L586" s="35"/>
    </row>
    <row r="587" spans="2:12" ht="15.6" x14ac:dyDescent="0.3">
      <c r="B587" s="15">
        <f>DATEDIF(Loan_Data!K:K,Loan_Data!L:L,"D")</f>
        <v>12</v>
      </c>
      <c r="C587" s="15">
        <f ca="1">DATEDIF(LoanData[[#This Row],[Approval_Date]],TODAY(),"M")</f>
        <v>34</v>
      </c>
      <c r="D587" s="31">
        <f>EDATE(LoanData[[#This Row],[Approval_Date]],LoanData[[#This Row],[Loan_Term_Months]])</f>
        <v>47036</v>
      </c>
      <c r="E587" t="str">
        <f t="shared" ca="1" si="9"/>
        <v>NO</v>
      </c>
      <c r="F587" s="33">
        <f>IFERROR(LoanData[[#This Row],[EMI]]/LoanData[[#This Row],[Monthly_Income]]*100," ")</f>
        <v>1.6684812013470989</v>
      </c>
      <c r="G587" t="str" cm="1">
        <f t="array" ref="G587">_xlfn.IFS(F587&gt;40, "High DTI Risk",F587&gt;=25, "Moderate DTI",F587&lt;25, "Low DTI")</f>
        <v>Low DTI</v>
      </c>
      <c r="H587" t="str" cm="1">
        <f t="array" ref="H5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87" t="str">
        <f>_xlfn.XLOOKUP(H587,Reference_Tables!$B$2:$B$7,Reference_Tables!$C$2:$C$7,,0,1)</f>
        <v>VHR</v>
      </c>
      <c r="J587" t="str">
        <f>INDEX(Reference_Tables!$D$11:$D$36,MATCH(LoanData[[#This Row],[Branch]],Reference_Tables!$A$11:$A$36,0))</f>
        <v>Rituparna Bora</v>
      </c>
      <c r="L587" s="35"/>
    </row>
    <row r="588" spans="2:12" ht="15.6" x14ac:dyDescent="0.3">
      <c r="B588" s="15">
        <f>DATEDIF(Loan_Data!K:K,Loan_Data!L:L,"D")</f>
        <v>22</v>
      </c>
      <c r="C588" s="15">
        <f ca="1">DATEDIF(LoanData[[#This Row],[Approval_Date]],TODAY(),"M")</f>
        <v>62</v>
      </c>
      <c r="D588" s="31">
        <f>EDATE(LoanData[[#This Row],[Approval_Date]],LoanData[[#This Row],[Loan_Term_Months]])</f>
        <v>45435</v>
      </c>
      <c r="E588" t="str">
        <f t="shared" ca="1" si="9"/>
        <v>YES</v>
      </c>
      <c r="F588" s="33">
        <f>IFERROR(LoanData[[#This Row],[EMI]]/LoanData[[#This Row],[Monthly_Income]]*100," ")</f>
        <v>3.6567041190160685</v>
      </c>
      <c r="G588" t="str" cm="1">
        <f t="array" ref="G588">_xlfn.IFS(F588&gt;40, "High DTI Risk",F588&gt;=25, "Moderate DTI",F588&lt;25, "Low DTI")</f>
        <v>Low DTI</v>
      </c>
      <c r="H588" t="str" cm="1">
        <f t="array" ref="H5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88" t="str">
        <f>_xlfn.XLOOKUP(H588,Reference_Tables!$B$2:$B$7,Reference_Tables!$C$2:$C$7,,0,1)</f>
        <v>VHR</v>
      </c>
      <c r="J588" t="str">
        <f>INDEX(Reference_Tables!$D$11:$D$36,MATCH(LoanData[[#This Row],[Branch]],Reference_Tables!$A$11:$A$36,0))</f>
        <v>Amit Kumar</v>
      </c>
      <c r="L588" s="35"/>
    </row>
    <row r="589" spans="2:12" ht="15.6" x14ac:dyDescent="0.3">
      <c r="B589" s="15">
        <f>DATEDIF(Loan_Data!K:K,Loan_Data!L:L,"D")</f>
        <v>19</v>
      </c>
      <c r="C589" s="15">
        <f ca="1">DATEDIF(LoanData[[#This Row],[Approval_Date]],TODAY(),"M")</f>
        <v>44</v>
      </c>
      <c r="D589" s="31">
        <f>EDATE(LoanData[[#This Row],[Approval_Date]],LoanData[[#This Row],[Loan_Term_Months]])</f>
        <v>52193</v>
      </c>
      <c r="E589" t="str">
        <f t="shared" ca="1" si="9"/>
        <v>NO</v>
      </c>
      <c r="F589" s="33">
        <f>IFERROR(LoanData[[#This Row],[EMI]]/LoanData[[#This Row],[Monthly_Income]]*100," ")</f>
        <v>7.8785510952553848</v>
      </c>
      <c r="G589" t="str" cm="1">
        <f t="array" ref="G589">_xlfn.IFS(F589&gt;40, "High DTI Risk",F589&gt;=25, "Moderate DTI",F589&lt;25, "Low DTI")</f>
        <v>Low DTI</v>
      </c>
      <c r="H589" t="str" cm="1">
        <f t="array" ref="H5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89" t="str">
        <f>_xlfn.XLOOKUP(H589,Reference_Tables!$B$2:$B$7,Reference_Tables!$C$2:$C$7,,0,1)</f>
        <v>VHR</v>
      </c>
      <c r="J589" t="str">
        <f>INDEX(Reference_Tables!$D$11:$D$36,MATCH(LoanData[[#This Row],[Branch]],Reference_Tables!$A$11:$A$36,0))</f>
        <v>Rahul Kapoor</v>
      </c>
      <c r="L589" s="35"/>
    </row>
    <row r="590" spans="2:12" ht="15.6" x14ac:dyDescent="0.3">
      <c r="B590" s="15">
        <f>DATEDIF(Loan_Data!K:K,Loan_Data!L:L,"D")</f>
        <v>23</v>
      </c>
      <c r="C590" s="15">
        <f ca="1">DATEDIF(LoanData[[#This Row],[Approval_Date]],TODAY(),"M")</f>
        <v>63</v>
      </c>
      <c r="D590" s="31">
        <f>EDATE(LoanData[[#This Row],[Approval_Date]],LoanData[[#This Row],[Loan_Term_Months]])</f>
        <v>45426</v>
      </c>
      <c r="E590" t="str">
        <f t="shared" ca="1" si="9"/>
        <v>YES</v>
      </c>
      <c r="F590" s="33">
        <f>IFERROR(LoanData[[#This Row],[EMI]]/LoanData[[#This Row],[Monthly_Income]]*100," ")</f>
        <v>4.0898878112553581</v>
      </c>
      <c r="G590" t="str" cm="1">
        <f t="array" ref="G590">_xlfn.IFS(F590&gt;40, "High DTI Risk",F590&gt;=25, "Moderate DTI",F590&lt;25, "Low DTI")</f>
        <v>Low DTI</v>
      </c>
      <c r="H590" t="str" cm="1">
        <f t="array" ref="H5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90" t="str">
        <f>_xlfn.XLOOKUP(H590,Reference_Tables!$B$2:$B$7,Reference_Tables!$C$2:$C$7,,0,1)</f>
        <v>LR</v>
      </c>
      <c r="J590" t="str">
        <f>INDEX(Reference_Tables!$D$11:$D$36,MATCH(LoanData[[#This Row],[Branch]],Reference_Tables!$A$11:$A$36,0))</f>
        <v>Meena Iyer</v>
      </c>
      <c r="L590" s="35"/>
    </row>
    <row r="591" spans="2:12" ht="15.6" x14ac:dyDescent="0.3">
      <c r="B591" s="15">
        <f>DATEDIF(Loan_Data!K:K,Loan_Data!L:L,"D")</f>
        <v>21</v>
      </c>
      <c r="C591" s="15">
        <f ca="1">DATEDIF(LoanData[[#This Row],[Approval_Date]],TODAY(),"M")</f>
        <v>56</v>
      </c>
      <c r="D591" s="31">
        <f>EDATE(LoanData[[#This Row],[Approval_Date]],LoanData[[#This Row],[Loan_Term_Months]])</f>
        <v>45989</v>
      </c>
      <c r="E591" t="str">
        <f t="shared" ca="1" si="9"/>
        <v>YES</v>
      </c>
      <c r="F591" s="33">
        <f>IFERROR(LoanData[[#This Row],[EMI]]/LoanData[[#This Row],[Monthly_Income]]*100," ")</f>
        <v>10.54674249477843</v>
      </c>
      <c r="G591" t="str" cm="1">
        <f t="array" ref="G591">_xlfn.IFS(F591&gt;40, "High DTI Risk",F591&gt;=25, "Moderate DTI",F591&lt;25, "Low DTI")</f>
        <v>Low DTI</v>
      </c>
      <c r="H591" t="str" cm="1">
        <f t="array" ref="H5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91" t="str">
        <f>_xlfn.XLOOKUP(H591,Reference_Tables!$B$2:$B$7,Reference_Tables!$C$2:$C$7,,0,1)</f>
        <v>VHR</v>
      </c>
      <c r="J591" t="str">
        <f>INDEX(Reference_Tables!$D$11:$D$36,MATCH(LoanData[[#This Row],[Branch]],Reference_Tables!$A$11:$A$36,0))</f>
        <v>Arvind Pillai</v>
      </c>
      <c r="L591" s="35"/>
    </row>
    <row r="592" spans="2:12" ht="15.6" x14ac:dyDescent="0.3">
      <c r="B592" s="15">
        <f>DATEDIF(Loan_Data!K:K,Loan_Data!L:L,"D")</f>
        <v>22</v>
      </c>
      <c r="C592" s="15">
        <f ca="1">DATEDIF(LoanData[[#This Row],[Approval_Date]],TODAY(),"M")</f>
        <v>66</v>
      </c>
      <c r="D592" s="31">
        <f>EDATE(LoanData[[#This Row],[Approval_Date]],LoanData[[#This Row],[Loan_Term_Months]])</f>
        <v>46057</v>
      </c>
      <c r="E592" t="str">
        <f t="shared" ca="1" si="9"/>
        <v>YES</v>
      </c>
      <c r="F592" s="33">
        <f>IFERROR(LoanData[[#This Row],[EMI]]/LoanData[[#This Row],[Monthly_Income]]*100," ")</f>
        <v>3.4314591530228036</v>
      </c>
      <c r="G592" t="str" cm="1">
        <f t="array" ref="G592">_xlfn.IFS(F592&gt;40, "High DTI Risk",F592&gt;=25, "Moderate DTI",F592&lt;25, "Low DTI")</f>
        <v>Low DTI</v>
      </c>
      <c r="H592" t="str" cm="1">
        <f t="array" ref="H5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92" t="str">
        <f>_xlfn.XLOOKUP(H592,Reference_Tables!$B$2:$B$7,Reference_Tables!$C$2:$C$7,,0,1)</f>
        <v>LR</v>
      </c>
      <c r="J592" t="str">
        <f>INDEX(Reference_Tables!$D$11:$D$36,MATCH(LoanData[[#This Row],[Branch]],Reference_Tables!$A$11:$A$36,0))</f>
        <v>Priya Yadav</v>
      </c>
      <c r="L592" s="35"/>
    </row>
    <row r="593" spans="2:12" ht="15.6" x14ac:dyDescent="0.3">
      <c r="B593" s="15">
        <f>DATEDIF(Loan_Data!K:K,Loan_Data!L:L,"D")</f>
        <v>15</v>
      </c>
      <c r="C593" s="15">
        <f ca="1">DATEDIF(LoanData[[#This Row],[Approval_Date]],TODAY(),"M")</f>
        <v>46</v>
      </c>
      <c r="D593" s="31">
        <f>EDATE(LoanData[[#This Row],[Approval_Date]],LoanData[[#This Row],[Loan_Term_Months]])</f>
        <v>46658</v>
      </c>
      <c r="E593" t="str">
        <f t="shared" ca="1" si="9"/>
        <v>NO</v>
      </c>
      <c r="F593" s="33">
        <f>IFERROR(LoanData[[#This Row],[EMI]]/LoanData[[#This Row],[Monthly_Income]]*100," ")</f>
        <v>3.1187502915882619</v>
      </c>
      <c r="G593" t="str" cm="1">
        <f t="array" ref="G593">_xlfn.IFS(F593&gt;40, "High DTI Risk",F593&gt;=25, "Moderate DTI",F593&lt;25, "Low DTI")</f>
        <v>Low DTI</v>
      </c>
      <c r="H593" t="str" cm="1">
        <f t="array" ref="H5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93" t="str">
        <f>_xlfn.XLOOKUP(H593,Reference_Tables!$B$2:$B$7,Reference_Tables!$C$2:$C$7,,0,1)</f>
        <v>HR</v>
      </c>
      <c r="J593" t="str">
        <f>INDEX(Reference_Tables!$D$11:$D$36,MATCH(LoanData[[#This Row],[Branch]],Reference_Tables!$A$11:$A$36,0))</f>
        <v>Deepak Nair</v>
      </c>
      <c r="L593" s="35"/>
    </row>
    <row r="594" spans="2:12" ht="15.6" x14ac:dyDescent="0.3">
      <c r="B594" s="15">
        <f>DATEDIF(Loan_Data!K:K,Loan_Data!L:L,"D")</f>
        <v>21</v>
      </c>
      <c r="C594" s="15">
        <f ca="1">DATEDIF(LoanData[[#This Row],[Approval_Date]],TODAY(),"M")</f>
        <v>50</v>
      </c>
      <c r="D594" s="31">
        <f>EDATE(LoanData[[#This Row],[Approval_Date]],LoanData[[#This Row],[Loan_Term_Months]])</f>
        <v>47267</v>
      </c>
      <c r="E594" t="str">
        <f t="shared" ca="1" si="9"/>
        <v>NO</v>
      </c>
      <c r="F594" s="33">
        <f>IFERROR(LoanData[[#This Row],[EMI]]/LoanData[[#This Row],[Monthly_Income]]*100," ")</f>
        <v>3.7304090534728362</v>
      </c>
      <c r="G594" t="str" cm="1">
        <f t="array" ref="G594">_xlfn.IFS(F594&gt;40, "High DTI Risk",F594&gt;=25, "Moderate DTI",F594&lt;25, "Low DTI")</f>
        <v>Low DTI</v>
      </c>
      <c r="H594" t="str" cm="1">
        <f t="array" ref="H5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594" t="str">
        <f>_xlfn.XLOOKUP(H594,Reference_Tables!$B$2:$B$7,Reference_Tables!$C$2:$C$7,,0,1)</f>
        <v>MR</v>
      </c>
      <c r="J594" t="str">
        <f>INDEX(Reference_Tables!$D$11:$D$36,MATCH(LoanData[[#This Row],[Branch]],Reference_Tables!$A$11:$A$36,0))</f>
        <v>Hetal Patel</v>
      </c>
      <c r="L594" s="35"/>
    </row>
    <row r="595" spans="2:12" ht="15.6" x14ac:dyDescent="0.3">
      <c r="B595" s="15">
        <f>DATEDIF(Loan_Data!K:K,Loan_Data!L:L,"D")</f>
        <v>3</v>
      </c>
      <c r="C595" s="15">
        <f ca="1">DATEDIF(LoanData[[#This Row],[Approval_Date]],TODAY(),"M")</f>
        <v>45</v>
      </c>
      <c r="D595" s="31">
        <f>EDATE(LoanData[[#This Row],[Approval_Date]],LoanData[[#This Row],[Loan_Term_Months]])</f>
        <v>45594</v>
      </c>
      <c r="E595" t="str">
        <f t="shared" ca="1" si="9"/>
        <v>YES</v>
      </c>
      <c r="F595" s="33">
        <f>IFERROR(LoanData[[#This Row],[EMI]]/LoanData[[#This Row],[Monthly_Income]]*100," ")</f>
        <v>2.2059734759835061</v>
      </c>
      <c r="G595" t="str" cm="1">
        <f t="array" ref="G595">_xlfn.IFS(F595&gt;40, "High DTI Risk",F595&gt;=25, "Moderate DTI",F595&lt;25, "Low DTI")</f>
        <v>Low DTI</v>
      </c>
      <c r="H595" t="str" cm="1">
        <f t="array" ref="H5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95" t="str">
        <f>_xlfn.XLOOKUP(H595,Reference_Tables!$B$2:$B$7,Reference_Tables!$C$2:$C$7,,0,1)</f>
        <v>VHR</v>
      </c>
      <c r="J595" t="str">
        <f>INDEX(Reference_Tables!$D$11:$D$36,MATCH(LoanData[[#This Row],[Branch]],Reference_Tables!$A$11:$A$36,0))</f>
        <v>Priyanka Gupta</v>
      </c>
      <c r="L595" s="35"/>
    </row>
    <row r="596" spans="2:12" ht="15.6" x14ac:dyDescent="0.3">
      <c r="B596" s="15">
        <f>DATEDIF(Loan_Data!K:K,Loan_Data!L:L,"D")</f>
        <v>7</v>
      </c>
      <c r="C596" s="15">
        <f ca="1">DATEDIF(LoanData[[#This Row],[Approval_Date]],TODAY(),"M")</f>
        <v>37</v>
      </c>
      <c r="D596" s="31">
        <f>EDATE(LoanData[[#This Row],[Approval_Date]],LoanData[[#This Row],[Loan_Term_Months]])</f>
        <v>45481</v>
      </c>
      <c r="E596" t="str">
        <f t="shared" ca="1" si="9"/>
        <v>YES</v>
      </c>
      <c r="F596" s="33">
        <f>IFERROR(LoanData[[#This Row],[EMI]]/LoanData[[#This Row],[Monthly_Income]]*100," ")</f>
        <v>3.7047978808578774</v>
      </c>
      <c r="G596" t="str" cm="1">
        <f t="array" ref="G596">_xlfn.IFS(F596&gt;40, "High DTI Risk",F596&gt;=25, "Moderate DTI",F596&lt;25, "Low DTI")</f>
        <v>Low DTI</v>
      </c>
      <c r="H596" t="str" cm="1">
        <f t="array" ref="H5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96" t="str">
        <f>_xlfn.XLOOKUP(H596,Reference_Tables!$B$2:$B$7,Reference_Tables!$C$2:$C$7,,0,1)</f>
        <v>HR</v>
      </c>
      <c r="J596" t="str">
        <f>INDEX(Reference_Tables!$D$11:$D$36,MATCH(LoanData[[#This Row],[Branch]],Reference_Tables!$A$11:$A$36,0))</f>
        <v>Hetal Patel</v>
      </c>
      <c r="L596" s="35"/>
    </row>
    <row r="597" spans="2:12" ht="15.6" x14ac:dyDescent="0.3">
      <c r="B597" s="15">
        <f>DATEDIF(Loan_Data!K:K,Loan_Data!L:L,"D")</f>
        <v>22</v>
      </c>
      <c r="C597" s="15">
        <f ca="1">DATEDIF(LoanData[[#This Row],[Approval_Date]],TODAY(),"M")</f>
        <v>36</v>
      </c>
      <c r="D597" s="31">
        <f>EDATE(LoanData[[#This Row],[Approval_Date]],LoanData[[#This Row],[Loan_Term_Months]])</f>
        <v>46965</v>
      </c>
      <c r="E597" t="str">
        <f t="shared" ca="1" si="9"/>
        <v>NO</v>
      </c>
      <c r="F597" s="33">
        <f>IFERROR(LoanData[[#This Row],[EMI]]/LoanData[[#This Row],[Monthly_Income]]*100," ")</f>
        <v>9.099642568114378</v>
      </c>
      <c r="G597" t="str" cm="1">
        <f t="array" ref="G597">_xlfn.IFS(F597&gt;40, "High DTI Risk",F597&gt;=25, "Moderate DTI",F597&lt;25, "Low DTI")</f>
        <v>Low DTI</v>
      </c>
      <c r="H597" t="str" cm="1">
        <f t="array" ref="H5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597" t="str">
        <f>_xlfn.XLOOKUP(H597,Reference_Tables!$B$2:$B$7,Reference_Tables!$C$2:$C$7,,0,1)</f>
        <v>LR</v>
      </c>
      <c r="J597" t="str">
        <f>INDEX(Reference_Tables!$D$11:$D$36,MATCH(LoanData[[#This Row],[Branch]],Reference_Tables!$A$11:$A$36,0))</f>
        <v>Priyanka Gupta</v>
      </c>
      <c r="L597" s="35"/>
    </row>
    <row r="598" spans="2:12" ht="15.6" x14ac:dyDescent="0.3">
      <c r="B598" s="15">
        <f>DATEDIF(Loan_Data!K:K,Loan_Data!L:L,"D")</f>
        <v>19</v>
      </c>
      <c r="C598" s="15">
        <f ca="1">DATEDIF(LoanData[[#This Row],[Approval_Date]],TODAY(),"M")</f>
        <v>42</v>
      </c>
      <c r="D598" s="31">
        <f>EDATE(LoanData[[#This Row],[Approval_Date]],LoanData[[#This Row],[Loan_Term_Months]])</f>
        <v>48623</v>
      </c>
      <c r="E598" t="str">
        <f t="shared" ca="1" si="9"/>
        <v>NO</v>
      </c>
      <c r="F598" s="33">
        <f>IFERROR(LoanData[[#This Row],[EMI]]/LoanData[[#This Row],[Monthly_Income]]*100," ")</f>
        <v>1.5776136735848494</v>
      </c>
      <c r="G598" t="str" cm="1">
        <f t="array" ref="G598">_xlfn.IFS(F598&gt;40, "High DTI Risk",F598&gt;=25, "Moderate DTI",F598&lt;25, "Low DTI")</f>
        <v>Low DTI</v>
      </c>
      <c r="H598" t="str" cm="1">
        <f t="array" ref="H5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598" t="str">
        <f>_xlfn.XLOOKUP(H598,Reference_Tables!$B$2:$B$7,Reference_Tables!$C$2:$C$7,,0,1)</f>
        <v>HR</v>
      </c>
      <c r="J598" t="str">
        <f>INDEX(Reference_Tables!$D$11:$D$36,MATCH(LoanData[[#This Row],[Branch]],Reference_Tables!$A$11:$A$36,0))</f>
        <v>Ravi Verma</v>
      </c>
      <c r="L598" s="35"/>
    </row>
    <row r="599" spans="2:12" ht="15.6" x14ac:dyDescent="0.3">
      <c r="B599" s="15">
        <f>DATEDIF(Loan_Data!K:K,Loan_Data!L:L,"D")</f>
        <v>30</v>
      </c>
      <c r="C599" s="15">
        <f ca="1">DATEDIF(LoanData[[#This Row],[Approval_Date]],TODAY(),"M")</f>
        <v>56</v>
      </c>
      <c r="D599" s="31">
        <f>EDATE(LoanData[[#This Row],[Approval_Date]],LoanData[[#This Row],[Loan_Term_Months]])</f>
        <v>45255</v>
      </c>
      <c r="E599" t="str">
        <f t="shared" ca="1" si="9"/>
        <v>YES</v>
      </c>
      <c r="F599" s="33">
        <f>IFERROR(LoanData[[#This Row],[EMI]]/LoanData[[#This Row],[Monthly_Income]]*100," ")</f>
        <v>1.8082847744360901</v>
      </c>
      <c r="G599" t="str" cm="1">
        <f t="array" ref="G599">_xlfn.IFS(F599&gt;40, "High DTI Risk",F599&gt;=25, "Moderate DTI",F599&lt;25, "Low DTI")</f>
        <v>Low DTI</v>
      </c>
      <c r="H599" t="str" cm="1">
        <f t="array" ref="H5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599" t="str">
        <f>_xlfn.XLOOKUP(H599,Reference_Tables!$B$2:$B$7,Reference_Tables!$C$2:$C$7,,0,1)</f>
        <v>VHR</v>
      </c>
      <c r="J599" t="str">
        <f>INDEX(Reference_Tables!$D$11:$D$36,MATCH(LoanData[[#This Row],[Branch]],Reference_Tables!$A$11:$A$36,0))</f>
        <v>Arvind Pillai</v>
      </c>
      <c r="L599" s="35"/>
    </row>
    <row r="600" spans="2:12" ht="15.6" x14ac:dyDescent="0.3">
      <c r="B600" s="15">
        <f>DATEDIF(Loan_Data!K:K,Loan_Data!L:L,"D")</f>
        <v>16</v>
      </c>
      <c r="C600" s="15">
        <f ca="1">DATEDIF(LoanData[[#This Row],[Approval_Date]],TODAY(),"M")</f>
        <v>46</v>
      </c>
      <c r="D600" s="31">
        <f>EDATE(LoanData[[#This Row],[Approval_Date]],LoanData[[#This Row],[Loan_Term_Months]])</f>
        <v>46667</v>
      </c>
      <c r="E600" t="str">
        <f t="shared" ca="1" si="9"/>
        <v>NO</v>
      </c>
      <c r="F600" s="33">
        <f>IFERROR(LoanData[[#This Row],[EMI]]/LoanData[[#This Row],[Monthly_Income]]*100," ")</f>
        <v>1.8354116695084239</v>
      </c>
      <c r="G600" t="str" cm="1">
        <f t="array" ref="G600">_xlfn.IFS(F600&gt;40, "High DTI Risk",F600&gt;=25, "Moderate DTI",F600&lt;25, "Low DTI")</f>
        <v>Low DTI</v>
      </c>
      <c r="H600" t="str" cm="1">
        <f t="array" ref="H6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00" t="str">
        <f>_xlfn.XLOOKUP(H600,Reference_Tables!$B$2:$B$7,Reference_Tables!$C$2:$C$7,,0,1)</f>
        <v>HR</v>
      </c>
      <c r="J600" t="str">
        <f>INDEX(Reference_Tables!$D$11:$D$36,MATCH(LoanData[[#This Row],[Branch]],Reference_Tables!$A$11:$A$36,0))</f>
        <v>Vikram Malhotra</v>
      </c>
      <c r="L600" s="35"/>
    </row>
    <row r="601" spans="2:12" ht="15.6" x14ac:dyDescent="0.3">
      <c r="B601" s="15">
        <f>DATEDIF(Loan_Data!K:K,Loan_Data!L:L,"D")</f>
        <v>10</v>
      </c>
      <c r="C601" s="15">
        <f ca="1">DATEDIF(LoanData[[#This Row],[Approval_Date]],TODAY(),"M")</f>
        <v>59</v>
      </c>
      <c r="D601" s="31">
        <f>EDATE(LoanData[[#This Row],[Approval_Date]],LoanData[[#This Row],[Loan_Term_Months]])</f>
        <v>44808</v>
      </c>
      <c r="E601" t="str">
        <f t="shared" ca="1" si="9"/>
        <v>YES</v>
      </c>
      <c r="F601" s="33">
        <f>IFERROR(LoanData[[#This Row],[EMI]]/LoanData[[#This Row],[Monthly_Income]]*100," ")</f>
        <v>15.13379629007777</v>
      </c>
      <c r="G601" t="str" cm="1">
        <f t="array" ref="G601">_xlfn.IFS(F601&gt;40, "High DTI Risk",F601&gt;=25, "Moderate DTI",F601&lt;25, "Low DTI")</f>
        <v>Low DTI</v>
      </c>
      <c r="H601" t="str" cm="1">
        <f t="array" ref="H6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01" t="str">
        <f>_xlfn.XLOOKUP(H601,Reference_Tables!$B$2:$B$7,Reference_Tables!$C$2:$C$7,,0,1)</f>
        <v>MR</v>
      </c>
      <c r="J601" t="str">
        <f>INDEX(Reference_Tables!$D$11:$D$36,MATCH(LoanData[[#This Row],[Branch]],Reference_Tables!$A$11:$A$36,0))</f>
        <v>Arvind Pillai</v>
      </c>
      <c r="L601" s="35"/>
    </row>
    <row r="602" spans="2:12" ht="15.6" x14ac:dyDescent="0.3">
      <c r="B602" s="15">
        <f>DATEDIF(Loan_Data!K:K,Loan_Data!L:L,"D")</f>
        <v>11</v>
      </c>
      <c r="C602" s="15">
        <f ca="1">DATEDIF(LoanData[[#This Row],[Approval_Date]],TODAY(),"M")</f>
        <v>37</v>
      </c>
      <c r="D602" s="31">
        <f>EDATE(LoanData[[#This Row],[Approval_Date]],LoanData[[#This Row],[Loan_Term_Months]])</f>
        <v>52407</v>
      </c>
      <c r="E602" t="str">
        <f t="shared" ca="1" si="9"/>
        <v>NO</v>
      </c>
      <c r="F602" s="33">
        <f>IFERROR(LoanData[[#This Row],[EMI]]/LoanData[[#This Row],[Monthly_Income]]*100," ")</f>
        <v>3.2141153057676854</v>
      </c>
      <c r="G602" t="str" cm="1">
        <f t="array" ref="G602">_xlfn.IFS(F602&gt;40, "High DTI Risk",F602&gt;=25, "Moderate DTI",F602&lt;25, "Low DTI")</f>
        <v>Low DTI</v>
      </c>
      <c r="H602" t="str" cm="1">
        <f t="array" ref="H6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02" t="str">
        <f>_xlfn.XLOOKUP(H602,Reference_Tables!$B$2:$B$7,Reference_Tables!$C$2:$C$7,,0,1)</f>
        <v>VHR</v>
      </c>
      <c r="J602" t="str">
        <f>INDEX(Reference_Tables!$D$11:$D$36,MATCH(LoanData[[#This Row],[Branch]],Reference_Tables!$A$11:$A$36,0))</f>
        <v>Rituparna Bora</v>
      </c>
      <c r="L602" s="35"/>
    </row>
    <row r="603" spans="2:12" ht="15.6" x14ac:dyDescent="0.3">
      <c r="B603" s="15">
        <f>DATEDIF(Loan_Data!K:K,Loan_Data!L:L,"D")</f>
        <v>8</v>
      </c>
      <c r="C603" s="15">
        <f ca="1">DATEDIF(LoanData[[#This Row],[Approval_Date]],TODAY(),"M")</f>
        <v>39</v>
      </c>
      <c r="D603" s="31">
        <f>EDATE(LoanData[[#This Row],[Approval_Date]],LoanData[[#This Row],[Loan_Term_Months]])</f>
        <v>50535</v>
      </c>
      <c r="E603" t="str">
        <f t="shared" ca="1" si="9"/>
        <v>NO</v>
      </c>
      <c r="F603" s="33">
        <f>IFERROR(LoanData[[#This Row],[EMI]]/LoanData[[#This Row],[Monthly_Income]]*100," ")</f>
        <v>0.76731900783459583</v>
      </c>
      <c r="G603" t="str" cm="1">
        <f t="array" ref="G603">_xlfn.IFS(F603&gt;40, "High DTI Risk",F603&gt;=25, "Moderate DTI",F603&lt;25, "Low DTI")</f>
        <v>Low DTI</v>
      </c>
      <c r="H603" t="str" cm="1">
        <f t="array" ref="H6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03" t="str">
        <f>_xlfn.XLOOKUP(H603,Reference_Tables!$B$2:$B$7,Reference_Tables!$C$2:$C$7,,0,1)</f>
        <v>HR</v>
      </c>
      <c r="J603" t="str">
        <f>INDEX(Reference_Tables!$D$11:$D$36,MATCH(LoanData[[#This Row],[Branch]],Reference_Tables!$A$11:$A$36,0))</f>
        <v>Arvind Pillai</v>
      </c>
      <c r="L603" s="35"/>
    </row>
    <row r="604" spans="2:12" ht="15.6" x14ac:dyDescent="0.3">
      <c r="B604" s="15">
        <f>DATEDIF(Loan_Data!K:K,Loan_Data!L:L,"D")</f>
        <v>5</v>
      </c>
      <c r="C604" s="15">
        <f ca="1">DATEDIF(LoanData[[#This Row],[Approval_Date]],TODAY(),"M")</f>
        <v>54</v>
      </c>
      <c r="D604" s="31">
        <f>EDATE(LoanData[[#This Row],[Approval_Date]],LoanData[[#This Row],[Loan_Term_Months]])</f>
        <v>44975</v>
      </c>
      <c r="E604" t="str">
        <f t="shared" ca="1" si="9"/>
        <v>YES</v>
      </c>
      <c r="F604" s="33">
        <f>IFERROR(LoanData[[#This Row],[EMI]]/LoanData[[#This Row],[Monthly_Income]]*100," ")</f>
        <v>29.595418154398885</v>
      </c>
      <c r="G604" t="str" cm="1">
        <f t="array" ref="G604">_xlfn.IFS(F604&gt;40, "High DTI Risk",F604&gt;=25, "Moderate DTI",F604&lt;25, "Low DTI")</f>
        <v>Moderate DTI</v>
      </c>
      <c r="H604" t="str" cm="1">
        <f t="array" ref="H6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04" t="str">
        <f>_xlfn.XLOOKUP(H604,Reference_Tables!$B$2:$B$7,Reference_Tables!$C$2:$C$7,,0,1)</f>
        <v>VHR</v>
      </c>
      <c r="J604" t="str">
        <f>INDEX(Reference_Tables!$D$11:$D$36,MATCH(LoanData[[#This Row],[Branch]],Reference_Tables!$A$11:$A$36,0))</f>
        <v>Arvind Pillai</v>
      </c>
      <c r="L604" s="35"/>
    </row>
    <row r="605" spans="2:12" ht="15.6" x14ac:dyDescent="0.3">
      <c r="B605" s="15">
        <f>DATEDIF(Loan_Data!K:K,Loan_Data!L:L,"D")</f>
        <v>8</v>
      </c>
      <c r="C605" s="15">
        <f ca="1">DATEDIF(LoanData[[#This Row],[Approval_Date]],TODAY(),"M")</f>
        <v>50</v>
      </c>
      <c r="D605" s="31">
        <f>EDATE(LoanData[[#This Row],[Approval_Date]],LoanData[[#This Row],[Loan_Term_Months]])</f>
        <v>46177</v>
      </c>
      <c r="E605" t="str">
        <f t="shared" ca="1" si="9"/>
        <v>YES</v>
      </c>
      <c r="F605" s="33">
        <f>IFERROR(LoanData[[#This Row],[EMI]]/LoanData[[#This Row],[Monthly_Income]]*100," ")</f>
        <v>2.6698515931323352</v>
      </c>
      <c r="G605" t="str" cm="1">
        <f t="array" ref="G605">_xlfn.IFS(F605&gt;40, "High DTI Risk",F605&gt;=25, "Moderate DTI",F605&lt;25, "Low DTI")</f>
        <v>Low DTI</v>
      </c>
      <c r="H605" t="str" cm="1">
        <f t="array" ref="H6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05" t="str">
        <f>_xlfn.XLOOKUP(H605,Reference_Tables!$B$2:$B$7,Reference_Tables!$C$2:$C$7,,0,1)</f>
        <v>VHR</v>
      </c>
      <c r="J605" t="str">
        <f>INDEX(Reference_Tables!$D$11:$D$36,MATCH(LoanData[[#This Row],[Branch]],Reference_Tables!$A$11:$A$36,0))</f>
        <v>Jigar Mehta</v>
      </c>
      <c r="L605" s="35"/>
    </row>
    <row r="606" spans="2:12" ht="15.6" x14ac:dyDescent="0.3">
      <c r="B606" s="15">
        <f>DATEDIF(Loan_Data!K:K,Loan_Data!L:L,"D")</f>
        <v>7</v>
      </c>
      <c r="C606" s="15">
        <f ca="1">DATEDIF(LoanData[[#This Row],[Approval_Date]],TODAY(),"M")</f>
        <v>52</v>
      </c>
      <c r="D606" s="31">
        <f>EDATE(LoanData[[#This Row],[Approval_Date]],LoanData[[#This Row],[Loan_Term_Months]])</f>
        <v>45749</v>
      </c>
      <c r="E606" t="str">
        <f t="shared" ca="1" si="9"/>
        <v>YES</v>
      </c>
      <c r="F606" s="33">
        <f>IFERROR(LoanData[[#This Row],[EMI]]/LoanData[[#This Row],[Monthly_Income]]*100," ")</f>
        <v>12.497750324105848</v>
      </c>
      <c r="G606" t="str" cm="1">
        <f t="array" ref="G606">_xlfn.IFS(F606&gt;40, "High DTI Risk",F606&gt;=25, "Moderate DTI",F606&lt;25, "Low DTI")</f>
        <v>Low DTI</v>
      </c>
      <c r="H606" t="str" cm="1">
        <f t="array" ref="H6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06" t="str">
        <f>_xlfn.XLOOKUP(H606,Reference_Tables!$B$2:$B$7,Reference_Tables!$C$2:$C$7,,0,1)</f>
        <v>LR</v>
      </c>
      <c r="J606" t="str">
        <f>INDEX(Reference_Tables!$D$11:$D$36,MATCH(LoanData[[#This Row],[Branch]],Reference_Tables!$A$11:$A$36,0))</f>
        <v>Jigar Mehta</v>
      </c>
      <c r="L606" s="35"/>
    </row>
    <row r="607" spans="2:12" ht="15.6" x14ac:dyDescent="0.3">
      <c r="B607" s="15">
        <f>DATEDIF(Loan_Data!K:K,Loan_Data!L:L,"D")</f>
        <v>14</v>
      </c>
      <c r="C607" s="15">
        <f ca="1">DATEDIF(LoanData[[#This Row],[Approval_Date]],TODAY(),"M")</f>
        <v>66</v>
      </c>
      <c r="D607" s="31">
        <f>EDATE(LoanData[[#This Row],[Approval_Date]],LoanData[[#This Row],[Loan_Term_Months]])</f>
        <v>45324</v>
      </c>
      <c r="E607" t="str">
        <f t="shared" ca="1" si="9"/>
        <v>YES</v>
      </c>
      <c r="F607" s="33">
        <f>IFERROR(LoanData[[#This Row],[EMI]]/LoanData[[#This Row],[Monthly_Income]]*100," ")</f>
        <v>1.8291766698105116</v>
      </c>
      <c r="G607" t="str" cm="1">
        <f t="array" ref="G607">_xlfn.IFS(F607&gt;40, "High DTI Risk",F607&gt;=25, "Moderate DTI",F607&lt;25, "Low DTI")</f>
        <v>Low DTI</v>
      </c>
      <c r="H607" t="str" cm="1">
        <f t="array" ref="H6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07" t="str">
        <f>_xlfn.XLOOKUP(H607,Reference_Tables!$B$2:$B$7,Reference_Tables!$C$2:$C$7,,0,1)</f>
        <v>HR</v>
      </c>
      <c r="J607" t="str">
        <f>INDEX(Reference_Tables!$D$11:$D$36,MATCH(LoanData[[#This Row],[Branch]],Reference_Tables!$A$11:$A$36,0))</f>
        <v>Meena Iyer</v>
      </c>
      <c r="L607" s="35"/>
    </row>
    <row r="608" spans="2:12" ht="15.6" x14ac:dyDescent="0.3">
      <c r="B608" s="15">
        <f>DATEDIF(Loan_Data!K:K,Loan_Data!L:L,"D")</f>
        <v>25</v>
      </c>
      <c r="C608" s="15">
        <f ca="1">DATEDIF(LoanData[[#This Row],[Approval_Date]],TODAY(),"M")</f>
        <v>31</v>
      </c>
      <c r="D608" s="31">
        <f>EDATE(LoanData[[#This Row],[Approval_Date]],LoanData[[#This Row],[Loan_Term_Months]])</f>
        <v>45668</v>
      </c>
      <c r="E608" t="str">
        <f t="shared" ca="1" si="9"/>
        <v>YES</v>
      </c>
      <c r="F608" s="33">
        <f>IFERROR(LoanData[[#This Row],[EMI]]/LoanData[[#This Row],[Monthly_Income]]*100," ")</f>
        <v>8.5767255196436007</v>
      </c>
      <c r="G608" t="str" cm="1">
        <f t="array" ref="G608">_xlfn.IFS(F608&gt;40, "High DTI Risk",F608&gt;=25, "Moderate DTI",F608&lt;25, "Low DTI")</f>
        <v>Low DTI</v>
      </c>
      <c r="H608" t="str" cm="1">
        <f t="array" ref="H6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08" t="str">
        <f>_xlfn.XLOOKUP(H608,Reference_Tables!$B$2:$B$7,Reference_Tables!$C$2:$C$7,,0,1)</f>
        <v>VHR</v>
      </c>
      <c r="J608" t="str">
        <f>INDEX(Reference_Tables!$D$11:$D$36,MATCH(LoanData[[#This Row],[Branch]],Reference_Tables!$A$11:$A$36,0))</f>
        <v>Lakshmi Reddy</v>
      </c>
      <c r="L608" s="35"/>
    </row>
    <row r="609" spans="2:12" ht="15.6" x14ac:dyDescent="0.3">
      <c r="B609" s="15">
        <f>DATEDIF(Loan_Data!K:K,Loan_Data!L:L,"D")</f>
        <v>11</v>
      </c>
      <c r="C609" s="15">
        <f ca="1">DATEDIF(LoanData[[#This Row],[Approval_Date]],TODAY(),"M")</f>
        <v>36</v>
      </c>
      <c r="D609" s="31">
        <f>EDATE(LoanData[[#This Row],[Approval_Date]],LoanData[[#This Row],[Loan_Term_Months]])</f>
        <v>45522</v>
      </c>
      <c r="E609" t="str">
        <f t="shared" ca="1" si="9"/>
        <v>YES</v>
      </c>
      <c r="F609" s="33">
        <f>IFERROR(LoanData[[#This Row],[EMI]]/LoanData[[#This Row],[Monthly_Income]]*100," ")</f>
        <v>5.5898742640943269</v>
      </c>
      <c r="G609" t="str" cm="1">
        <f t="array" ref="G609">_xlfn.IFS(F609&gt;40, "High DTI Risk",F609&gt;=25, "Moderate DTI",F609&lt;25, "Low DTI")</f>
        <v>Low DTI</v>
      </c>
      <c r="H609" t="str" cm="1">
        <f t="array" ref="H6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09" t="str">
        <f>_xlfn.XLOOKUP(H609,Reference_Tables!$B$2:$B$7,Reference_Tables!$C$2:$C$7,,0,1)</f>
        <v>LR</v>
      </c>
      <c r="J609" t="str">
        <f>INDEX(Reference_Tables!$D$11:$D$36,MATCH(LoanData[[#This Row],[Branch]],Reference_Tables!$A$11:$A$36,0))</f>
        <v>Nilesh Shah</v>
      </c>
      <c r="L609" s="35"/>
    </row>
    <row r="610" spans="2:12" ht="15.6" x14ac:dyDescent="0.3">
      <c r="B610" s="15">
        <f>DATEDIF(Loan_Data!K:K,Loan_Data!L:L,"D")</f>
        <v>26</v>
      </c>
      <c r="C610" s="15">
        <f ca="1">DATEDIF(LoanData[[#This Row],[Approval_Date]],TODAY(),"M")</f>
        <v>36</v>
      </c>
      <c r="D610" s="31">
        <f>EDATE(LoanData[[#This Row],[Approval_Date]],LoanData[[#This Row],[Loan_Term_Months]])</f>
        <v>45887</v>
      </c>
      <c r="E610" t="str">
        <f t="shared" ca="1" si="9"/>
        <v>YES</v>
      </c>
      <c r="F610" s="33">
        <f>IFERROR(LoanData[[#This Row],[EMI]]/LoanData[[#This Row],[Monthly_Income]]*100," ")</f>
        <v>4.9135963145445345</v>
      </c>
      <c r="G610" t="str" cm="1">
        <f t="array" ref="G610">_xlfn.IFS(F610&gt;40, "High DTI Risk",F610&gt;=25, "Moderate DTI",F610&lt;25, "Low DTI")</f>
        <v>Low DTI</v>
      </c>
      <c r="H610" t="str" cm="1">
        <f t="array" ref="H6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10" t="str">
        <f>_xlfn.XLOOKUP(H610,Reference_Tables!$B$2:$B$7,Reference_Tables!$C$2:$C$7,,0,1)</f>
        <v>VHR</v>
      </c>
      <c r="J610" t="str">
        <f>INDEX(Reference_Tables!$D$11:$D$36,MATCH(LoanData[[#This Row],[Branch]],Reference_Tables!$A$11:$A$36,0))</f>
        <v>Ananya Sharma</v>
      </c>
      <c r="L610" s="35"/>
    </row>
    <row r="611" spans="2:12" ht="15.6" x14ac:dyDescent="0.3">
      <c r="B611" s="15">
        <f>DATEDIF(Loan_Data!K:K,Loan_Data!L:L,"D")</f>
        <v>16</v>
      </c>
      <c r="C611" s="15">
        <f ca="1">DATEDIF(LoanData[[#This Row],[Approval_Date]],TODAY(),"M")</f>
        <v>61</v>
      </c>
      <c r="D611" s="31">
        <f>EDATE(LoanData[[#This Row],[Approval_Date]],LoanData[[#This Row],[Loan_Term_Months]])</f>
        <v>45834</v>
      </c>
      <c r="E611" t="str">
        <f t="shared" ca="1" si="9"/>
        <v>YES</v>
      </c>
      <c r="F611" s="33">
        <f>IFERROR(LoanData[[#This Row],[EMI]]/LoanData[[#This Row],[Monthly_Income]]*100," ")</f>
        <v>0.89437795912540741</v>
      </c>
      <c r="G611" t="str" cm="1">
        <f t="array" ref="G611">_xlfn.IFS(F611&gt;40, "High DTI Risk",F611&gt;=25, "Moderate DTI",F611&lt;25, "Low DTI")</f>
        <v>Low DTI</v>
      </c>
      <c r="H611" t="str" cm="1">
        <f t="array" ref="H6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11" t="str">
        <f>_xlfn.XLOOKUP(H611,Reference_Tables!$B$2:$B$7,Reference_Tables!$C$2:$C$7,,0,1)</f>
        <v>VHR</v>
      </c>
      <c r="J611" t="str">
        <f>INDEX(Reference_Tables!$D$11:$D$36,MATCH(LoanData[[#This Row],[Branch]],Reference_Tables!$A$11:$A$36,0))</f>
        <v>Puja Chatterjee</v>
      </c>
      <c r="L611" s="35"/>
    </row>
    <row r="612" spans="2:12" ht="15.6" x14ac:dyDescent="0.3">
      <c r="B612" s="15">
        <f>DATEDIF(Loan_Data!K:K,Loan_Data!L:L,"D")</f>
        <v>29</v>
      </c>
      <c r="C612" s="15">
        <f ca="1">DATEDIF(LoanData[[#This Row],[Approval_Date]],TODAY(),"M")</f>
        <v>62</v>
      </c>
      <c r="D612" s="31">
        <f>EDATE(LoanData[[#This Row],[Approval_Date]],LoanData[[#This Row],[Loan_Term_Months]])</f>
        <v>45818</v>
      </c>
      <c r="E612" t="str">
        <f t="shared" ca="1" si="9"/>
        <v>YES</v>
      </c>
      <c r="F612" s="33">
        <f>IFERROR(LoanData[[#This Row],[EMI]]/LoanData[[#This Row],[Monthly_Income]]*100," ")</f>
        <v>3.3452062067134825</v>
      </c>
      <c r="G612" t="str" cm="1">
        <f t="array" ref="G612">_xlfn.IFS(F612&gt;40, "High DTI Risk",F612&gt;=25, "Moderate DTI",F612&lt;25, "Low DTI")</f>
        <v>Low DTI</v>
      </c>
      <c r="H612" t="str" cm="1">
        <f t="array" ref="H6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12" t="str">
        <f>_xlfn.XLOOKUP(H612,Reference_Tables!$B$2:$B$7,Reference_Tables!$C$2:$C$7,,0,1)</f>
        <v>HR</v>
      </c>
      <c r="J612" t="str">
        <f>INDEX(Reference_Tables!$D$11:$D$36,MATCH(LoanData[[#This Row],[Branch]],Reference_Tables!$A$11:$A$36,0))</f>
        <v>Santhosh Rao</v>
      </c>
      <c r="L612" s="35"/>
    </row>
    <row r="613" spans="2:12" ht="15.6" x14ac:dyDescent="0.3">
      <c r="B613" s="15">
        <f>DATEDIF(Loan_Data!K:K,Loan_Data!L:L,"D")</f>
        <v>7</v>
      </c>
      <c r="C613" s="15">
        <f ca="1">DATEDIF(LoanData[[#This Row],[Approval_Date]],TODAY(),"M")</f>
        <v>37</v>
      </c>
      <c r="D613" s="31">
        <f>EDATE(LoanData[[#This Row],[Approval_Date]],LoanData[[#This Row],[Loan_Term_Months]])</f>
        <v>46566</v>
      </c>
      <c r="E613" t="str">
        <f t="shared" ca="1" si="9"/>
        <v>NO</v>
      </c>
      <c r="F613" s="33">
        <f>IFERROR(LoanData[[#This Row],[EMI]]/LoanData[[#This Row],[Monthly_Income]]*100," ")</f>
        <v>32.788538803129626</v>
      </c>
      <c r="G613" t="str" cm="1">
        <f t="array" ref="G613">_xlfn.IFS(F613&gt;40, "High DTI Risk",F613&gt;=25, "Moderate DTI",F613&lt;25, "Low DTI")</f>
        <v>Moderate DTI</v>
      </c>
      <c r="H613" t="str" cm="1">
        <f t="array" ref="H6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13" t="str">
        <f>_xlfn.XLOOKUP(H613,Reference_Tables!$B$2:$B$7,Reference_Tables!$C$2:$C$7,,0,1)</f>
        <v>VHR</v>
      </c>
      <c r="J613" t="str">
        <f>INDEX(Reference_Tables!$D$11:$D$36,MATCH(LoanData[[#This Row],[Branch]],Reference_Tables!$A$11:$A$36,0))</f>
        <v>Hetal Patel</v>
      </c>
      <c r="L613" s="35"/>
    </row>
    <row r="614" spans="2:12" ht="15.6" x14ac:dyDescent="0.3">
      <c r="B614" s="15">
        <f>DATEDIF(Loan_Data!K:K,Loan_Data!L:L,"D")</f>
        <v>10</v>
      </c>
      <c r="C614" s="15">
        <f ca="1">DATEDIF(LoanData[[#This Row],[Approval_Date]],TODAY(),"M")</f>
        <v>58</v>
      </c>
      <c r="D614" s="31">
        <f>EDATE(LoanData[[#This Row],[Approval_Date]],LoanData[[#This Row],[Loan_Term_Months]])</f>
        <v>47030</v>
      </c>
      <c r="E614" t="str">
        <f t="shared" ca="1" si="9"/>
        <v>NO</v>
      </c>
      <c r="F614" s="33">
        <f>IFERROR(LoanData[[#This Row],[EMI]]/LoanData[[#This Row],[Monthly_Income]]*100," ")</f>
        <v>0.88615375998543755</v>
      </c>
      <c r="G614" t="str" cm="1">
        <f t="array" ref="G614">_xlfn.IFS(F614&gt;40, "High DTI Risk",F614&gt;=25, "Moderate DTI",F614&lt;25, "Low DTI")</f>
        <v>Low DTI</v>
      </c>
      <c r="H614" t="str" cm="1">
        <f t="array" ref="H6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14" t="str">
        <f>_xlfn.XLOOKUP(H614,Reference_Tables!$B$2:$B$7,Reference_Tables!$C$2:$C$7,,0,1)</f>
        <v>HR</v>
      </c>
      <c r="J614" t="str">
        <f>INDEX(Reference_Tables!$D$11:$D$36,MATCH(LoanData[[#This Row],[Branch]],Reference_Tables!$A$11:$A$36,0))</f>
        <v>Kavita Joshi</v>
      </c>
      <c r="L614" s="35"/>
    </row>
    <row r="615" spans="2:12" ht="15.6" x14ac:dyDescent="0.3">
      <c r="B615" s="15">
        <f>DATEDIF(Loan_Data!K:K,Loan_Data!L:L,"D")</f>
        <v>3</v>
      </c>
      <c r="C615" s="15">
        <f ca="1">DATEDIF(LoanData[[#This Row],[Approval_Date]],TODAY(),"M")</f>
        <v>59</v>
      </c>
      <c r="D615" s="31">
        <f>EDATE(LoanData[[#This Row],[Approval_Date]],LoanData[[#This Row],[Loan_Term_Months]])</f>
        <v>51739</v>
      </c>
      <c r="E615" t="str">
        <f t="shared" ca="1" si="9"/>
        <v>NO</v>
      </c>
      <c r="F615" s="33">
        <f>IFERROR(LoanData[[#This Row],[EMI]]/LoanData[[#This Row],[Monthly_Income]]*100," ")</f>
        <v>2.4637209973258174</v>
      </c>
      <c r="G615" t="str" cm="1">
        <f t="array" ref="G615">_xlfn.IFS(F615&gt;40, "High DTI Risk",F615&gt;=25, "Moderate DTI",F615&lt;25, "Low DTI")</f>
        <v>Low DTI</v>
      </c>
      <c r="H615" t="str" cm="1">
        <f t="array" ref="H6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15" t="str">
        <f>_xlfn.XLOOKUP(H615,Reference_Tables!$B$2:$B$7,Reference_Tables!$C$2:$C$7,,0,1)</f>
        <v>VHR</v>
      </c>
      <c r="J615" t="str">
        <f>INDEX(Reference_Tables!$D$11:$D$36,MATCH(LoanData[[#This Row],[Branch]],Reference_Tables!$A$11:$A$36,0))</f>
        <v>Puja Chatterjee</v>
      </c>
      <c r="L615" s="35"/>
    </row>
    <row r="616" spans="2:12" ht="15.6" x14ac:dyDescent="0.3">
      <c r="B616" s="15">
        <f>DATEDIF(Loan_Data!K:K,Loan_Data!L:L,"D")</f>
        <v>19</v>
      </c>
      <c r="C616" s="15">
        <f ca="1">DATEDIF(LoanData[[#This Row],[Approval_Date]],TODAY(),"M")</f>
        <v>46</v>
      </c>
      <c r="D616" s="31">
        <f>EDATE(LoanData[[#This Row],[Approval_Date]],LoanData[[#This Row],[Loan_Term_Months]])</f>
        <v>45565</v>
      </c>
      <c r="E616" t="str">
        <f t="shared" ca="1" si="9"/>
        <v>YES</v>
      </c>
      <c r="F616" s="33">
        <f>IFERROR(LoanData[[#This Row],[EMI]]/LoanData[[#This Row],[Monthly_Income]]*100," ")</f>
        <v>61.004008553817769</v>
      </c>
      <c r="G616" t="str" cm="1">
        <f t="array" ref="G616">_xlfn.IFS(F616&gt;40, "High DTI Risk",F616&gt;=25, "Moderate DTI",F616&lt;25, "Low DTI")</f>
        <v>High DTI Risk</v>
      </c>
      <c r="H616" t="str" cm="1">
        <f t="array" ref="H6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16" t="str">
        <f>_xlfn.XLOOKUP(H616,Reference_Tables!$B$2:$B$7,Reference_Tables!$C$2:$C$7,,0,1)</f>
        <v>MR</v>
      </c>
      <c r="J616" t="str">
        <f>INDEX(Reference_Tables!$D$11:$D$36,MATCH(LoanData[[#This Row],[Branch]],Reference_Tables!$A$11:$A$36,0))</f>
        <v>Lakshmi Reddy</v>
      </c>
      <c r="L616" s="35"/>
    </row>
    <row r="617" spans="2:12" ht="15.6" x14ac:dyDescent="0.3">
      <c r="B617" s="15">
        <f>DATEDIF(Loan_Data!K:K,Loan_Data!L:L,"D")</f>
        <v>24</v>
      </c>
      <c r="C617" s="15">
        <f ca="1">DATEDIF(LoanData[[#This Row],[Approval_Date]],TODAY(),"M")</f>
        <v>39</v>
      </c>
      <c r="D617" s="31">
        <f>EDATE(LoanData[[#This Row],[Approval_Date]],LoanData[[#This Row],[Loan_Term_Months]])</f>
        <v>46865</v>
      </c>
      <c r="E617" t="str">
        <f t="shared" ca="1" si="9"/>
        <v>NO</v>
      </c>
      <c r="F617" s="33">
        <f>IFERROR(LoanData[[#This Row],[EMI]]/LoanData[[#This Row],[Monthly_Income]]*100," ")</f>
        <v>1.4999780049897251</v>
      </c>
      <c r="G617" t="str" cm="1">
        <f t="array" ref="G617">_xlfn.IFS(F617&gt;40, "High DTI Risk",F617&gt;=25, "Moderate DTI",F617&lt;25, "Low DTI")</f>
        <v>Low DTI</v>
      </c>
      <c r="H617" t="str" cm="1">
        <f t="array" ref="H6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17" t="str">
        <f>_xlfn.XLOOKUP(H617,Reference_Tables!$B$2:$B$7,Reference_Tables!$C$2:$C$7,,0,1)</f>
        <v>VHR</v>
      </c>
      <c r="J617" t="str">
        <f>INDEX(Reference_Tables!$D$11:$D$36,MATCH(LoanData[[#This Row],[Branch]],Reference_Tables!$A$11:$A$36,0))</f>
        <v>Suman Tiwari</v>
      </c>
      <c r="L617" s="35"/>
    </row>
    <row r="618" spans="2:12" ht="15.6" x14ac:dyDescent="0.3">
      <c r="B618" s="15">
        <f>DATEDIF(Loan_Data!K:K,Loan_Data!L:L,"D")</f>
        <v>29</v>
      </c>
      <c r="C618" s="15">
        <f ca="1">DATEDIF(LoanData[[#This Row],[Approval_Date]],TODAY(),"M")</f>
        <v>63</v>
      </c>
      <c r="D618" s="31">
        <f>EDATE(LoanData[[#This Row],[Approval_Date]],LoanData[[#This Row],[Loan_Term_Months]])</f>
        <v>49802</v>
      </c>
      <c r="E618" t="str">
        <f t="shared" ca="1" si="9"/>
        <v>NO</v>
      </c>
      <c r="F618" s="33">
        <f>IFERROR(LoanData[[#This Row],[EMI]]/LoanData[[#This Row],[Monthly_Income]]*100," ")</f>
        <v>2.3295543062281978</v>
      </c>
      <c r="G618" t="str" cm="1">
        <f t="array" ref="G618">_xlfn.IFS(F618&gt;40, "High DTI Risk",F618&gt;=25, "Moderate DTI",F618&lt;25, "Low DTI")</f>
        <v>Low DTI</v>
      </c>
      <c r="H618" t="str" cm="1">
        <f t="array" ref="H6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18" t="str">
        <f>_xlfn.XLOOKUP(H618,Reference_Tables!$B$2:$B$7,Reference_Tables!$C$2:$C$7,,0,1)</f>
        <v>MR</v>
      </c>
      <c r="J618" t="str">
        <f>INDEX(Reference_Tables!$D$11:$D$36,MATCH(LoanData[[#This Row],[Branch]],Reference_Tables!$A$11:$A$36,0))</f>
        <v>Ravi Verma</v>
      </c>
      <c r="L618" s="35"/>
    </row>
    <row r="619" spans="2:12" ht="15.6" x14ac:dyDescent="0.3">
      <c r="B619" s="15">
        <f>DATEDIF(Loan_Data!K:K,Loan_Data!L:L,"D")</f>
        <v>10</v>
      </c>
      <c r="C619" s="15">
        <f ca="1">DATEDIF(LoanData[[#This Row],[Approval_Date]],TODAY(),"M")</f>
        <v>55</v>
      </c>
      <c r="D619" s="31">
        <f>EDATE(LoanData[[#This Row],[Approval_Date]],LoanData[[#This Row],[Loan_Term_Months]])</f>
        <v>50042</v>
      </c>
      <c r="E619" t="str">
        <f t="shared" ca="1" si="9"/>
        <v>NO</v>
      </c>
      <c r="F619" s="33">
        <f>IFERROR(LoanData[[#This Row],[EMI]]/LoanData[[#This Row],[Monthly_Income]]*100," ")</f>
        <v>4.1822507596170384</v>
      </c>
      <c r="G619" t="str" cm="1">
        <f t="array" ref="G619">_xlfn.IFS(F619&gt;40, "High DTI Risk",F619&gt;=25, "Moderate DTI",F619&lt;25, "Low DTI")</f>
        <v>Low DTI</v>
      </c>
      <c r="H619" t="str" cm="1">
        <f t="array" ref="H6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19" t="str">
        <f>_xlfn.XLOOKUP(H619,Reference_Tables!$B$2:$B$7,Reference_Tables!$C$2:$C$7,,0,1)</f>
        <v>VHR</v>
      </c>
      <c r="J619" t="str">
        <f>INDEX(Reference_Tables!$D$11:$D$36,MATCH(LoanData[[#This Row],[Branch]],Reference_Tables!$A$11:$A$36,0))</f>
        <v>Vikram Malhotra</v>
      </c>
      <c r="L619" s="35"/>
    </row>
    <row r="620" spans="2:12" ht="15.6" x14ac:dyDescent="0.3">
      <c r="B620" s="15">
        <f>DATEDIF(Loan_Data!K:K,Loan_Data!L:L,"D")</f>
        <v>13</v>
      </c>
      <c r="C620" s="15">
        <f ca="1">DATEDIF(LoanData[[#This Row],[Approval_Date]],TODAY(),"M")</f>
        <v>46</v>
      </c>
      <c r="D620" s="31">
        <f>EDATE(LoanData[[#This Row],[Approval_Date]],LoanData[[#This Row],[Loan_Term_Months]])</f>
        <v>45557</v>
      </c>
      <c r="E620" t="str">
        <f t="shared" ca="1" si="9"/>
        <v>YES</v>
      </c>
      <c r="F620" s="33">
        <f>IFERROR(LoanData[[#This Row],[EMI]]/LoanData[[#This Row],[Monthly_Income]]*100," ")</f>
        <v>1.9917681449573232</v>
      </c>
      <c r="G620" t="str" cm="1">
        <f t="array" ref="G620">_xlfn.IFS(F620&gt;40, "High DTI Risk",F620&gt;=25, "Moderate DTI",F620&lt;25, "Low DTI")</f>
        <v>Low DTI</v>
      </c>
      <c r="H620" t="str" cm="1">
        <f t="array" ref="H6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20" t="str">
        <f>_xlfn.XLOOKUP(H620,Reference_Tables!$B$2:$B$7,Reference_Tables!$C$2:$C$7,,0,1)</f>
        <v>VHR</v>
      </c>
      <c r="J620" t="str">
        <f>INDEX(Reference_Tables!$D$11:$D$36,MATCH(LoanData[[#This Row],[Branch]],Reference_Tables!$A$11:$A$36,0))</f>
        <v>Meena Iyer</v>
      </c>
      <c r="L620" s="35"/>
    </row>
    <row r="621" spans="2:12" ht="15.6" x14ac:dyDescent="0.3">
      <c r="B621" s="15">
        <f>DATEDIF(Loan_Data!K:K,Loan_Data!L:L,"D")</f>
        <v>7</v>
      </c>
      <c r="C621" s="15">
        <f ca="1">DATEDIF(LoanData[[#This Row],[Approval_Date]],TODAY(),"M")</f>
        <v>50</v>
      </c>
      <c r="D621" s="31">
        <f>EDATE(LoanData[[#This Row],[Approval_Date]],LoanData[[#This Row],[Loan_Term_Months]])</f>
        <v>50191</v>
      </c>
      <c r="E621" t="str">
        <f t="shared" ca="1" si="9"/>
        <v>NO</v>
      </c>
      <c r="F621" s="33">
        <f>IFERROR(LoanData[[#This Row],[EMI]]/LoanData[[#This Row],[Monthly_Income]]*100," ")</f>
        <v>2.1542898651639995</v>
      </c>
      <c r="G621" t="str" cm="1">
        <f t="array" ref="G621">_xlfn.IFS(F621&gt;40, "High DTI Risk",F621&gt;=25, "Moderate DTI",F621&lt;25, "Low DTI")</f>
        <v>Low DTI</v>
      </c>
      <c r="H621" t="str" cm="1">
        <f t="array" ref="H6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21" t="str">
        <f>_xlfn.XLOOKUP(H621,Reference_Tables!$B$2:$B$7,Reference_Tables!$C$2:$C$7,,0,1)</f>
        <v>VHR</v>
      </c>
      <c r="J621" t="str">
        <f>INDEX(Reference_Tables!$D$11:$D$36,MATCH(LoanData[[#This Row],[Branch]],Reference_Tables!$A$11:$A$36,0))</f>
        <v>Anil Mishra</v>
      </c>
      <c r="L621" s="35"/>
    </row>
    <row r="622" spans="2:12" ht="15.6" x14ac:dyDescent="0.3">
      <c r="B622" s="15">
        <f>DATEDIF(Loan_Data!K:K,Loan_Data!L:L,"D")</f>
        <v>26</v>
      </c>
      <c r="C622" s="15">
        <f ca="1">DATEDIF(LoanData[[#This Row],[Approval_Date]],TODAY(),"M")</f>
        <v>58</v>
      </c>
      <c r="D622" s="31">
        <f>EDATE(LoanData[[#This Row],[Approval_Date]],LoanData[[#This Row],[Loan_Term_Months]])</f>
        <v>47038</v>
      </c>
      <c r="E622" t="str">
        <f t="shared" ca="1" si="9"/>
        <v>NO</v>
      </c>
      <c r="F622" s="33">
        <f>IFERROR(LoanData[[#This Row],[EMI]]/LoanData[[#This Row],[Monthly_Income]]*100," ")</f>
        <v>0.92369975289024953</v>
      </c>
      <c r="G622" t="str" cm="1">
        <f t="array" ref="G622">_xlfn.IFS(F622&gt;40, "High DTI Risk",F622&gt;=25, "Moderate DTI",F622&lt;25, "Low DTI")</f>
        <v>Low DTI</v>
      </c>
      <c r="H622" t="str" cm="1">
        <f t="array" ref="H6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22" t="str">
        <f>_xlfn.XLOOKUP(H622,Reference_Tables!$B$2:$B$7,Reference_Tables!$C$2:$C$7,,0,1)</f>
        <v>HR</v>
      </c>
      <c r="J622" t="str">
        <f>INDEX(Reference_Tables!$D$11:$D$36,MATCH(LoanData[[#This Row],[Branch]],Reference_Tables!$A$11:$A$36,0))</f>
        <v>Santhosh Rao</v>
      </c>
      <c r="L622" s="35"/>
    </row>
    <row r="623" spans="2:12" ht="15.6" x14ac:dyDescent="0.3">
      <c r="B623" s="15">
        <f>DATEDIF(Loan_Data!K:K,Loan_Data!L:L,"D")</f>
        <v>21</v>
      </c>
      <c r="C623" s="15">
        <f ca="1">DATEDIF(LoanData[[#This Row],[Approval_Date]],TODAY(),"M")</f>
        <v>65</v>
      </c>
      <c r="D623" s="31">
        <f>EDATE(LoanData[[#This Row],[Approval_Date]],LoanData[[#This Row],[Loan_Term_Months]])</f>
        <v>45728</v>
      </c>
      <c r="E623" t="str">
        <f t="shared" ca="1" si="9"/>
        <v>YES</v>
      </c>
      <c r="F623" s="33">
        <f>IFERROR(LoanData[[#This Row],[EMI]]/LoanData[[#This Row],[Monthly_Income]]*100," ")</f>
        <v>10.997711073767166</v>
      </c>
      <c r="G623" t="str" cm="1">
        <f t="array" ref="G623">_xlfn.IFS(F623&gt;40, "High DTI Risk",F623&gt;=25, "Moderate DTI",F623&lt;25, "Low DTI")</f>
        <v>Low DTI</v>
      </c>
      <c r="H623" t="str" cm="1">
        <f t="array" ref="H6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23" t="str">
        <f>_xlfn.XLOOKUP(H623,Reference_Tables!$B$2:$B$7,Reference_Tables!$C$2:$C$7,,0,1)</f>
        <v>VHR</v>
      </c>
      <c r="J623" t="str">
        <f>INDEX(Reference_Tables!$D$11:$D$36,MATCH(LoanData[[#This Row],[Branch]],Reference_Tables!$A$11:$A$36,0))</f>
        <v>Ananya Sharma</v>
      </c>
      <c r="L623" s="35"/>
    </row>
    <row r="624" spans="2:12" ht="15.6" x14ac:dyDescent="0.3">
      <c r="B624" s="15">
        <f>DATEDIF(Loan_Data!K:K,Loan_Data!L:L,"D")</f>
        <v>22</v>
      </c>
      <c r="C624" s="15">
        <f ca="1">DATEDIF(LoanData[[#This Row],[Approval_Date]],TODAY(),"M")</f>
        <v>38</v>
      </c>
      <c r="D624" s="31">
        <f>EDATE(LoanData[[#This Row],[Approval_Date]],LoanData[[#This Row],[Loan_Term_Months]])</f>
        <v>46171</v>
      </c>
      <c r="E624" t="str">
        <f t="shared" ca="1" si="9"/>
        <v>YES</v>
      </c>
      <c r="F624" s="33">
        <f>IFERROR(LoanData[[#This Row],[EMI]]/LoanData[[#This Row],[Monthly_Income]]*100," ")</f>
        <v>4.013626707466071</v>
      </c>
      <c r="G624" t="str" cm="1">
        <f t="array" ref="G624">_xlfn.IFS(F624&gt;40, "High DTI Risk",F624&gt;=25, "Moderate DTI",F624&lt;25, "Low DTI")</f>
        <v>Low DTI</v>
      </c>
      <c r="H624" t="str" cm="1">
        <f t="array" ref="H6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24" t="str">
        <f>_xlfn.XLOOKUP(H624,Reference_Tables!$B$2:$B$7,Reference_Tables!$C$2:$C$7,,0,1)</f>
        <v>LR</v>
      </c>
      <c r="J624" t="str">
        <f>INDEX(Reference_Tables!$D$11:$D$36,MATCH(LoanData[[#This Row],[Branch]],Reference_Tables!$A$11:$A$36,0))</f>
        <v>Sachin Deshpande</v>
      </c>
      <c r="L624" s="35"/>
    </row>
    <row r="625" spans="2:12" ht="15.6" x14ac:dyDescent="0.3">
      <c r="B625" s="15">
        <f>DATEDIF(Loan_Data!K:K,Loan_Data!L:L,"D")</f>
        <v>6</v>
      </c>
      <c r="C625" s="15">
        <f ca="1">DATEDIF(LoanData[[#This Row],[Approval_Date]],TODAY(),"M")</f>
        <v>56</v>
      </c>
      <c r="D625" s="31">
        <f>EDATE(LoanData[[#This Row],[Approval_Date]],LoanData[[#This Row],[Loan_Term_Months]])</f>
        <v>48180</v>
      </c>
      <c r="E625" t="str">
        <f t="shared" ca="1" si="9"/>
        <v>NO</v>
      </c>
      <c r="F625" s="33">
        <f>IFERROR(LoanData[[#This Row],[EMI]]/LoanData[[#This Row],[Monthly_Income]]*100," ")</f>
        <v>27.578230857727213</v>
      </c>
      <c r="G625" t="str" cm="1">
        <f t="array" ref="G625">_xlfn.IFS(F625&gt;40, "High DTI Risk",F625&gt;=25, "Moderate DTI",F625&lt;25, "Low DTI")</f>
        <v>Moderate DTI</v>
      </c>
      <c r="H625" t="str" cm="1">
        <f t="array" ref="H6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25" t="str">
        <f>_xlfn.XLOOKUP(H625,Reference_Tables!$B$2:$B$7,Reference_Tables!$C$2:$C$7,,0,1)</f>
        <v>VHR</v>
      </c>
      <c r="J625" t="str">
        <f>INDEX(Reference_Tables!$D$11:$D$36,MATCH(LoanData[[#This Row],[Branch]],Reference_Tables!$A$11:$A$36,0))</f>
        <v>Ravi Verma</v>
      </c>
      <c r="L625" s="35"/>
    </row>
    <row r="626" spans="2:12" ht="15.6" x14ac:dyDescent="0.3">
      <c r="B626" s="15">
        <f>DATEDIF(Loan_Data!K:K,Loan_Data!L:L,"D")</f>
        <v>17</v>
      </c>
      <c r="C626" s="15">
        <f ca="1">DATEDIF(LoanData[[#This Row],[Approval_Date]],TODAY(),"M")</f>
        <v>55</v>
      </c>
      <c r="D626" s="31">
        <f>EDATE(LoanData[[#This Row],[Approval_Date]],LoanData[[#This Row],[Loan_Term_Months]])</f>
        <v>44941</v>
      </c>
      <c r="E626" t="str">
        <f t="shared" ca="1" si="9"/>
        <v>YES</v>
      </c>
      <c r="F626" s="33">
        <f>IFERROR(LoanData[[#This Row],[EMI]]/LoanData[[#This Row],[Monthly_Income]]*100," ")</f>
        <v>7.2014531115540885</v>
      </c>
      <c r="G626" t="str" cm="1">
        <f t="array" ref="G626">_xlfn.IFS(F626&gt;40, "High DTI Risk",F626&gt;=25, "Moderate DTI",F626&lt;25, "Low DTI")</f>
        <v>Low DTI</v>
      </c>
      <c r="H626" t="str" cm="1">
        <f t="array" ref="H6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26" t="str">
        <f>_xlfn.XLOOKUP(H626,Reference_Tables!$B$2:$B$7,Reference_Tables!$C$2:$C$7,,0,1)</f>
        <v>LR</v>
      </c>
      <c r="J626" t="str">
        <f>INDEX(Reference_Tables!$D$11:$D$36,MATCH(LoanData[[#This Row],[Branch]],Reference_Tables!$A$11:$A$36,0))</f>
        <v>Suresh Menon</v>
      </c>
      <c r="L626" s="35"/>
    </row>
    <row r="627" spans="2:12" ht="15.6" x14ac:dyDescent="0.3">
      <c r="B627" s="15">
        <f>DATEDIF(Loan_Data!K:K,Loan_Data!L:L,"D")</f>
        <v>29</v>
      </c>
      <c r="C627" s="15">
        <f ca="1">DATEDIF(LoanData[[#This Row],[Approval_Date]],TODAY(),"M")</f>
        <v>53</v>
      </c>
      <c r="D627" s="31">
        <f>EDATE(LoanData[[#This Row],[Approval_Date]],LoanData[[#This Row],[Loan_Term_Months]])</f>
        <v>51923</v>
      </c>
      <c r="E627" t="str">
        <f t="shared" ca="1" si="9"/>
        <v>NO</v>
      </c>
      <c r="F627" s="33">
        <f>IFERROR(LoanData[[#This Row],[EMI]]/LoanData[[#This Row],[Monthly_Income]]*100," ")</f>
        <v>2.3659443012101362</v>
      </c>
      <c r="G627" t="str" cm="1">
        <f t="array" ref="G627">_xlfn.IFS(F627&gt;40, "High DTI Risk",F627&gt;=25, "Moderate DTI",F627&lt;25, "Low DTI")</f>
        <v>Low DTI</v>
      </c>
      <c r="H627" t="str" cm="1">
        <f t="array" ref="H6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27" t="str">
        <f>_xlfn.XLOOKUP(H627,Reference_Tables!$B$2:$B$7,Reference_Tables!$C$2:$C$7,,0,1)</f>
        <v>VHR</v>
      </c>
      <c r="J627" t="str">
        <f>INDEX(Reference_Tables!$D$11:$D$36,MATCH(LoanData[[#This Row],[Branch]],Reference_Tables!$A$11:$A$36,0))</f>
        <v>Suman Tiwari</v>
      </c>
      <c r="L627" s="35"/>
    </row>
    <row r="628" spans="2:12" ht="15.6" x14ac:dyDescent="0.3">
      <c r="B628" s="15">
        <f>DATEDIF(Loan_Data!K:K,Loan_Data!L:L,"D")</f>
        <v>6</v>
      </c>
      <c r="C628" s="15">
        <f ca="1">DATEDIF(LoanData[[#This Row],[Approval_Date]],TODAY(),"M")</f>
        <v>57</v>
      </c>
      <c r="D628" s="31">
        <f>EDATE(LoanData[[#This Row],[Approval_Date]],LoanData[[#This Row],[Loan_Term_Months]])</f>
        <v>49985</v>
      </c>
      <c r="E628" t="str">
        <f t="shared" ca="1" si="9"/>
        <v>NO</v>
      </c>
      <c r="F628" s="33">
        <f>IFERROR(LoanData[[#This Row],[EMI]]/LoanData[[#This Row],[Monthly_Income]]*100," ")</f>
        <v>0.55687868507885963</v>
      </c>
      <c r="G628" t="str" cm="1">
        <f t="array" ref="G628">_xlfn.IFS(F628&gt;40, "High DTI Risk",F628&gt;=25, "Moderate DTI",F628&lt;25, "Low DTI")</f>
        <v>Low DTI</v>
      </c>
      <c r="H628" t="str" cm="1">
        <f t="array" ref="H6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28" t="str">
        <f>_xlfn.XLOOKUP(H628,Reference_Tables!$B$2:$B$7,Reference_Tables!$C$2:$C$7,,0,1)</f>
        <v>LR</v>
      </c>
      <c r="J628" t="str">
        <f>INDEX(Reference_Tables!$D$11:$D$36,MATCH(LoanData[[#This Row],[Branch]],Reference_Tables!$A$11:$A$36,0))</f>
        <v>Hetal Patel</v>
      </c>
      <c r="L628" s="35"/>
    </row>
    <row r="629" spans="2:12" ht="15.6" x14ac:dyDescent="0.3">
      <c r="B629" s="15">
        <f>DATEDIF(Loan_Data!K:K,Loan_Data!L:L,"D")</f>
        <v>7</v>
      </c>
      <c r="C629" s="15">
        <f ca="1">DATEDIF(LoanData[[#This Row],[Approval_Date]],TODAY(),"M")</f>
        <v>62</v>
      </c>
      <c r="D629" s="31">
        <f>EDATE(LoanData[[#This Row],[Approval_Date]],LoanData[[#This Row],[Loan_Term_Months]])</f>
        <v>45810</v>
      </c>
      <c r="E629" t="str">
        <f t="shared" ca="1" si="9"/>
        <v>YES</v>
      </c>
      <c r="F629" s="33">
        <f>IFERROR(LoanData[[#This Row],[EMI]]/LoanData[[#This Row],[Monthly_Income]]*100," ")</f>
        <v>1.9278471000195525</v>
      </c>
      <c r="G629" t="str" cm="1">
        <f t="array" ref="G629">_xlfn.IFS(F629&gt;40, "High DTI Risk",F629&gt;=25, "Moderate DTI",F629&lt;25, "Low DTI")</f>
        <v>Low DTI</v>
      </c>
      <c r="H629" t="str" cm="1">
        <f t="array" ref="H6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29" t="str">
        <f>_xlfn.XLOOKUP(H629,Reference_Tables!$B$2:$B$7,Reference_Tables!$C$2:$C$7,,0,1)</f>
        <v>LR</v>
      </c>
      <c r="J629" t="str">
        <f>INDEX(Reference_Tables!$D$11:$D$36,MATCH(LoanData[[#This Row],[Branch]],Reference_Tables!$A$11:$A$36,0))</f>
        <v>Santhosh Rao</v>
      </c>
      <c r="L629" s="35"/>
    </row>
    <row r="630" spans="2:12" ht="15.6" x14ac:dyDescent="0.3">
      <c r="B630" s="15">
        <f>DATEDIF(Loan_Data!K:K,Loan_Data!L:L,"D")</f>
        <v>25</v>
      </c>
      <c r="C630" s="15">
        <f ca="1">DATEDIF(LoanData[[#This Row],[Approval_Date]],TODAY(),"M")</f>
        <v>34</v>
      </c>
      <c r="D630" s="31">
        <f>EDATE(LoanData[[#This Row],[Approval_Date]],LoanData[[#This Row],[Loan_Term_Months]])</f>
        <v>46674</v>
      </c>
      <c r="E630" t="str">
        <f t="shared" ca="1" si="9"/>
        <v>NO</v>
      </c>
      <c r="F630" s="33">
        <f>IFERROR(LoanData[[#This Row],[EMI]]/LoanData[[#This Row],[Monthly_Income]]*100," ")</f>
        <v>2.3377411555730991</v>
      </c>
      <c r="G630" t="str" cm="1">
        <f t="array" ref="G630">_xlfn.IFS(F630&gt;40, "High DTI Risk",F630&gt;=25, "Moderate DTI",F630&lt;25, "Low DTI")</f>
        <v>Low DTI</v>
      </c>
      <c r="H630" t="str" cm="1">
        <f t="array" ref="H6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30" t="str">
        <f>_xlfn.XLOOKUP(H630,Reference_Tables!$B$2:$B$7,Reference_Tables!$C$2:$C$7,,0,1)</f>
        <v>VHR</v>
      </c>
      <c r="J630" t="str">
        <f>INDEX(Reference_Tables!$D$11:$D$36,MATCH(LoanData[[#This Row],[Branch]],Reference_Tables!$A$11:$A$36,0))</f>
        <v>Sachin Deshpande</v>
      </c>
      <c r="L630" s="35"/>
    </row>
    <row r="631" spans="2:12" ht="15.6" x14ac:dyDescent="0.3">
      <c r="B631" s="15">
        <f>DATEDIF(Loan_Data!K:K,Loan_Data!L:L,"D")</f>
        <v>15</v>
      </c>
      <c r="C631" s="15">
        <f ca="1">DATEDIF(LoanData[[#This Row],[Approval_Date]],TODAY(),"M")</f>
        <v>63</v>
      </c>
      <c r="D631" s="31">
        <f>EDATE(LoanData[[#This Row],[Approval_Date]],LoanData[[#This Row],[Loan_Term_Months]])</f>
        <v>44693</v>
      </c>
      <c r="E631" t="str">
        <f t="shared" ca="1" si="9"/>
        <v>YES</v>
      </c>
      <c r="F631" s="33">
        <f>IFERROR(LoanData[[#This Row],[EMI]]/LoanData[[#This Row],[Monthly_Income]]*100," ")</f>
        <v>20.857839612318273</v>
      </c>
      <c r="G631" t="str" cm="1">
        <f t="array" ref="G631">_xlfn.IFS(F631&gt;40, "High DTI Risk",F631&gt;=25, "Moderate DTI",F631&lt;25, "Low DTI")</f>
        <v>Low DTI</v>
      </c>
      <c r="H631" t="str" cm="1">
        <f t="array" ref="H6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31" t="str">
        <f>_xlfn.XLOOKUP(H631,Reference_Tables!$B$2:$B$7,Reference_Tables!$C$2:$C$7,,0,1)</f>
        <v>HR</v>
      </c>
      <c r="J631" t="str">
        <f>INDEX(Reference_Tables!$D$11:$D$36,MATCH(LoanData[[#This Row],[Branch]],Reference_Tables!$A$11:$A$36,0))</f>
        <v>Ravi Verma</v>
      </c>
      <c r="L631" s="35"/>
    </row>
    <row r="632" spans="2:12" ht="15.6" x14ac:dyDescent="0.3">
      <c r="B632" s="15">
        <f>DATEDIF(Loan_Data!K:K,Loan_Data!L:L,"D")</f>
        <v>23</v>
      </c>
      <c r="C632" s="15">
        <f ca="1">DATEDIF(LoanData[[#This Row],[Approval_Date]],TODAY(),"M")</f>
        <v>38</v>
      </c>
      <c r="D632" s="31">
        <f>EDATE(LoanData[[#This Row],[Approval_Date]],LoanData[[#This Row],[Loan_Term_Months]])</f>
        <v>52397</v>
      </c>
      <c r="E632" t="str">
        <f t="shared" ca="1" si="9"/>
        <v>NO</v>
      </c>
      <c r="F632" s="33">
        <f>IFERROR(LoanData[[#This Row],[EMI]]/LoanData[[#This Row],[Monthly_Income]]*100," ")</f>
        <v>0.40057244374259771</v>
      </c>
      <c r="G632" t="str" cm="1">
        <f t="array" ref="G632">_xlfn.IFS(F632&gt;40, "High DTI Risk",F632&gt;=25, "Moderate DTI",F632&lt;25, "Low DTI")</f>
        <v>Low DTI</v>
      </c>
      <c r="H632" t="str" cm="1">
        <f t="array" ref="H6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32" t="str">
        <f>_xlfn.XLOOKUP(H632,Reference_Tables!$B$2:$B$7,Reference_Tables!$C$2:$C$7,,0,1)</f>
        <v>HR</v>
      </c>
      <c r="J632" t="str">
        <f>INDEX(Reference_Tables!$D$11:$D$36,MATCH(LoanData[[#This Row],[Branch]],Reference_Tables!$A$11:$A$36,0))</f>
        <v>Sachin Deshpande</v>
      </c>
      <c r="L632" s="35"/>
    </row>
    <row r="633" spans="2:12" ht="15.6" x14ac:dyDescent="0.3">
      <c r="B633" s="15">
        <f>DATEDIF(Loan_Data!K:K,Loan_Data!L:L,"D")</f>
        <v>30</v>
      </c>
      <c r="C633" s="15">
        <f ca="1">DATEDIF(LoanData[[#This Row],[Approval_Date]],TODAY(),"M")</f>
        <v>37</v>
      </c>
      <c r="D633" s="31">
        <f>EDATE(LoanData[[#This Row],[Approval_Date]],LoanData[[#This Row],[Loan_Term_Months]])</f>
        <v>48776</v>
      </c>
      <c r="E633" t="str">
        <f t="shared" ca="1" si="9"/>
        <v>NO</v>
      </c>
      <c r="F633" s="33">
        <f>IFERROR(LoanData[[#This Row],[EMI]]/LoanData[[#This Row],[Monthly_Income]]*100," ")</f>
        <v>0.48628627619071629</v>
      </c>
      <c r="G633" t="str" cm="1">
        <f t="array" ref="G633">_xlfn.IFS(F633&gt;40, "High DTI Risk",F633&gt;=25, "Moderate DTI",F633&lt;25, "Low DTI")</f>
        <v>Low DTI</v>
      </c>
      <c r="H633" t="str" cm="1">
        <f t="array" ref="H6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33" t="str">
        <f>_xlfn.XLOOKUP(H633,Reference_Tables!$B$2:$B$7,Reference_Tables!$C$2:$C$7,,0,1)</f>
        <v>VHR</v>
      </c>
      <c r="J633" t="str">
        <f>INDEX(Reference_Tables!$D$11:$D$36,MATCH(LoanData[[#This Row],[Branch]],Reference_Tables!$A$11:$A$36,0))</f>
        <v>Ravi Verma</v>
      </c>
      <c r="L633" s="35"/>
    </row>
    <row r="634" spans="2:12" ht="15.6" x14ac:dyDescent="0.3">
      <c r="B634" s="15">
        <f>DATEDIF(Loan_Data!K:K,Loan_Data!L:L,"D")</f>
        <v>25</v>
      </c>
      <c r="C634" s="15">
        <f ca="1">DATEDIF(LoanData[[#This Row],[Approval_Date]],TODAY(),"M")</f>
        <v>48</v>
      </c>
      <c r="D634" s="31">
        <f>EDATE(LoanData[[#This Row],[Approval_Date]],LoanData[[#This Row],[Loan_Term_Months]])</f>
        <v>45863</v>
      </c>
      <c r="E634" t="str">
        <f t="shared" ca="1" si="9"/>
        <v>YES</v>
      </c>
      <c r="F634" s="33">
        <f>IFERROR(LoanData[[#This Row],[EMI]]/LoanData[[#This Row],[Monthly_Income]]*100," ")</f>
        <v>5.6161476673801465</v>
      </c>
      <c r="G634" t="str" cm="1">
        <f t="array" ref="G634">_xlfn.IFS(F634&gt;40, "High DTI Risk",F634&gt;=25, "Moderate DTI",F634&lt;25, "Low DTI")</f>
        <v>Low DTI</v>
      </c>
      <c r="H634" t="str" cm="1">
        <f t="array" ref="H6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34" t="str">
        <f>_xlfn.XLOOKUP(H634,Reference_Tables!$B$2:$B$7,Reference_Tables!$C$2:$C$7,,0,1)</f>
        <v>MR</v>
      </c>
      <c r="J634" t="str">
        <f>INDEX(Reference_Tables!$D$11:$D$36,MATCH(LoanData[[#This Row],[Branch]],Reference_Tables!$A$11:$A$36,0))</f>
        <v>Rahul Kapoor</v>
      </c>
      <c r="L634" s="35"/>
    </row>
    <row r="635" spans="2:12" ht="15.6" x14ac:dyDescent="0.3">
      <c r="B635" s="15">
        <f>DATEDIF(Loan_Data!K:K,Loan_Data!L:L,"D")</f>
        <v>26</v>
      </c>
      <c r="C635" s="15">
        <f ca="1">DATEDIF(LoanData[[#This Row],[Approval_Date]],TODAY(),"M")</f>
        <v>44</v>
      </c>
      <c r="D635" s="31">
        <f>EDATE(LoanData[[#This Row],[Approval_Date]],LoanData[[#This Row],[Loan_Term_Months]])</f>
        <v>52190</v>
      </c>
      <c r="E635" t="str">
        <f t="shared" ca="1" si="9"/>
        <v>NO</v>
      </c>
      <c r="F635" s="33">
        <f>IFERROR(LoanData[[#This Row],[EMI]]/LoanData[[#This Row],[Monthly_Income]]*100," ")</f>
        <v>2.1676163745961032</v>
      </c>
      <c r="G635" t="str" cm="1">
        <f t="array" ref="G635">_xlfn.IFS(F635&gt;40, "High DTI Risk",F635&gt;=25, "Moderate DTI",F635&lt;25, "Low DTI")</f>
        <v>Low DTI</v>
      </c>
      <c r="H635" t="str" cm="1">
        <f t="array" ref="H6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35" t="str">
        <f>_xlfn.XLOOKUP(H635,Reference_Tables!$B$2:$B$7,Reference_Tables!$C$2:$C$7,,0,1)</f>
        <v>VHR</v>
      </c>
      <c r="J635" t="str">
        <f>INDEX(Reference_Tables!$D$11:$D$36,MATCH(LoanData[[#This Row],[Branch]],Reference_Tables!$A$11:$A$36,0))</f>
        <v>Suman Tiwari</v>
      </c>
      <c r="L635" s="35"/>
    </row>
    <row r="636" spans="2:12" ht="15.6" x14ac:dyDescent="0.3">
      <c r="B636" s="15">
        <f>DATEDIF(Loan_Data!K:K,Loan_Data!L:L,"D")</f>
        <v>19</v>
      </c>
      <c r="C636" s="15">
        <f ca="1">DATEDIF(LoanData[[#This Row],[Approval_Date]],TODAY(),"M")</f>
        <v>38</v>
      </c>
      <c r="D636" s="31">
        <f>EDATE(LoanData[[#This Row],[Approval_Date]],LoanData[[#This Row],[Loan_Term_Months]])</f>
        <v>46174</v>
      </c>
      <c r="E636" t="str">
        <f t="shared" ca="1" si="9"/>
        <v>YES</v>
      </c>
      <c r="F636" s="33">
        <f>IFERROR(LoanData[[#This Row],[EMI]]/LoanData[[#This Row],[Monthly_Income]]*100," ")</f>
        <v>4.8451457621224385</v>
      </c>
      <c r="G636" t="str" cm="1">
        <f t="array" ref="G636">_xlfn.IFS(F636&gt;40, "High DTI Risk",F636&gt;=25, "Moderate DTI",F636&lt;25, "Low DTI")</f>
        <v>Low DTI</v>
      </c>
      <c r="H636" t="str" cm="1">
        <f t="array" ref="H6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36" t="str">
        <f>_xlfn.XLOOKUP(H636,Reference_Tables!$B$2:$B$7,Reference_Tables!$C$2:$C$7,,0,1)</f>
        <v>HR</v>
      </c>
      <c r="J636" t="str">
        <f>INDEX(Reference_Tables!$D$11:$D$36,MATCH(LoanData[[#This Row],[Branch]],Reference_Tables!$A$11:$A$36,0))</f>
        <v>Debashis Das</v>
      </c>
      <c r="L636" s="35"/>
    </row>
    <row r="637" spans="2:12" ht="15.6" x14ac:dyDescent="0.3">
      <c r="B637" s="15">
        <f>DATEDIF(Loan_Data!K:K,Loan_Data!L:L,"D")</f>
        <v>23</v>
      </c>
      <c r="C637" s="15">
        <f ca="1">DATEDIF(LoanData[[#This Row],[Approval_Date]],TODAY(),"M")</f>
        <v>53</v>
      </c>
      <c r="D637" s="31">
        <f>EDATE(LoanData[[#This Row],[Approval_Date]],LoanData[[#This Row],[Loan_Term_Months]])</f>
        <v>45718</v>
      </c>
      <c r="E637" t="str">
        <f t="shared" ca="1" si="9"/>
        <v>YES</v>
      </c>
      <c r="F637" s="33">
        <f>IFERROR(LoanData[[#This Row],[EMI]]/LoanData[[#This Row],[Monthly_Income]]*100," ")</f>
        <v>3.5155082133355857</v>
      </c>
      <c r="G637" t="str" cm="1">
        <f t="array" ref="G637">_xlfn.IFS(F637&gt;40, "High DTI Risk",F637&gt;=25, "Moderate DTI",F637&lt;25, "Low DTI")</f>
        <v>Low DTI</v>
      </c>
      <c r="H637" t="str" cm="1">
        <f t="array" ref="H6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37" t="str">
        <f>_xlfn.XLOOKUP(H637,Reference_Tables!$B$2:$B$7,Reference_Tables!$C$2:$C$7,,0,1)</f>
        <v>MR</v>
      </c>
      <c r="J637" t="str">
        <f>INDEX(Reference_Tables!$D$11:$D$36,MATCH(LoanData[[#This Row],[Branch]],Reference_Tables!$A$11:$A$36,0))</f>
        <v>Anil Mishra</v>
      </c>
      <c r="L637" s="35"/>
    </row>
    <row r="638" spans="2:12" ht="15.6" x14ac:dyDescent="0.3">
      <c r="B638" s="15">
        <f>DATEDIF(Loan_Data!K:K,Loan_Data!L:L,"D")</f>
        <v>26</v>
      </c>
      <c r="C638" s="15">
        <f ca="1">DATEDIF(LoanData[[#This Row],[Approval_Date]],TODAY(),"M")</f>
        <v>60</v>
      </c>
      <c r="D638" s="31">
        <f>EDATE(LoanData[[#This Row],[Approval_Date]],LoanData[[#This Row],[Loan_Term_Months]])</f>
        <v>51701</v>
      </c>
      <c r="E638" t="str">
        <f t="shared" ca="1" si="9"/>
        <v>NO</v>
      </c>
      <c r="F638" s="33">
        <f>IFERROR(LoanData[[#This Row],[EMI]]/LoanData[[#This Row],[Monthly_Income]]*100," ")</f>
        <v>5.7809212064531215</v>
      </c>
      <c r="G638" t="str" cm="1">
        <f t="array" ref="G638">_xlfn.IFS(F638&gt;40, "High DTI Risk",F638&gt;=25, "Moderate DTI",F638&lt;25, "Low DTI")</f>
        <v>Low DTI</v>
      </c>
      <c r="H638" t="str" cm="1">
        <f t="array" ref="H6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38" t="str">
        <f>_xlfn.XLOOKUP(H638,Reference_Tables!$B$2:$B$7,Reference_Tables!$C$2:$C$7,,0,1)</f>
        <v>MR</v>
      </c>
      <c r="J638" t="str">
        <f>INDEX(Reference_Tables!$D$11:$D$36,MATCH(LoanData[[#This Row],[Branch]],Reference_Tables!$A$11:$A$36,0))</f>
        <v>Priyanka Gupta</v>
      </c>
      <c r="L638" s="35"/>
    </row>
    <row r="639" spans="2:12" ht="15.6" x14ac:dyDescent="0.3">
      <c r="B639" s="15">
        <f>DATEDIF(Loan_Data!K:K,Loan_Data!L:L,"D")</f>
        <v>17</v>
      </c>
      <c r="C639" s="15">
        <f ca="1">DATEDIF(LoanData[[#This Row],[Approval_Date]],TODAY(),"M")</f>
        <v>45</v>
      </c>
      <c r="D639" s="31">
        <f>EDATE(LoanData[[#This Row],[Approval_Date]],LoanData[[#This Row],[Loan_Term_Months]])</f>
        <v>47425</v>
      </c>
      <c r="E639" t="str">
        <f t="shared" ca="1" si="9"/>
        <v>NO</v>
      </c>
      <c r="F639" s="33">
        <f>IFERROR(LoanData[[#This Row],[EMI]]/LoanData[[#This Row],[Monthly_Income]]*100," ")</f>
        <v>0.73318205815464588</v>
      </c>
      <c r="G639" t="str" cm="1">
        <f t="array" ref="G639">_xlfn.IFS(F639&gt;40, "High DTI Risk",F639&gt;=25, "Moderate DTI",F639&lt;25, "Low DTI")</f>
        <v>Low DTI</v>
      </c>
      <c r="H639" t="str" cm="1">
        <f t="array" ref="H6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39" t="str">
        <f>_xlfn.XLOOKUP(H639,Reference_Tables!$B$2:$B$7,Reference_Tables!$C$2:$C$7,,0,1)</f>
        <v>HR</v>
      </c>
      <c r="J639" t="str">
        <f>INDEX(Reference_Tables!$D$11:$D$36,MATCH(LoanData[[#This Row],[Branch]],Reference_Tables!$A$11:$A$36,0))</f>
        <v>Suresh Menon</v>
      </c>
      <c r="L639" s="35"/>
    </row>
    <row r="640" spans="2:12" ht="15.6" x14ac:dyDescent="0.3">
      <c r="B640" s="15">
        <f>DATEDIF(Loan_Data!K:K,Loan_Data!L:L,"D")</f>
        <v>10</v>
      </c>
      <c r="C640" s="15">
        <f ca="1">DATEDIF(LoanData[[#This Row],[Approval_Date]],TODAY(),"M")</f>
        <v>57</v>
      </c>
      <c r="D640" s="31">
        <f>EDATE(LoanData[[#This Row],[Approval_Date]],LoanData[[#This Row],[Loan_Term_Months]])</f>
        <v>46323</v>
      </c>
      <c r="E640" t="str">
        <f t="shared" ca="1" si="9"/>
        <v>NO</v>
      </c>
      <c r="F640" s="33">
        <f>IFERROR(LoanData[[#This Row],[EMI]]/LoanData[[#This Row],[Monthly_Income]]*100," ")</f>
        <v>6.0859263826961394</v>
      </c>
      <c r="G640" t="str" cm="1">
        <f t="array" ref="G640">_xlfn.IFS(F640&gt;40, "High DTI Risk",F640&gt;=25, "Moderate DTI",F640&lt;25, "Low DTI")</f>
        <v>Low DTI</v>
      </c>
      <c r="H640" t="str" cm="1">
        <f t="array" ref="H6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40" t="str">
        <f>_xlfn.XLOOKUP(H640,Reference_Tables!$B$2:$B$7,Reference_Tables!$C$2:$C$7,,0,1)</f>
        <v>VHR</v>
      </c>
      <c r="J640" t="str">
        <f>INDEX(Reference_Tables!$D$11:$D$36,MATCH(LoanData[[#This Row],[Branch]],Reference_Tables!$A$11:$A$36,0))</f>
        <v>Amit Kumar</v>
      </c>
      <c r="L640" s="35"/>
    </row>
    <row r="641" spans="2:12" ht="15.6" x14ac:dyDescent="0.3">
      <c r="B641" s="15">
        <f>DATEDIF(Loan_Data!K:K,Loan_Data!L:L,"D")</f>
        <v>5</v>
      </c>
      <c r="C641" s="15">
        <f ca="1">DATEDIF(LoanData[[#This Row],[Approval_Date]],TODAY(),"M")</f>
        <v>49</v>
      </c>
      <c r="D641" s="31">
        <f>EDATE(LoanData[[#This Row],[Approval_Date]],LoanData[[#This Row],[Loan_Term_Months]])</f>
        <v>46204</v>
      </c>
      <c r="E641" t="str">
        <f t="shared" ca="1" si="9"/>
        <v>YES</v>
      </c>
      <c r="F641" s="33">
        <f>IFERROR(LoanData[[#This Row],[EMI]]/LoanData[[#This Row],[Monthly_Income]]*100," ")</f>
        <v>3.1657424123442599</v>
      </c>
      <c r="G641" t="str" cm="1">
        <f t="array" ref="G641">_xlfn.IFS(F641&gt;40, "High DTI Risk",F641&gt;=25, "Moderate DTI",F641&lt;25, "Low DTI")</f>
        <v>Low DTI</v>
      </c>
      <c r="H641" t="str" cm="1">
        <f t="array" ref="H6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41" t="str">
        <f>_xlfn.XLOOKUP(H641,Reference_Tables!$B$2:$B$7,Reference_Tables!$C$2:$C$7,,0,1)</f>
        <v>VHR</v>
      </c>
      <c r="J641" t="str">
        <f>INDEX(Reference_Tables!$D$11:$D$36,MATCH(LoanData[[#This Row],[Branch]],Reference_Tables!$A$11:$A$36,0))</f>
        <v>Tapan Panda</v>
      </c>
      <c r="L641" s="35"/>
    </row>
    <row r="642" spans="2:12" ht="15.6" x14ac:dyDescent="0.3">
      <c r="B642" s="15">
        <f>DATEDIF(Loan_Data!K:K,Loan_Data!L:L,"D")</f>
        <v>20</v>
      </c>
      <c r="C642" s="15">
        <f ca="1">DATEDIF(LoanData[[#This Row],[Approval_Date]],TODAY(),"M")</f>
        <v>54</v>
      </c>
      <c r="D642" s="31">
        <f>EDATE(LoanData[[#This Row],[Approval_Date]],LoanData[[#This Row],[Loan_Term_Months]])</f>
        <v>45313</v>
      </c>
      <c r="E642" t="str">
        <f t="shared" ref="E642:E705" ca="1" si="10">IF(D642&lt;TODAY(),"YES","NO")</f>
        <v>YES</v>
      </c>
      <c r="F642" s="33">
        <f>IFERROR(LoanData[[#This Row],[EMI]]/LoanData[[#This Row],[Monthly_Income]]*100," ")</f>
        <v>2.476977622553397</v>
      </c>
      <c r="G642" t="str" cm="1">
        <f t="array" ref="G642">_xlfn.IFS(F642&gt;40, "High DTI Risk",F642&gt;=25, "Moderate DTI",F642&lt;25, "Low DTI")</f>
        <v>Low DTI</v>
      </c>
      <c r="H642" t="str" cm="1">
        <f t="array" ref="H6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42" t="str">
        <f>_xlfn.XLOOKUP(H642,Reference_Tables!$B$2:$B$7,Reference_Tables!$C$2:$C$7,,0,1)</f>
        <v>VHR</v>
      </c>
      <c r="J642" t="str">
        <f>INDEX(Reference_Tables!$D$11:$D$36,MATCH(LoanData[[#This Row],[Branch]],Reference_Tables!$A$11:$A$36,0))</f>
        <v>Suresh Menon</v>
      </c>
      <c r="L642" s="35"/>
    </row>
    <row r="643" spans="2:12" ht="15.6" x14ac:dyDescent="0.3">
      <c r="B643" s="15">
        <f>DATEDIF(Loan_Data!K:K,Loan_Data!L:L,"D")</f>
        <v>6</v>
      </c>
      <c r="C643" s="15">
        <f ca="1">DATEDIF(LoanData[[#This Row],[Approval_Date]],TODAY(),"M")</f>
        <v>35</v>
      </c>
      <c r="D643" s="31">
        <f>EDATE(LoanData[[#This Row],[Approval_Date]],LoanData[[#This Row],[Loan_Term_Months]])</f>
        <v>45914</v>
      </c>
      <c r="E643" t="str">
        <f t="shared" ca="1" si="10"/>
        <v>YES</v>
      </c>
      <c r="F643" s="33">
        <f>IFERROR(LoanData[[#This Row],[EMI]]/LoanData[[#This Row],[Monthly_Income]]*100," ")</f>
        <v>6.1689306626617837</v>
      </c>
      <c r="G643" t="str" cm="1">
        <f t="array" ref="G643">_xlfn.IFS(F643&gt;40, "High DTI Risk",F643&gt;=25, "Moderate DTI",F643&lt;25, "Low DTI")</f>
        <v>Low DTI</v>
      </c>
      <c r="H643" t="str" cm="1">
        <f t="array" ref="H6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43" t="str">
        <f>_xlfn.XLOOKUP(H643,Reference_Tables!$B$2:$B$7,Reference_Tables!$C$2:$C$7,,0,1)</f>
        <v>VHR</v>
      </c>
      <c r="J643" t="str">
        <f>INDEX(Reference_Tables!$D$11:$D$36,MATCH(LoanData[[#This Row],[Branch]],Reference_Tables!$A$11:$A$36,0))</f>
        <v>Suresh Menon</v>
      </c>
      <c r="L643" s="35"/>
    </row>
    <row r="644" spans="2:12" ht="15.6" x14ac:dyDescent="0.3">
      <c r="B644" s="15">
        <f>DATEDIF(Loan_Data!K:K,Loan_Data!L:L,"D")</f>
        <v>11</v>
      </c>
      <c r="C644" s="15">
        <f ca="1">DATEDIF(LoanData[[#This Row],[Approval_Date]],TODAY(),"M")</f>
        <v>41</v>
      </c>
      <c r="D644" s="31">
        <f>EDATE(LoanData[[#This Row],[Approval_Date]],LoanData[[#This Row],[Loan_Term_Months]])</f>
        <v>46811</v>
      </c>
      <c r="E644" t="str">
        <f t="shared" ca="1" si="10"/>
        <v>NO</v>
      </c>
      <c r="F644" s="33">
        <f>IFERROR(LoanData[[#This Row],[EMI]]/LoanData[[#This Row],[Monthly_Income]]*100," ")</f>
        <v>3.4984555913143192</v>
      </c>
      <c r="G644" t="str" cm="1">
        <f t="array" ref="G644">_xlfn.IFS(F644&gt;40, "High DTI Risk",F644&gt;=25, "Moderate DTI",F644&lt;25, "Low DTI")</f>
        <v>Low DTI</v>
      </c>
      <c r="H644" t="str" cm="1">
        <f t="array" ref="H6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44" t="str">
        <f>_xlfn.XLOOKUP(H644,Reference_Tables!$B$2:$B$7,Reference_Tables!$C$2:$C$7,,0,1)</f>
        <v>VHR</v>
      </c>
      <c r="J644" t="str">
        <f>INDEX(Reference_Tables!$D$11:$D$36,MATCH(LoanData[[#This Row],[Branch]],Reference_Tables!$A$11:$A$36,0))</f>
        <v>Suman Tiwari</v>
      </c>
      <c r="L644" s="35"/>
    </row>
    <row r="645" spans="2:12" ht="15.6" x14ac:dyDescent="0.3">
      <c r="B645" s="15">
        <f>DATEDIF(Loan_Data!K:K,Loan_Data!L:L,"D")</f>
        <v>25</v>
      </c>
      <c r="C645" s="15">
        <f ca="1">DATEDIF(LoanData[[#This Row],[Approval_Date]],TODAY(),"M")</f>
        <v>66</v>
      </c>
      <c r="D645" s="31">
        <f>EDATE(LoanData[[#This Row],[Approval_Date]],LoanData[[#This Row],[Loan_Term_Months]])</f>
        <v>44973</v>
      </c>
      <c r="E645" t="str">
        <f t="shared" ca="1" si="10"/>
        <v>YES</v>
      </c>
      <c r="F645" s="33">
        <f>IFERROR(LoanData[[#This Row],[EMI]]/LoanData[[#This Row],[Monthly_Income]]*100," ")</f>
        <v>6.5586121294345174</v>
      </c>
      <c r="G645" t="str" cm="1">
        <f t="array" ref="G645">_xlfn.IFS(F645&gt;40, "High DTI Risk",F645&gt;=25, "Moderate DTI",F645&lt;25, "Low DTI")</f>
        <v>Low DTI</v>
      </c>
      <c r="H645" t="str" cm="1">
        <f t="array" ref="H6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45" t="str">
        <f>_xlfn.XLOOKUP(H645,Reference_Tables!$B$2:$B$7,Reference_Tables!$C$2:$C$7,,0,1)</f>
        <v>VHR</v>
      </c>
      <c r="J645" t="str">
        <f>INDEX(Reference_Tables!$D$11:$D$36,MATCH(LoanData[[#This Row],[Branch]],Reference_Tables!$A$11:$A$36,0))</f>
        <v>Sachin Deshpande</v>
      </c>
      <c r="L645" s="35"/>
    </row>
    <row r="646" spans="2:12" ht="15.6" x14ac:dyDescent="0.3">
      <c r="B646" s="15">
        <f>DATEDIF(Loan_Data!K:K,Loan_Data!L:L,"D")</f>
        <v>14</v>
      </c>
      <c r="C646" s="15">
        <f ca="1">DATEDIF(LoanData[[#This Row],[Approval_Date]],TODAY(),"M")</f>
        <v>58</v>
      </c>
      <c r="D646" s="31">
        <f>EDATE(LoanData[[#This Row],[Approval_Date]],LoanData[[#This Row],[Loan_Term_Months]])</f>
        <v>44847</v>
      </c>
      <c r="E646" t="str">
        <f t="shared" ca="1" si="10"/>
        <v>YES</v>
      </c>
      <c r="F646" s="33">
        <f>IFERROR(LoanData[[#This Row],[EMI]]/LoanData[[#This Row],[Monthly_Income]]*100," ")</f>
        <v>3.1774903817139406</v>
      </c>
      <c r="G646" t="str" cm="1">
        <f t="array" ref="G646">_xlfn.IFS(F646&gt;40, "High DTI Risk",F646&gt;=25, "Moderate DTI",F646&lt;25, "Low DTI")</f>
        <v>Low DTI</v>
      </c>
      <c r="H646" t="str" cm="1">
        <f t="array" ref="H6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46" t="str">
        <f>_xlfn.XLOOKUP(H646,Reference_Tables!$B$2:$B$7,Reference_Tables!$C$2:$C$7,,0,1)</f>
        <v>VHR</v>
      </c>
      <c r="J646" t="str">
        <f>INDEX(Reference_Tables!$D$11:$D$36,MATCH(LoanData[[#This Row],[Branch]],Reference_Tables!$A$11:$A$36,0))</f>
        <v>Suman Tiwari</v>
      </c>
      <c r="L646" s="35"/>
    </row>
    <row r="647" spans="2:12" ht="15.6" x14ac:dyDescent="0.3">
      <c r="B647" s="15">
        <f>DATEDIF(Loan_Data!K:K,Loan_Data!L:L,"D")</f>
        <v>26</v>
      </c>
      <c r="C647" s="15">
        <f ca="1">DATEDIF(LoanData[[#This Row],[Approval_Date]],TODAY(),"M")</f>
        <v>36</v>
      </c>
      <c r="D647" s="31">
        <f>EDATE(LoanData[[#This Row],[Approval_Date]],LoanData[[#This Row],[Loan_Term_Months]])</f>
        <v>45875</v>
      </c>
      <c r="E647" t="str">
        <f t="shared" ca="1" si="10"/>
        <v>YES</v>
      </c>
      <c r="F647" s="33">
        <f>IFERROR(LoanData[[#This Row],[EMI]]/LoanData[[#This Row],[Monthly_Income]]*100," ")</f>
        <v>22.86082492414085</v>
      </c>
      <c r="G647" t="str" cm="1">
        <f t="array" ref="G647">_xlfn.IFS(F647&gt;40, "High DTI Risk",F647&gt;=25, "Moderate DTI",F647&lt;25, "Low DTI")</f>
        <v>Low DTI</v>
      </c>
      <c r="H647" t="str" cm="1">
        <f t="array" ref="H6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47" t="str">
        <f>_xlfn.XLOOKUP(H647,Reference_Tables!$B$2:$B$7,Reference_Tables!$C$2:$C$7,,0,1)</f>
        <v>VHR</v>
      </c>
      <c r="J647" t="str">
        <f>INDEX(Reference_Tables!$D$11:$D$36,MATCH(LoanData[[#This Row],[Branch]],Reference_Tables!$A$11:$A$36,0))</f>
        <v>Amit Kumar</v>
      </c>
      <c r="L647" s="35"/>
    </row>
    <row r="648" spans="2:12" ht="15.6" x14ac:dyDescent="0.3">
      <c r="B648" s="15">
        <f>DATEDIF(Loan_Data!K:K,Loan_Data!L:L,"D")</f>
        <v>25</v>
      </c>
      <c r="C648" s="15">
        <f ca="1">DATEDIF(LoanData[[#This Row],[Approval_Date]],TODAY(),"M")</f>
        <v>49</v>
      </c>
      <c r="D648" s="31">
        <f>EDATE(LoanData[[#This Row],[Approval_Date]],LoanData[[#This Row],[Loan_Term_Months]])</f>
        <v>45120</v>
      </c>
      <c r="E648" t="str">
        <f t="shared" ca="1" si="10"/>
        <v>YES</v>
      </c>
      <c r="F648" s="33">
        <f>IFERROR(LoanData[[#This Row],[EMI]]/LoanData[[#This Row],[Monthly_Income]]*100," ")</f>
        <v>8.5561702762513363</v>
      </c>
      <c r="G648" t="str" cm="1">
        <f t="array" ref="G648">_xlfn.IFS(F648&gt;40, "High DTI Risk",F648&gt;=25, "Moderate DTI",F648&lt;25, "Low DTI")</f>
        <v>Low DTI</v>
      </c>
      <c r="H648" t="str" cm="1">
        <f t="array" ref="H6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48" t="str">
        <f>_xlfn.XLOOKUP(H648,Reference_Tables!$B$2:$B$7,Reference_Tables!$C$2:$C$7,,0,1)</f>
        <v>LR</v>
      </c>
      <c r="J648" t="str">
        <f>INDEX(Reference_Tables!$D$11:$D$36,MATCH(LoanData[[#This Row],[Branch]],Reference_Tables!$A$11:$A$36,0))</f>
        <v>Jigar Mehta</v>
      </c>
      <c r="L648" s="35"/>
    </row>
    <row r="649" spans="2:12" ht="15.6" x14ac:dyDescent="0.3">
      <c r="B649" s="15">
        <f>DATEDIF(Loan_Data!K:K,Loan_Data!L:L,"D")</f>
        <v>9</v>
      </c>
      <c r="C649" s="15">
        <f ca="1">DATEDIF(LoanData[[#This Row],[Approval_Date]],TODAY(),"M")</f>
        <v>52</v>
      </c>
      <c r="D649" s="31">
        <f>EDATE(LoanData[[#This Row],[Approval_Date]],LoanData[[#This Row],[Loan_Term_Months]])</f>
        <v>45370</v>
      </c>
      <c r="E649" t="str">
        <f t="shared" ca="1" si="10"/>
        <v>YES</v>
      </c>
      <c r="F649" s="33">
        <f>IFERROR(LoanData[[#This Row],[EMI]]/LoanData[[#This Row],[Monthly_Income]]*100," ")</f>
        <v>1.3363382104800869</v>
      </c>
      <c r="G649" t="str" cm="1">
        <f t="array" ref="G649">_xlfn.IFS(F649&gt;40, "High DTI Risk",F649&gt;=25, "Moderate DTI",F649&lt;25, "Low DTI")</f>
        <v>Low DTI</v>
      </c>
      <c r="H649" t="str" cm="1">
        <f t="array" ref="H6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49" t="str">
        <f>_xlfn.XLOOKUP(H649,Reference_Tables!$B$2:$B$7,Reference_Tables!$C$2:$C$7,,0,1)</f>
        <v>LR</v>
      </c>
      <c r="J649" t="str">
        <f>INDEX(Reference_Tables!$D$11:$D$36,MATCH(LoanData[[#This Row],[Branch]],Reference_Tables!$A$11:$A$36,0))</f>
        <v>Arvind Pillai</v>
      </c>
      <c r="L649" s="35"/>
    </row>
    <row r="650" spans="2:12" ht="15.6" x14ac:dyDescent="0.3">
      <c r="B650" s="15">
        <f>DATEDIF(Loan_Data!K:K,Loan_Data!L:L,"D")</f>
        <v>23</v>
      </c>
      <c r="C650" s="15">
        <f ca="1">DATEDIF(LoanData[[#This Row],[Approval_Date]],TODAY(),"M")</f>
        <v>66</v>
      </c>
      <c r="D650" s="31">
        <f>EDATE(LoanData[[#This Row],[Approval_Date]],LoanData[[#This Row],[Loan_Term_Months]])</f>
        <v>44593</v>
      </c>
      <c r="E650" t="str">
        <f t="shared" ca="1" si="10"/>
        <v>YES</v>
      </c>
      <c r="F650" s="33">
        <f>IFERROR(LoanData[[#This Row],[EMI]]/LoanData[[#This Row],[Monthly_Income]]*100," ")</f>
        <v>3.9127324997402235</v>
      </c>
      <c r="G650" t="str" cm="1">
        <f t="array" ref="G650">_xlfn.IFS(F650&gt;40, "High DTI Risk",F650&gt;=25, "Moderate DTI",F650&lt;25, "Low DTI")</f>
        <v>Low DTI</v>
      </c>
      <c r="H650" t="str" cm="1">
        <f t="array" ref="H6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50" t="str">
        <f>_xlfn.XLOOKUP(H650,Reference_Tables!$B$2:$B$7,Reference_Tables!$C$2:$C$7,,0,1)</f>
        <v>VHR</v>
      </c>
      <c r="J650" t="str">
        <f>INDEX(Reference_Tables!$D$11:$D$36,MATCH(LoanData[[#This Row],[Branch]],Reference_Tables!$A$11:$A$36,0))</f>
        <v>Rituparna Bora</v>
      </c>
      <c r="L650" s="35"/>
    </row>
    <row r="651" spans="2:12" ht="15.6" x14ac:dyDescent="0.3">
      <c r="B651" s="15">
        <f>DATEDIF(Loan_Data!K:K,Loan_Data!L:L,"D")</f>
        <v>25</v>
      </c>
      <c r="C651" s="15">
        <f ca="1">DATEDIF(LoanData[[#This Row],[Approval_Date]],TODAY(),"M")</f>
        <v>52</v>
      </c>
      <c r="D651" s="31">
        <f>EDATE(LoanData[[#This Row],[Approval_Date]],LoanData[[#This Row],[Loan_Term_Months]])</f>
        <v>45383</v>
      </c>
      <c r="E651" t="str">
        <f t="shared" ca="1" si="10"/>
        <v>YES</v>
      </c>
      <c r="F651" s="33">
        <f>IFERROR(LoanData[[#This Row],[EMI]]/LoanData[[#This Row],[Monthly_Income]]*100," ")</f>
        <v>1.1805198202268563</v>
      </c>
      <c r="G651" t="str" cm="1">
        <f t="array" ref="G651">_xlfn.IFS(F651&gt;40, "High DTI Risk",F651&gt;=25, "Moderate DTI",F651&lt;25, "Low DTI")</f>
        <v>Low DTI</v>
      </c>
      <c r="H651" t="str" cm="1">
        <f t="array" ref="H6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51" t="str">
        <f>_xlfn.XLOOKUP(H651,Reference_Tables!$B$2:$B$7,Reference_Tables!$C$2:$C$7,,0,1)</f>
        <v>VHR</v>
      </c>
      <c r="J651" t="str">
        <f>INDEX(Reference_Tables!$D$11:$D$36,MATCH(LoanData[[#This Row],[Branch]],Reference_Tables!$A$11:$A$36,0))</f>
        <v>Debashis Das</v>
      </c>
      <c r="L651" s="35"/>
    </row>
    <row r="652" spans="2:12" ht="15.6" x14ac:dyDescent="0.3">
      <c r="B652" s="15">
        <f>DATEDIF(Loan_Data!K:K,Loan_Data!L:L,"D")</f>
        <v>19</v>
      </c>
      <c r="C652" s="15">
        <f ca="1">DATEDIF(LoanData[[#This Row],[Approval_Date]],TODAY(),"M")</f>
        <v>34</v>
      </c>
      <c r="D652" s="31">
        <f>EDATE(LoanData[[#This Row],[Approval_Date]],LoanData[[#This Row],[Loan_Term_Months]])</f>
        <v>47039</v>
      </c>
      <c r="E652" t="str">
        <f t="shared" ca="1" si="10"/>
        <v>NO</v>
      </c>
      <c r="F652" s="33">
        <f>IFERROR(LoanData[[#This Row],[EMI]]/LoanData[[#This Row],[Monthly_Income]]*100," ")</f>
        <v>4.9415949082740553</v>
      </c>
      <c r="G652" t="str" cm="1">
        <f t="array" ref="G652">_xlfn.IFS(F652&gt;40, "High DTI Risk",F652&gt;=25, "Moderate DTI",F652&lt;25, "Low DTI")</f>
        <v>Low DTI</v>
      </c>
      <c r="H652" t="str" cm="1">
        <f t="array" ref="H6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52" t="str">
        <f>_xlfn.XLOOKUP(H652,Reference_Tables!$B$2:$B$7,Reference_Tables!$C$2:$C$7,,0,1)</f>
        <v>MR</v>
      </c>
      <c r="J652" t="str">
        <f>INDEX(Reference_Tables!$D$11:$D$36,MATCH(LoanData[[#This Row],[Branch]],Reference_Tables!$A$11:$A$36,0))</f>
        <v>Nilesh Shah</v>
      </c>
      <c r="L652" s="35"/>
    </row>
    <row r="653" spans="2:12" ht="15.6" x14ac:dyDescent="0.3">
      <c r="B653" s="15">
        <f>DATEDIF(Loan_Data!K:K,Loan_Data!L:L,"D")</f>
        <v>29</v>
      </c>
      <c r="C653" s="15">
        <f ca="1">DATEDIF(LoanData[[#This Row],[Approval_Date]],TODAY(),"M")</f>
        <v>59</v>
      </c>
      <c r="D653" s="31">
        <f>EDATE(LoanData[[#This Row],[Approval_Date]],LoanData[[#This Row],[Loan_Term_Months]])</f>
        <v>45176</v>
      </c>
      <c r="E653" t="str">
        <f t="shared" ca="1" si="10"/>
        <v>YES</v>
      </c>
      <c r="F653" s="33">
        <f>IFERROR(LoanData[[#This Row],[EMI]]/LoanData[[#This Row],[Monthly_Income]]*100," ")</f>
        <v>3.0293008135734647</v>
      </c>
      <c r="G653" t="str" cm="1">
        <f t="array" ref="G653">_xlfn.IFS(F653&gt;40, "High DTI Risk",F653&gt;=25, "Moderate DTI",F653&lt;25, "Low DTI")</f>
        <v>Low DTI</v>
      </c>
      <c r="H653" t="str" cm="1">
        <f t="array" ref="H6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53" t="str">
        <f>_xlfn.XLOOKUP(H653,Reference_Tables!$B$2:$B$7,Reference_Tables!$C$2:$C$7,,0,1)</f>
        <v>VHR</v>
      </c>
      <c r="J653" t="str">
        <f>INDEX(Reference_Tables!$D$11:$D$36,MATCH(LoanData[[#This Row],[Branch]],Reference_Tables!$A$11:$A$36,0))</f>
        <v>Santhosh Rao</v>
      </c>
      <c r="L653" s="35"/>
    </row>
    <row r="654" spans="2:12" ht="15.6" x14ac:dyDescent="0.3">
      <c r="B654" s="15">
        <f>DATEDIF(Loan_Data!K:K,Loan_Data!L:L,"D")</f>
        <v>22</v>
      </c>
      <c r="C654" s="15">
        <f ca="1">DATEDIF(LoanData[[#This Row],[Approval_Date]],TODAY(),"M")</f>
        <v>65</v>
      </c>
      <c r="D654" s="31">
        <f>EDATE(LoanData[[#This Row],[Approval_Date]],LoanData[[#This Row],[Loan_Term_Months]])</f>
        <v>46817</v>
      </c>
      <c r="E654" t="str">
        <f t="shared" ca="1" si="10"/>
        <v>NO</v>
      </c>
      <c r="F654" s="33">
        <f>IFERROR(LoanData[[#This Row],[EMI]]/LoanData[[#This Row],[Monthly_Income]]*100," ")</f>
        <v>5.1703138177460159</v>
      </c>
      <c r="G654" t="str" cm="1">
        <f t="array" ref="G654">_xlfn.IFS(F654&gt;40, "High DTI Risk",F654&gt;=25, "Moderate DTI",F654&lt;25, "Low DTI")</f>
        <v>Low DTI</v>
      </c>
      <c r="H654" t="str" cm="1">
        <f t="array" ref="H6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54" t="str">
        <f>_xlfn.XLOOKUP(H654,Reference_Tables!$B$2:$B$7,Reference_Tables!$C$2:$C$7,,0,1)</f>
        <v>HR</v>
      </c>
      <c r="J654" t="str">
        <f>INDEX(Reference_Tables!$D$11:$D$36,MATCH(LoanData[[#This Row],[Branch]],Reference_Tables!$A$11:$A$36,0))</f>
        <v>Nilesh Shah</v>
      </c>
      <c r="L654" s="35"/>
    </row>
    <row r="655" spans="2:12" ht="15.6" x14ac:dyDescent="0.3">
      <c r="B655" s="15">
        <f>DATEDIF(Loan_Data!K:K,Loan_Data!L:L,"D")</f>
        <v>21</v>
      </c>
      <c r="C655" s="15">
        <f ca="1">DATEDIF(LoanData[[#This Row],[Approval_Date]],TODAY(),"M")</f>
        <v>61</v>
      </c>
      <c r="D655" s="31">
        <f>EDATE(LoanData[[#This Row],[Approval_Date]],LoanData[[#This Row],[Loan_Term_Months]])</f>
        <v>46197</v>
      </c>
      <c r="E655" t="str">
        <f t="shared" ca="1" si="10"/>
        <v>YES</v>
      </c>
      <c r="F655" s="33">
        <f>IFERROR(LoanData[[#This Row],[EMI]]/LoanData[[#This Row],[Monthly_Income]]*100," ")</f>
        <v>22.655903346414117</v>
      </c>
      <c r="G655" t="str" cm="1">
        <f t="array" ref="G655">_xlfn.IFS(F655&gt;40, "High DTI Risk",F655&gt;=25, "Moderate DTI",F655&lt;25, "Low DTI")</f>
        <v>Low DTI</v>
      </c>
      <c r="H655" t="str" cm="1">
        <f t="array" ref="H6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55" t="str">
        <f>_xlfn.XLOOKUP(H655,Reference_Tables!$B$2:$B$7,Reference_Tables!$C$2:$C$7,,0,1)</f>
        <v>VHR</v>
      </c>
      <c r="J655" t="str">
        <f>INDEX(Reference_Tables!$D$11:$D$36,MATCH(LoanData[[#This Row],[Branch]],Reference_Tables!$A$11:$A$36,0))</f>
        <v>Anil Mishra</v>
      </c>
      <c r="L655" s="35"/>
    </row>
    <row r="656" spans="2:12" ht="15.6" x14ac:dyDescent="0.3">
      <c r="B656" s="15">
        <f>DATEDIF(Loan_Data!K:K,Loan_Data!L:L,"D")</f>
        <v>6</v>
      </c>
      <c r="C656" s="15">
        <f ca="1">DATEDIF(LoanData[[#This Row],[Approval_Date]],TODAY(),"M")</f>
        <v>35</v>
      </c>
      <c r="D656" s="31">
        <f>EDATE(LoanData[[#This Row],[Approval_Date]],LoanData[[#This Row],[Loan_Term_Months]])</f>
        <v>46631</v>
      </c>
      <c r="E656" t="str">
        <f t="shared" ca="1" si="10"/>
        <v>NO</v>
      </c>
      <c r="F656" s="33">
        <f>IFERROR(LoanData[[#This Row],[EMI]]/LoanData[[#This Row],[Monthly_Income]]*100," ")</f>
        <v>4.6636148706855298</v>
      </c>
      <c r="G656" t="str" cm="1">
        <f t="array" ref="G656">_xlfn.IFS(F656&gt;40, "High DTI Risk",F656&gt;=25, "Moderate DTI",F656&lt;25, "Low DTI")</f>
        <v>Low DTI</v>
      </c>
      <c r="H656" t="str" cm="1">
        <f t="array" ref="H6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56" t="str">
        <f>_xlfn.XLOOKUP(H656,Reference_Tables!$B$2:$B$7,Reference_Tables!$C$2:$C$7,,0,1)</f>
        <v>VHR</v>
      </c>
      <c r="J656" t="str">
        <f>INDEX(Reference_Tables!$D$11:$D$36,MATCH(LoanData[[#This Row],[Branch]],Reference_Tables!$A$11:$A$36,0))</f>
        <v>Tapan Panda</v>
      </c>
      <c r="L656" s="35"/>
    </row>
    <row r="657" spans="2:12" ht="15.6" x14ac:dyDescent="0.3">
      <c r="B657" s="15">
        <f>DATEDIF(Loan_Data!K:K,Loan_Data!L:L,"D")</f>
        <v>19</v>
      </c>
      <c r="C657" s="15">
        <f ca="1">DATEDIF(LoanData[[#This Row],[Approval_Date]],TODAY(),"M")</f>
        <v>36</v>
      </c>
      <c r="D657" s="31">
        <f>EDATE(LoanData[[#This Row],[Approval_Date]],LoanData[[#This Row],[Loan_Term_Months]])</f>
        <v>46242</v>
      </c>
      <c r="E657" t="str">
        <f t="shared" ca="1" si="10"/>
        <v>YES</v>
      </c>
      <c r="F657" s="33">
        <f>IFERROR(LoanData[[#This Row],[EMI]]/LoanData[[#This Row],[Monthly_Income]]*100," ")</f>
        <v>5.2713274826059457</v>
      </c>
      <c r="G657" t="str" cm="1">
        <f t="array" ref="G657">_xlfn.IFS(F657&gt;40, "High DTI Risk",F657&gt;=25, "Moderate DTI",F657&lt;25, "Low DTI")</f>
        <v>Low DTI</v>
      </c>
      <c r="H657" t="str" cm="1">
        <f t="array" ref="H6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57" t="str">
        <f>_xlfn.XLOOKUP(H657,Reference_Tables!$B$2:$B$7,Reference_Tables!$C$2:$C$7,,0,1)</f>
        <v>LR</v>
      </c>
      <c r="J657" t="str">
        <f>INDEX(Reference_Tables!$D$11:$D$36,MATCH(LoanData[[#This Row],[Branch]],Reference_Tables!$A$11:$A$36,0))</f>
        <v>Priya Yadav</v>
      </c>
      <c r="L657" s="35"/>
    </row>
    <row r="658" spans="2:12" ht="15.6" x14ac:dyDescent="0.3">
      <c r="B658" s="15">
        <f>DATEDIF(Loan_Data!K:K,Loan_Data!L:L,"D")</f>
        <v>20</v>
      </c>
      <c r="C658" s="15">
        <f ca="1">DATEDIF(LoanData[[#This Row],[Approval_Date]],TODAY(),"M")</f>
        <v>52</v>
      </c>
      <c r="D658" s="31">
        <f>EDATE(LoanData[[#This Row],[Approval_Date]],LoanData[[#This Row],[Loan_Term_Months]])</f>
        <v>48311</v>
      </c>
      <c r="E658" t="str">
        <f t="shared" ca="1" si="10"/>
        <v>NO</v>
      </c>
      <c r="F658" s="33">
        <f>IFERROR(LoanData[[#This Row],[EMI]]/LoanData[[#This Row],[Monthly_Income]]*100," ")</f>
        <v>17.189941945364534</v>
      </c>
      <c r="G658" t="str" cm="1">
        <f t="array" ref="G658">_xlfn.IFS(F658&gt;40, "High DTI Risk",F658&gt;=25, "Moderate DTI",F658&lt;25, "Low DTI")</f>
        <v>Low DTI</v>
      </c>
      <c r="H658" t="str" cm="1">
        <f t="array" ref="H6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58" t="str">
        <f>_xlfn.XLOOKUP(H658,Reference_Tables!$B$2:$B$7,Reference_Tables!$C$2:$C$7,,0,1)</f>
        <v>HR</v>
      </c>
      <c r="J658" t="str">
        <f>INDEX(Reference_Tables!$D$11:$D$36,MATCH(LoanData[[#This Row],[Branch]],Reference_Tables!$A$11:$A$36,0))</f>
        <v>Arvind Pillai</v>
      </c>
      <c r="L658" s="35"/>
    </row>
    <row r="659" spans="2:12" ht="15.6" x14ac:dyDescent="0.3">
      <c r="B659" s="15">
        <f>DATEDIF(Loan_Data!K:K,Loan_Data!L:L,"D")</f>
        <v>24</v>
      </c>
      <c r="C659" s="15">
        <f ca="1">DATEDIF(LoanData[[#This Row],[Approval_Date]],TODAY(),"M")</f>
        <v>38</v>
      </c>
      <c r="D659" s="31">
        <f>EDATE(LoanData[[#This Row],[Approval_Date]],LoanData[[#This Row],[Loan_Term_Months]])</f>
        <v>48722</v>
      </c>
      <c r="E659" t="str">
        <f t="shared" ca="1" si="10"/>
        <v>NO</v>
      </c>
      <c r="F659" s="33">
        <f>IFERROR(LoanData[[#This Row],[EMI]]/LoanData[[#This Row],[Monthly_Income]]*100," ")</f>
        <v>0.51790192290577075</v>
      </c>
      <c r="G659" t="str" cm="1">
        <f t="array" ref="G659">_xlfn.IFS(F659&gt;40, "High DTI Risk",F659&gt;=25, "Moderate DTI",F659&lt;25, "Low DTI")</f>
        <v>Low DTI</v>
      </c>
      <c r="H659" t="str" cm="1">
        <f t="array" ref="H6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59" t="str">
        <f>_xlfn.XLOOKUP(H659,Reference_Tables!$B$2:$B$7,Reference_Tables!$C$2:$C$7,,0,1)</f>
        <v>HR</v>
      </c>
      <c r="J659" t="str">
        <f>INDEX(Reference_Tables!$D$11:$D$36,MATCH(LoanData[[#This Row],[Branch]],Reference_Tables!$A$11:$A$36,0))</f>
        <v>Rahul Kapoor</v>
      </c>
      <c r="L659" s="35"/>
    </row>
    <row r="660" spans="2:12" ht="15.6" x14ac:dyDescent="0.3">
      <c r="B660" s="15">
        <f>DATEDIF(Loan_Data!K:K,Loan_Data!L:L,"D")</f>
        <v>13</v>
      </c>
      <c r="C660" s="15">
        <f ca="1">DATEDIF(LoanData[[#This Row],[Approval_Date]],TODAY(),"M")</f>
        <v>37</v>
      </c>
      <c r="D660" s="31">
        <f>EDATE(LoanData[[#This Row],[Approval_Date]],LoanData[[#This Row],[Loan_Term_Months]])</f>
        <v>45851</v>
      </c>
      <c r="E660" t="str">
        <f t="shared" ca="1" si="10"/>
        <v>YES</v>
      </c>
      <c r="F660" s="33">
        <f>IFERROR(LoanData[[#This Row],[EMI]]/LoanData[[#This Row],[Monthly_Income]]*100," ")</f>
        <v>47.36198947928365</v>
      </c>
      <c r="G660" t="str" cm="1">
        <f t="array" ref="G660">_xlfn.IFS(F660&gt;40, "High DTI Risk",F660&gt;=25, "Moderate DTI",F660&lt;25, "Low DTI")</f>
        <v>High DTI Risk</v>
      </c>
      <c r="H660" t="str" cm="1">
        <f t="array" ref="H6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660" t="str">
        <f>_xlfn.XLOOKUP(H660,Reference_Tables!$B$2:$B$7,Reference_Tables!$C$2:$C$7,,0,1)</f>
        <v>UC</v>
      </c>
      <c r="J660" t="str">
        <f>INDEX(Reference_Tables!$D$11:$D$36,MATCH(LoanData[[#This Row],[Branch]],Reference_Tables!$A$11:$A$36,0))</f>
        <v>Tapan Panda</v>
      </c>
      <c r="L660" s="35"/>
    </row>
    <row r="661" spans="2:12" ht="15.6" x14ac:dyDescent="0.3">
      <c r="B661" s="15">
        <f>DATEDIF(Loan_Data!K:K,Loan_Data!L:L,"D")</f>
        <v>11</v>
      </c>
      <c r="C661" s="15">
        <f ca="1">DATEDIF(LoanData[[#This Row],[Approval_Date]],TODAY(),"M")</f>
        <v>40</v>
      </c>
      <c r="D661" s="31">
        <f>EDATE(LoanData[[#This Row],[Approval_Date]],LoanData[[#This Row],[Loan_Term_Months]])</f>
        <v>45749</v>
      </c>
      <c r="E661" t="str">
        <f t="shared" ca="1" si="10"/>
        <v>YES</v>
      </c>
      <c r="F661" s="33">
        <f>IFERROR(LoanData[[#This Row],[EMI]]/LoanData[[#This Row],[Monthly_Income]]*100," ")</f>
        <v>16.083551296991672</v>
      </c>
      <c r="G661" t="str" cm="1">
        <f t="array" ref="G661">_xlfn.IFS(F661&gt;40, "High DTI Risk",F661&gt;=25, "Moderate DTI",F661&lt;25, "Low DTI")</f>
        <v>Low DTI</v>
      </c>
      <c r="H661" t="str" cm="1">
        <f t="array" ref="H6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61" t="str">
        <f>_xlfn.XLOOKUP(H661,Reference_Tables!$B$2:$B$7,Reference_Tables!$C$2:$C$7,,0,1)</f>
        <v>LR</v>
      </c>
      <c r="J661" t="str">
        <f>INDEX(Reference_Tables!$D$11:$D$36,MATCH(LoanData[[#This Row],[Branch]],Reference_Tables!$A$11:$A$36,0))</f>
        <v>Tapan Panda</v>
      </c>
      <c r="L661" s="35"/>
    </row>
    <row r="662" spans="2:12" ht="15.6" x14ac:dyDescent="0.3">
      <c r="B662" s="15">
        <f>DATEDIF(Loan_Data!K:K,Loan_Data!L:L,"D")</f>
        <v>12</v>
      </c>
      <c r="C662" s="15">
        <f ca="1">DATEDIF(LoanData[[#This Row],[Approval_Date]],TODAY(),"M")</f>
        <v>63</v>
      </c>
      <c r="D662" s="31">
        <f>EDATE(LoanData[[#This Row],[Approval_Date]],LoanData[[#This Row],[Loan_Term_Months]])</f>
        <v>45042</v>
      </c>
      <c r="E662" t="str">
        <f t="shared" ca="1" si="10"/>
        <v>YES</v>
      </c>
      <c r="F662" s="33">
        <f>IFERROR(LoanData[[#This Row],[EMI]]/LoanData[[#This Row],[Monthly_Income]]*100," ")</f>
        <v>1.7708106918325515</v>
      </c>
      <c r="G662" t="str" cm="1">
        <f t="array" ref="G662">_xlfn.IFS(F662&gt;40, "High DTI Risk",F662&gt;=25, "Moderate DTI",F662&lt;25, "Low DTI")</f>
        <v>Low DTI</v>
      </c>
      <c r="H662" t="str" cm="1">
        <f t="array" ref="H6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62" t="str">
        <f>_xlfn.XLOOKUP(H662,Reference_Tables!$B$2:$B$7,Reference_Tables!$C$2:$C$7,,0,1)</f>
        <v>VHR</v>
      </c>
      <c r="J662" t="str">
        <f>INDEX(Reference_Tables!$D$11:$D$36,MATCH(LoanData[[#This Row],[Branch]],Reference_Tables!$A$11:$A$36,0))</f>
        <v>Suresh Menon</v>
      </c>
      <c r="L662" s="35"/>
    </row>
    <row r="663" spans="2:12" ht="15.6" x14ac:dyDescent="0.3">
      <c r="B663" s="15">
        <f>DATEDIF(Loan_Data!K:K,Loan_Data!L:L,"D")</f>
        <v>23</v>
      </c>
      <c r="C663" s="15">
        <f ca="1">DATEDIF(LoanData[[#This Row],[Approval_Date]],TODAY(),"M")</f>
        <v>37</v>
      </c>
      <c r="D663" s="31">
        <f>EDATE(LoanData[[#This Row],[Approval_Date]],LoanData[[#This Row],[Loan_Term_Months]])</f>
        <v>47666</v>
      </c>
      <c r="E663" t="str">
        <f t="shared" ca="1" si="10"/>
        <v>NO</v>
      </c>
      <c r="F663" s="33">
        <f>IFERROR(LoanData[[#This Row],[EMI]]/LoanData[[#This Row],[Monthly_Income]]*100," ")</f>
        <v>2.0622117389381462</v>
      </c>
      <c r="G663" t="str" cm="1">
        <f t="array" ref="G663">_xlfn.IFS(F663&gt;40, "High DTI Risk",F663&gt;=25, "Moderate DTI",F663&lt;25, "Low DTI")</f>
        <v>Low DTI</v>
      </c>
      <c r="H663" t="str" cm="1">
        <f t="array" ref="H6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63" t="str">
        <f>_xlfn.XLOOKUP(H663,Reference_Tables!$B$2:$B$7,Reference_Tables!$C$2:$C$7,,0,1)</f>
        <v>VHR</v>
      </c>
      <c r="J663" t="str">
        <f>INDEX(Reference_Tables!$D$11:$D$36,MATCH(LoanData[[#This Row],[Branch]],Reference_Tables!$A$11:$A$36,0))</f>
        <v>Amit Kumar</v>
      </c>
      <c r="L663" s="35"/>
    </row>
    <row r="664" spans="2:12" ht="15.6" x14ac:dyDescent="0.3">
      <c r="B664" s="15">
        <f>DATEDIF(Loan_Data!K:K,Loan_Data!L:L,"D")</f>
        <v>17</v>
      </c>
      <c r="C664" s="15">
        <f ca="1">DATEDIF(LoanData[[#This Row],[Approval_Date]],TODAY(),"M")</f>
        <v>47</v>
      </c>
      <c r="D664" s="31">
        <f>EDATE(LoanData[[#This Row],[Approval_Date]],LoanData[[#This Row],[Loan_Term_Months]])</f>
        <v>45913</v>
      </c>
      <c r="E664" t="str">
        <f t="shared" ca="1" si="10"/>
        <v>YES</v>
      </c>
      <c r="F664" s="33">
        <f>IFERROR(LoanData[[#This Row],[EMI]]/LoanData[[#This Row],[Monthly_Income]]*100," ")</f>
        <v>23.791751727189535</v>
      </c>
      <c r="G664" t="str" cm="1">
        <f t="array" ref="G664">_xlfn.IFS(F664&gt;40, "High DTI Risk",F664&gt;=25, "Moderate DTI",F664&lt;25, "Low DTI")</f>
        <v>Low DTI</v>
      </c>
      <c r="H664" t="str" cm="1">
        <f t="array" ref="H6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64" t="str">
        <f>_xlfn.XLOOKUP(H664,Reference_Tables!$B$2:$B$7,Reference_Tables!$C$2:$C$7,,0,1)</f>
        <v>LR</v>
      </c>
      <c r="J664" t="str">
        <f>INDEX(Reference_Tables!$D$11:$D$36,MATCH(LoanData[[#This Row],[Branch]],Reference_Tables!$A$11:$A$36,0))</f>
        <v>Anil Mishra</v>
      </c>
      <c r="L664" s="35"/>
    </row>
    <row r="665" spans="2:12" ht="15.6" x14ac:dyDescent="0.3">
      <c r="B665" s="15">
        <f>DATEDIF(Loan_Data!K:K,Loan_Data!L:L,"D")</f>
        <v>8</v>
      </c>
      <c r="C665" s="15">
        <f ca="1">DATEDIF(LoanData[[#This Row],[Approval_Date]],TODAY(),"M")</f>
        <v>62</v>
      </c>
      <c r="D665" s="31">
        <f>EDATE(LoanData[[#This Row],[Approval_Date]],LoanData[[#This Row],[Loan_Term_Months]])</f>
        <v>47997</v>
      </c>
      <c r="E665" t="str">
        <f t="shared" ca="1" si="10"/>
        <v>NO</v>
      </c>
      <c r="F665" s="33">
        <f>IFERROR(LoanData[[#This Row],[EMI]]/LoanData[[#This Row],[Monthly_Income]]*100," ")</f>
        <v>1.5286521003597893</v>
      </c>
      <c r="G665" t="str" cm="1">
        <f t="array" ref="G665">_xlfn.IFS(F665&gt;40, "High DTI Risk",F665&gt;=25, "Moderate DTI",F665&lt;25, "Low DTI")</f>
        <v>Low DTI</v>
      </c>
      <c r="H665" t="str" cm="1">
        <f t="array" ref="H6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65" t="str">
        <f>_xlfn.XLOOKUP(H665,Reference_Tables!$B$2:$B$7,Reference_Tables!$C$2:$C$7,,0,1)</f>
        <v>HR</v>
      </c>
      <c r="J665" t="str">
        <f>INDEX(Reference_Tables!$D$11:$D$36,MATCH(LoanData[[#This Row],[Branch]],Reference_Tables!$A$11:$A$36,0))</f>
        <v>Anil Mishra</v>
      </c>
      <c r="L665" s="35"/>
    </row>
    <row r="666" spans="2:12" ht="15.6" x14ac:dyDescent="0.3">
      <c r="B666" s="15">
        <f>DATEDIF(Loan_Data!K:K,Loan_Data!L:L,"D")</f>
        <v>26</v>
      </c>
      <c r="C666" s="15">
        <f ca="1">DATEDIF(LoanData[[#This Row],[Approval_Date]],TODAY(),"M")</f>
        <v>50</v>
      </c>
      <c r="D666" s="31">
        <f>EDATE(LoanData[[#This Row],[Approval_Date]],LoanData[[#This Row],[Loan_Term_Months]])</f>
        <v>45806</v>
      </c>
      <c r="E666" t="str">
        <f t="shared" ca="1" si="10"/>
        <v>YES</v>
      </c>
      <c r="F666" s="33">
        <f>IFERROR(LoanData[[#This Row],[EMI]]/LoanData[[#This Row],[Monthly_Income]]*100," ")</f>
        <v>4.6997012091256876</v>
      </c>
      <c r="G666" t="str" cm="1">
        <f t="array" ref="G666">_xlfn.IFS(F666&gt;40, "High DTI Risk",F666&gt;=25, "Moderate DTI",F666&lt;25, "Low DTI")</f>
        <v>Low DTI</v>
      </c>
      <c r="H666" t="str" cm="1">
        <f t="array" ref="H6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66" t="str">
        <f>_xlfn.XLOOKUP(H666,Reference_Tables!$B$2:$B$7,Reference_Tables!$C$2:$C$7,,0,1)</f>
        <v>VHR</v>
      </c>
      <c r="J666" t="str">
        <f>INDEX(Reference_Tables!$D$11:$D$36,MATCH(LoanData[[#This Row],[Branch]],Reference_Tables!$A$11:$A$36,0))</f>
        <v>Lakshmi Reddy</v>
      </c>
      <c r="L666" s="35"/>
    </row>
    <row r="667" spans="2:12" ht="15.6" x14ac:dyDescent="0.3">
      <c r="B667" s="15">
        <f>DATEDIF(Loan_Data!K:K,Loan_Data!L:L,"D")</f>
        <v>3</v>
      </c>
      <c r="C667" s="15">
        <f ca="1">DATEDIF(LoanData[[#This Row],[Approval_Date]],TODAY(),"M")</f>
        <v>35</v>
      </c>
      <c r="D667" s="31">
        <f>EDATE(LoanData[[#This Row],[Approval_Date]],LoanData[[#This Row],[Loan_Term_Months]])</f>
        <v>46260</v>
      </c>
      <c r="E667" t="str">
        <f t="shared" ca="1" si="10"/>
        <v>NO</v>
      </c>
      <c r="F667" s="33">
        <f>IFERROR(LoanData[[#This Row],[EMI]]/LoanData[[#This Row],[Monthly_Income]]*100," ")</f>
        <v>35.459098242984005</v>
      </c>
      <c r="G667" t="str" cm="1">
        <f t="array" ref="G667">_xlfn.IFS(F667&gt;40, "High DTI Risk",F667&gt;=25, "Moderate DTI",F667&lt;25, "Low DTI")</f>
        <v>Moderate DTI</v>
      </c>
      <c r="H667" t="str" cm="1">
        <f t="array" ref="H6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67" t="str">
        <f>_xlfn.XLOOKUP(H667,Reference_Tables!$B$2:$B$7,Reference_Tables!$C$2:$C$7,,0,1)</f>
        <v>VHR</v>
      </c>
      <c r="J667" t="str">
        <f>INDEX(Reference_Tables!$D$11:$D$36,MATCH(LoanData[[#This Row],[Branch]],Reference_Tables!$A$11:$A$36,0))</f>
        <v>Debashis Das</v>
      </c>
      <c r="L667" s="35"/>
    </row>
    <row r="668" spans="2:12" ht="15.6" x14ac:dyDescent="0.3">
      <c r="B668" s="15">
        <f>DATEDIF(Loan_Data!K:K,Loan_Data!L:L,"D")</f>
        <v>29</v>
      </c>
      <c r="C668" s="15">
        <f ca="1">DATEDIF(LoanData[[#This Row],[Approval_Date]],TODAY(),"M")</f>
        <v>66</v>
      </c>
      <c r="D668" s="31">
        <f>EDATE(LoanData[[#This Row],[Approval_Date]],LoanData[[#This Row],[Loan_Term_Months]])</f>
        <v>45321</v>
      </c>
      <c r="E668" t="str">
        <f t="shared" ca="1" si="10"/>
        <v>YES</v>
      </c>
      <c r="F668" s="33">
        <f>IFERROR(LoanData[[#This Row],[EMI]]/LoanData[[#This Row],[Monthly_Income]]*100," ")</f>
        <v>4.92767908913605</v>
      </c>
      <c r="G668" t="str" cm="1">
        <f t="array" ref="G668">_xlfn.IFS(F668&gt;40, "High DTI Risk",F668&gt;=25, "Moderate DTI",F668&lt;25, "Low DTI")</f>
        <v>Low DTI</v>
      </c>
      <c r="H668" t="str" cm="1">
        <f t="array" ref="H6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68" t="str">
        <f>_xlfn.XLOOKUP(H668,Reference_Tables!$B$2:$B$7,Reference_Tables!$C$2:$C$7,,0,1)</f>
        <v>VHR</v>
      </c>
      <c r="J668" t="str">
        <f>INDEX(Reference_Tables!$D$11:$D$36,MATCH(LoanData[[#This Row],[Branch]],Reference_Tables!$A$11:$A$36,0))</f>
        <v>Deepak Nair</v>
      </c>
      <c r="L668" s="35"/>
    </row>
    <row r="669" spans="2:12" ht="15.6" x14ac:dyDescent="0.3">
      <c r="B669" s="15">
        <f>DATEDIF(Loan_Data!K:K,Loan_Data!L:L,"D")</f>
        <v>18</v>
      </c>
      <c r="C669" s="15">
        <f ca="1">DATEDIF(LoanData[[#This Row],[Approval_Date]],TODAY(),"M")</f>
        <v>31</v>
      </c>
      <c r="D669" s="31">
        <f>EDATE(LoanData[[#This Row],[Approval_Date]],LoanData[[#This Row],[Loan_Term_Months]])</f>
        <v>46762</v>
      </c>
      <c r="E669" t="str">
        <f t="shared" ca="1" si="10"/>
        <v>NO</v>
      </c>
      <c r="F669" s="33">
        <f>IFERROR(LoanData[[#This Row],[EMI]]/LoanData[[#This Row],[Monthly_Income]]*100," ")</f>
        <v>1.291664498673188</v>
      </c>
      <c r="G669" t="str" cm="1">
        <f t="array" ref="G669">_xlfn.IFS(F669&gt;40, "High DTI Risk",F669&gt;=25, "Moderate DTI",F669&lt;25, "Low DTI")</f>
        <v>Low DTI</v>
      </c>
      <c r="H669" t="str" cm="1">
        <f t="array" ref="H6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69" t="str">
        <f>_xlfn.XLOOKUP(H669,Reference_Tables!$B$2:$B$7,Reference_Tables!$C$2:$C$7,,0,1)</f>
        <v>VHR</v>
      </c>
      <c r="J669" t="str">
        <f>INDEX(Reference_Tables!$D$11:$D$36,MATCH(LoanData[[#This Row],[Branch]],Reference_Tables!$A$11:$A$36,0))</f>
        <v>Rituparna Bora</v>
      </c>
      <c r="L669" s="35"/>
    </row>
    <row r="670" spans="2:12" ht="15.6" x14ac:dyDescent="0.3">
      <c r="B670" s="15">
        <f>DATEDIF(Loan_Data!K:K,Loan_Data!L:L,"D")</f>
        <v>25</v>
      </c>
      <c r="C670" s="15">
        <f ca="1">DATEDIF(LoanData[[#This Row],[Approval_Date]],TODAY(),"M")</f>
        <v>39</v>
      </c>
      <c r="D670" s="31">
        <f>EDATE(LoanData[[#This Row],[Approval_Date]],LoanData[[#This Row],[Loan_Term_Months]])</f>
        <v>46156</v>
      </c>
      <c r="E670" t="str">
        <f t="shared" ca="1" si="10"/>
        <v>YES</v>
      </c>
      <c r="F670" s="33">
        <f>IFERROR(LoanData[[#This Row],[EMI]]/LoanData[[#This Row],[Monthly_Income]]*100," ")</f>
        <v>13.184946880143647</v>
      </c>
      <c r="G670" t="str" cm="1">
        <f t="array" ref="G670">_xlfn.IFS(F670&gt;40, "High DTI Risk",F670&gt;=25, "Moderate DTI",F670&lt;25, "Low DTI")</f>
        <v>Low DTI</v>
      </c>
      <c r="H670" t="str" cm="1">
        <f t="array" ref="H6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70" t="str">
        <f>_xlfn.XLOOKUP(H670,Reference_Tables!$B$2:$B$7,Reference_Tables!$C$2:$C$7,,0,1)</f>
        <v>MR</v>
      </c>
      <c r="J670" t="str">
        <f>INDEX(Reference_Tables!$D$11:$D$36,MATCH(LoanData[[#This Row],[Branch]],Reference_Tables!$A$11:$A$36,0))</f>
        <v>Anil Mishra</v>
      </c>
      <c r="L670" s="35"/>
    </row>
    <row r="671" spans="2:12" ht="15.6" x14ac:dyDescent="0.3">
      <c r="B671" s="15">
        <f>DATEDIF(Loan_Data!K:K,Loan_Data!L:L,"D")</f>
        <v>4</v>
      </c>
      <c r="C671" s="15">
        <f ca="1">DATEDIF(LoanData[[#This Row],[Approval_Date]],TODAY(),"M")</f>
        <v>35</v>
      </c>
      <c r="D671" s="31">
        <f>EDATE(LoanData[[#This Row],[Approval_Date]],LoanData[[#This Row],[Loan_Term_Months]])</f>
        <v>47720</v>
      </c>
      <c r="E671" t="str">
        <f t="shared" ca="1" si="10"/>
        <v>NO</v>
      </c>
      <c r="F671" s="33">
        <f>IFERROR(LoanData[[#This Row],[EMI]]/LoanData[[#This Row],[Monthly_Income]]*100," ")</f>
        <v>0.46858708232021323</v>
      </c>
      <c r="G671" t="str" cm="1">
        <f t="array" ref="G671">_xlfn.IFS(F671&gt;40, "High DTI Risk",F671&gt;=25, "Moderate DTI",F671&lt;25, "Low DTI")</f>
        <v>Low DTI</v>
      </c>
      <c r="H671" t="str" cm="1">
        <f t="array" ref="H6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71" t="str">
        <f>_xlfn.XLOOKUP(H671,Reference_Tables!$B$2:$B$7,Reference_Tables!$C$2:$C$7,,0,1)</f>
        <v>LR</v>
      </c>
      <c r="J671" t="str">
        <f>INDEX(Reference_Tables!$D$11:$D$36,MATCH(LoanData[[#This Row],[Branch]],Reference_Tables!$A$11:$A$36,0))</f>
        <v>Nilesh Shah</v>
      </c>
      <c r="L671" s="35"/>
    </row>
    <row r="672" spans="2:12" ht="15.6" x14ac:dyDescent="0.3">
      <c r="B672" s="15">
        <f>DATEDIF(Loan_Data!K:K,Loan_Data!L:L,"D")</f>
        <v>15</v>
      </c>
      <c r="C672" s="15">
        <f ca="1">DATEDIF(LoanData[[#This Row],[Approval_Date]],TODAY(),"M")</f>
        <v>59</v>
      </c>
      <c r="D672" s="31">
        <f>EDATE(LoanData[[#This Row],[Approval_Date]],LoanData[[#This Row],[Loan_Term_Months]])</f>
        <v>45888</v>
      </c>
      <c r="E672" t="str">
        <f t="shared" ca="1" si="10"/>
        <v>YES</v>
      </c>
      <c r="F672" s="33">
        <f>IFERROR(LoanData[[#This Row],[EMI]]/LoanData[[#This Row],[Monthly_Income]]*100," ")</f>
        <v>9.9986070895849775</v>
      </c>
      <c r="G672" t="str" cm="1">
        <f t="array" ref="G672">_xlfn.IFS(F672&gt;40, "High DTI Risk",F672&gt;=25, "Moderate DTI",F672&lt;25, "Low DTI")</f>
        <v>Low DTI</v>
      </c>
      <c r="H672" t="str" cm="1">
        <f t="array" ref="H6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72" t="str">
        <f>_xlfn.XLOOKUP(H672,Reference_Tables!$B$2:$B$7,Reference_Tables!$C$2:$C$7,,0,1)</f>
        <v>MR</v>
      </c>
      <c r="J672" t="str">
        <f>INDEX(Reference_Tables!$D$11:$D$36,MATCH(LoanData[[#This Row],[Branch]],Reference_Tables!$A$11:$A$36,0))</f>
        <v>Santhosh Rao</v>
      </c>
      <c r="L672" s="35"/>
    </row>
    <row r="673" spans="2:12" ht="15.6" x14ac:dyDescent="0.3">
      <c r="B673" s="15">
        <f>DATEDIF(Loan_Data!K:K,Loan_Data!L:L,"D")</f>
        <v>13</v>
      </c>
      <c r="C673" s="15">
        <f ca="1">DATEDIF(LoanData[[#This Row],[Approval_Date]],TODAY(),"M")</f>
        <v>61</v>
      </c>
      <c r="D673" s="31">
        <f>EDATE(LoanData[[#This Row],[Approval_Date]],LoanData[[#This Row],[Loan_Term_Months]])</f>
        <v>44755</v>
      </c>
      <c r="E673" t="str">
        <f t="shared" ca="1" si="10"/>
        <v>YES</v>
      </c>
      <c r="F673" s="33">
        <f>IFERROR(LoanData[[#This Row],[EMI]]/LoanData[[#This Row],[Monthly_Income]]*100," ")</f>
        <v>15.739918880383176</v>
      </c>
      <c r="G673" t="str" cm="1">
        <f t="array" ref="G673">_xlfn.IFS(F673&gt;40, "High DTI Risk",F673&gt;=25, "Moderate DTI",F673&lt;25, "Low DTI")</f>
        <v>Low DTI</v>
      </c>
      <c r="H673" t="str" cm="1">
        <f t="array" ref="H6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73" t="str">
        <f>_xlfn.XLOOKUP(H673,Reference_Tables!$B$2:$B$7,Reference_Tables!$C$2:$C$7,,0,1)</f>
        <v>VHR</v>
      </c>
      <c r="J673" t="str">
        <f>INDEX(Reference_Tables!$D$11:$D$36,MATCH(LoanData[[#This Row],[Branch]],Reference_Tables!$A$11:$A$36,0))</f>
        <v>Nilesh Shah</v>
      </c>
      <c r="L673" s="35"/>
    </row>
    <row r="674" spans="2:12" ht="15.6" x14ac:dyDescent="0.3">
      <c r="B674" s="15">
        <f>DATEDIF(Loan_Data!K:K,Loan_Data!L:L,"D")</f>
        <v>26</v>
      </c>
      <c r="C674" s="15">
        <f ca="1">DATEDIF(LoanData[[#This Row],[Approval_Date]],TODAY(),"M")</f>
        <v>34</v>
      </c>
      <c r="D674" s="31">
        <f>EDATE(LoanData[[#This Row],[Approval_Date]],LoanData[[#This Row],[Loan_Term_Months]])</f>
        <v>52507</v>
      </c>
      <c r="E674" t="str">
        <f t="shared" ca="1" si="10"/>
        <v>NO</v>
      </c>
      <c r="F674" s="33">
        <f>IFERROR(LoanData[[#This Row],[EMI]]/LoanData[[#This Row],[Monthly_Income]]*100," ")</f>
        <v>0.57332639229544802</v>
      </c>
      <c r="G674" t="str" cm="1">
        <f t="array" ref="G674">_xlfn.IFS(F674&gt;40, "High DTI Risk",F674&gt;=25, "Moderate DTI",F674&lt;25, "Low DTI")</f>
        <v>Low DTI</v>
      </c>
      <c r="H674" t="str" cm="1">
        <f t="array" ref="H6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74" t="str">
        <f>_xlfn.XLOOKUP(H674,Reference_Tables!$B$2:$B$7,Reference_Tables!$C$2:$C$7,,0,1)</f>
        <v>VHR</v>
      </c>
      <c r="J674" t="str">
        <f>INDEX(Reference_Tables!$D$11:$D$36,MATCH(LoanData[[#This Row],[Branch]],Reference_Tables!$A$11:$A$36,0))</f>
        <v>Puja Chatterjee</v>
      </c>
      <c r="L674" s="35"/>
    </row>
    <row r="675" spans="2:12" ht="15.6" x14ac:dyDescent="0.3">
      <c r="B675" s="15">
        <f>DATEDIF(Loan_Data!K:K,Loan_Data!L:L,"D")</f>
        <v>12</v>
      </c>
      <c r="C675" s="15">
        <f ca="1">DATEDIF(LoanData[[#This Row],[Approval_Date]],TODAY(),"M")</f>
        <v>47</v>
      </c>
      <c r="D675" s="31">
        <f>EDATE(LoanData[[#This Row],[Approval_Date]],LoanData[[#This Row],[Loan_Term_Months]])</f>
        <v>47359</v>
      </c>
      <c r="E675" t="str">
        <f t="shared" ca="1" si="10"/>
        <v>NO</v>
      </c>
      <c r="F675" s="33">
        <f>IFERROR(LoanData[[#This Row],[EMI]]/LoanData[[#This Row],[Monthly_Income]]*100," ")</f>
        <v>1.5820235294117646</v>
      </c>
      <c r="G675" t="str" cm="1">
        <f t="array" ref="G675">_xlfn.IFS(F675&gt;40, "High DTI Risk",F675&gt;=25, "Moderate DTI",F675&lt;25, "Low DTI")</f>
        <v>Low DTI</v>
      </c>
      <c r="H675" t="str" cm="1">
        <f t="array" ref="H6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75" t="str">
        <f>_xlfn.XLOOKUP(H675,Reference_Tables!$B$2:$B$7,Reference_Tables!$C$2:$C$7,,0,1)</f>
        <v>LR</v>
      </c>
      <c r="J675" t="str">
        <f>INDEX(Reference_Tables!$D$11:$D$36,MATCH(LoanData[[#This Row],[Branch]],Reference_Tables!$A$11:$A$36,0))</f>
        <v>Hetal Patel</v>
      </c>
      <c r="L675" s="35"/>
    </row>
    <row r="676" spans="2:12" ht="15.6" x14ac:dyDescent="0.3">
      <c r="B676" s="15">
        <f>DATEDIF(Loan_Data!K:K,Loan_Data!L:L,"D")</f>
        <v>19</v>
      </c>
      <c r="C676" s="15">
        <f ca="1">DATEDIF(LoanData[[#This Row],[Approval_Date]],TODAY(),"M")</f>
        <v>37</v>
      </c>
      <c r="D676" s="31">
        <f>EDATE(LoanData[[#This Row],[Approval_Date]],LoanData[[#This Row],[Loan_Term_Months]])</f>
        <v>50581</v>
      </c>
      <c r="E676" t="str">
        <f t="shared" ca="1" si="10"/>
        <v>NO</v>
      </c>
      <c r="F676" s="33">
        <f>IFERROR(LoanData[[#This Row],[EMI]]/LoanData[[#This Row],[Monthly_Income]]*100," ")</f>
        <v>0.55153365869618554</v>
      </c>
      <c r="G676" t="str" cm="1">
        <f t="array" ref="G676">_xlfn.IFS(F676&gt;40, "High DTI Risk",F676&gt;=25, "Moderate DTI",F676&lt;25, "Low DTI")</f>
        <v>Low DTI</v>
      </c>
      <c r="H676" t="str" cm="1">
        <f t="array" ref="H6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76" t="str">
        <f>_xlfn.XLOOKUP(H676,Reference_Tables!$B$2:$B$7,Reference_Tables!$C$2:$C$7,,0,1)</f>
        <v>VHR</v>
      </c>
      <c r="J676" t="str">
        <f>INDEX(Reference_Tables!$D$11:$D$36,MATCH(LoanData[[#This Row],[Branch]],Reference_Tables!$A$11:$A$36,0))</f>
        <v>Sandeep Saxena</v>
      </c>
      <c r="L676" s="35"/>
    </row>
    <row r="677" spans="2:12" ht="15.6" x14ac:dyDescent="0.3">
      <c r="B677" s="15">
        <f>DATEDIF(Loan_Data!K:K,Loan_Data!L:L,"D")</f>
        <v>15</v>
      </c>
      <c r="C677" s="15">
        <f ca="1">DATEDIF(LoanData[[#This Row],[Approval_Date]],TODAY(),"M")</f>
        <v>31</v>
      </c>
      <c r="D677" s="31">
        <f>EDATE(LoanData[[#This Row],[Approval_Date]],LoanData[[#This Row],[Loan_Term_Months]])</f>
        <v>45655</v>
      </c>
      <c r="E677" t="str">
        <f t="shared" ca="1" si="10"/>
        <v>YES</v>
      </c>
      <c r="F677" s="33">
        <f>IFERROR(LoanData[[#This Row],[EMI]]/LoanData[[#This Row],[Monthly_Income]]*100," ")</f>
        <v>18.426139634330198</v>
      </c>
      <c r="G677" t="str" cm="1">
        <f t="array" ref="G677">_xlfn.IFS(F677&gt;40, "High DTI Risk",F677&gt;=25, "Moderate DTI",F677&lt;25, "Low DTI")</f>
        <v>Low DTI</v>
      </c>
      <c r="H677" t="str" cm="1">
        <f t="array" ref="H6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77" t="str">
        <f>_xlfn.XLOOKUP(H677,Reference_Tables!$B$2:$B$7,Reference_Tables!$C$2:$C$7,,0,1)</f>
        <v>LR</v>
      </c>
      <c r="J677" t="str">
        <f>INDEX(Reference_Tables!$D$11:$D$36,MATCH(LoanData[[#This Row],[Branch]],Reference_Tables!$A$11:$A$36,0))</f>
        <v>Lakshmi Reddy</v>
      </c>
      <c r="L677" s="35"/>
    </row>
    <row r="678" spans="2:12" ht="15.6" x14ac:dyDescent="0.3">
      <c r="B678" s="15">
        <f>DATEDIF(Loan_Data!K:K,Loan_Data!L:L,"D")</f>
        <v>9</v>
      </c>
      <c r="C678" s="15">
        <f ca="1">DATEDIF(LoanData[[#This Row],[Approval_Date]],TODAY(),"M")</f>
        <v>31</v>
      </c>
      <c r="D678" s="31">
        <f>EDATE(LoanData[[#This Row],[Approval_Date]],LoanData[[#This Row],[Loan_Term_Months]])</f>
        <v>45656</v>
      </c>
      <c r="E678" t="str">
        <f t="shared" ca="1" si="10"/>
        <v>YES</v>
      </c>
      <c r="F678" s="33">
        <f>IFERROR(LoanData[[#This Row],[EMI]]/LoanData[[#This Row],[Monthly_Income]]*100," ")</f>
        <v>3.3087718780437418</v>
      </c>
      <c r="G678" t="str" cm="1">
        <f t="array" ref="G678">_xlfn.IFS(F678&gt;40, "High DTI Risk",F678&gt;=25, "Moderate DTI",F678&lt;25, "Low DTI")</f>
        <v>Low DTI</v>
      </c>
      <c r="H678" t="str" cm="1">
        <f t="array" ref="H6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78" t="str">
        <f>_xlfn.XLOOKUP(H678,Reference_Tables!$B$2:$B$7,Reference_Tables!$C$2:$C$7,,0,1)</f>
        <v>VHR</v>
      </c>
      <c r="J678" t="str">
        <f>INDEX(Reference_Tables!$D$11:$D$36,MATCH(LoanData[[#This Row],[Branch]],Reference_Tables!$A$11:$A$36,0))</f>
        <v>Ananya Sharma</v>
      </c>
      <c r="L678" s="35"/>
    </row>
    <row r="679" spans="2:12" ht="15.6" x14ac:dyDescent="0.3">
      <c r="B679" s="15">
        <f>DATEDIF(Loan_Data!K:K,Loan_Data!L:L,"D")</f>
        <v>9</v>
      </c>
      <c r="C679" s="15">
        <f ca="1">DATEDIF(LoanData[[#This Row],[Approval_Date]],TODAY(),"M")</f>
        <v>66</v>
      </c>
      <c r="D679" s="31">
        <f>EDATE(LoanData[[#This Row],[Approval_Date]],LoanData[[#This Row],[Loan_Term_Months]])</f>
        <v>44599</v>
      </c>
      <c r="E679" t="str">
        <f t="shared" ca="1" si="10"/>
        <v>YES</v>
      </c>
      <c r="F679" s="33">
        <f>IFERROR(LoanData[[#This Row],[EMI]]/LoanData[[#This Row],[Monthly_Income]]*100," ")</f>
        <v>6.7054864509029466</v>
      </c>
      <c r="G679" t="str" cm="1">
        <f t="array" ref="G679">_xlfn.IFS(F679&gt;40, "High DTI Risk",F679&gt;=25, "Moderate DTI",F679&lt;25, "Low DTI")</f>
        <v>Low DTI</v>
      </c>
      <c r="H679" t="str" cm="1">
        <f t="array" ref="H6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79" t="str">
        <f>_xlfn.XLOOKUP(H679,Reference_Tables!$B$2:$B$7,Reference_Tables!$C$2:$C$7,,0,1)</f>
        <v>VHR</v>
      </c>
      <c r="J679" t="str">
        <f>INDEX(Reference_Tables!$D$11:$D$36,MATCH(LoanData[[#This Row],[Branch]],Reference_Tables!$A$11:$A$36,0))</f>
        <v>Rituparna Bora</v>
      </c>
      <c r="L679" s="35"/>
    </row>
    <row r="680" spans="2:12" ht="15.6" x14ac:dyDescent="0.3">
      <c r="B680" s="15">
        <f>DATEDIF(Loan_Data!K:K,Loan_Data!L:L,"D")</f>
        <v>21</v>
      </c>
      <c r="C680" s="15">
        <f ca="1">DATEDIF(LoanData[[#This Row],[Approval_Date]],TODAY(),"M")</f>
        <v>41</v>
      </c>
      <c r="D680" s="31">
        <f>EDATE(LoanData[[#This Row],[Approval_Date]],LoanData[[#This Row],[Loan_Term_Months]])</f>
        <v>45727</v>
      </c>
      <c r="E680" t="str">
        <f t="shared" ca="1" si="10"/>
        <v>YES</v>
      </c>
      <c r="F680" s="33">
        <f>IFERROR(LoanData[[#This Row],[EMI]]/LoanData[[#This Row],[Monthly_Income]]*100," ")</f>
        <v>3.7458834098403759</v>
      </c>
      <c r="G680" t="str" cm="1">
        <f t="array" ref="G680">_xlfn.IFS(F680&gt;40, "High DTI Risk",F680&gt;=25, "Moderate DTI",F680&lt;25, "Low DTI")</f>
        <v>Low DTI</v>
      </c>
      <c r="H680" t="str" cm="1">
        <f t="array" ref="H6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80" t="str">
        <f>_xlfn.XLOOKUP(H680,Reference_Tables!$B$2:$B$7,Reference_Tables!$C$2:$C$7,,0,1)</f>
        <v>VHR</v>
      </c>
      <c r="J680" t="str">
        <f>INDEX(Reference_Tables!$D$11:$D$36,MATCH(LoanData[[#This Row],[Branch]],Reference_Tables!$A$11:$A$36,0))</f>
        <v>Anil Mishra</v>
      </c>
      <c r="L680" s="35"/>
    </row>
    <row r="681" spans="2:12" ht="15.6" x14ac:dyDescent="0.3">
      <c r="B681" s="15">
        <f>DATEDIF(Loan_Data!K:K,Loan_Data!L:L,"D")</f>
        <v>16</v>
      </c>
      <c r="C681" s="15">
        <f ca="1">DATEDIF(LoanData[[#This Row],[Approval_Date]],TODAY(),"M")</f>
        <v>31</v>
      </c>
      <c r="D681" s="31">
        <f>EDATE(LoanData[[#This Row],[Approval_Date]],LoanData[[#This Row],[Loan_Term_Months]])</f>
        <v>47116</v>
      </c>
      <c r="E681" t="str">
        <f t="shared" ca="1" si="10"/>
        <v>NO</v>
      </c>
      <c r="F681" s="33">
        <f>IFERROR(LoanData[[#This Row],[EMI]]/LoanData[[#This Row],[Monthly_Income]]*100," ")</f>
        <v>3.5727828435194287</v>
      </c>
      <c r="G681" t="str" cm="1">
        <f t="array" ref="G681">_xlfn.IFS(F681&gt;40, "High DTI Risk",F681&gt;=25, "Moderate DTI",F681&lt;25, "Low DTI")</f>
        <v>Low DTI</v>
      </c>
      <c r="H681" t="str" cm="1">
        <f t="array" ref="H6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81" t="str">
        <f>_xlfn.XLOOKUP(H681,Reference_Tables!$B$2:$B$7,Reference_Tables!$C$2:$C$7,,0,1)</f>
        <v>VHR</v>
      </c>
      <c r="J681" t="str">
        <f>INDEX(Reference_Tables!$D$11:$D$36,MATCH(LoanData[[#This Row],[Branch]],Reference_Tables!$A$11:$A$36,0))</f>
        <v>Ravi Verma</v>
      </c>
      <c r="L681" s="35"/>
    </row>
    <row r="682" spans="2:12" ht="15.6" x14ac:dyDescent="0.3">
      <c r="B682" s="15">
        <f>DATEDIF(Loan_Data!K:K,Loan_Data!L:L,"D")</f>
        <v>11</v>
      </c>
      <c r="C682" s="15">
        <f ca="1">DATEDIF(LoanData[[#This Row],[Approval_Date]],TODAY(),"M")</f>
        <v>41</v>
      </c>
      <c r="D682" s="31">
        <f>EDATE(LoanData[[#This Row],[Approval_Date]],LoanData[[#This Row],[Loan_Term_Months]])</f>
        <v>50482</v>
      </c>
      <c r="E682" t="str">
        <f t="shared" ca="1" si="10"/>
        <v>NO</v>
      </c>
      <c r="F682" s="33">
        <f>IFERROR(LoanData[[#This Row],[EMI]]/LoanData[[#This Row],[Monthly_Income]]*100," ")</f>
        <v>1.0091109530583213</v>
      </c>
      <c r="G682" t="str" cm="1">
        <f t="array" ref="G682">_xlfn.IFS(F682&gt;40, "High DTI Risk",F682&gt;=25, "Moderate DTI",F682&lt;25, "Low DTI")</f>
        <v>Low DTI</v>
      </c>
      <c r="H682" t="str" cm="1">
        <f t="array" ref="H6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82" t="str">
        <f>_xlfn.XLOOKUP(H682,Reference_Tables!$B$2:$B$7,Reference_Tables!$C$2:$C$7,,0,1)</f>
        <v>VHR</v>
      </c>
      <c r="J682" t="str">
        <f>INDEX(Reference_Tables!$D$11:$D$36,MATCH(LoanData[[#This Row],[Branch]],Reference_Tables!$A$11:$A$36,0))</f>
        <v>Arvind Pillai</v>
      </c>
      <c r="L682" s="35"/>
    </row>
    <row r="683" spans="2:12" ht="15.6" x14ac:dyDescent="0.3">
      <c r="B683" s="15">
        <f>DATEDIF(Loan_Data!K:K,Loan_Data!L:L,"D")</f>
        <v>5</v>
      </c>
      <c r="C683" s="15">
        <f ca="1">DATEDIF(LoanData[[#This Row],[Approval_Date]],TODAY(),"M")</f>
        <v>39</v>
      </c>
      <c r="D683" s="31">
        <f>EDATE(LoanData[[#This Row],[Approval_Date]],LoanData[[#This Row],[Loan_Term_Months]])</f>
        <v>45411</v>
      </c>
      <c r="E683" t="str">
        <f t="shared" ca="1" si="10"/>
        <v>YES</v>
      </c>
      <c r="F683" s="33">
        <f>IFERROR(LoanData[[#This Row],[EMI]]/LoanData[[#This Row],[Monthly_Income]]*100," ")</f>
        <v>2.91050060185513</v>
      </c>
      <c r="G683" t="str" cm="1">
        <f t="array" ref="G683">_xlfn.IFS(F683&gt;40, "High DTI Risk",F683&gt;=25, "Moderate DTI",F683&lt;25, "Low DTI")</f>
        <v>Low DTI</v>
      </c>
      <c r="H683" t="str" cm="1">
        <f t="array" ref="H6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83" t="str">
        <f>_xlfn.XLOOKUP(H683,Reference_Tables!$B$2:$B$7,Reference_Tables!$C$2:$C$7,,0,1)</f>
        <v>HR</v>
      </c>
      <c r="J683" t="str">
        <f>INDEX(Reference_Tables!$D$11:$D$36,MATCH(LoanData[[#This Row],[Branch]],Reference_Tables!$A$11:$A$36,0))</f>
        <v>Kavita Joshi</v>
      </c>
      <c r="L683" s="35"/>
    </row>
    <row r="684" spans="2:12" ht="15.6" x14ac:dyDescent="0.3">
      <c r="B684" s="15">
        <f>DATEDIF(Loan_Data!K:K,Loan_Data!L:L,"D")</f>
        <v>21</v>
      </c>
      <c r="C684" s="15">
        <f ca="1">DATEDIF(LoanData[[#This Row],[Approval_Date]],TODAY(),"M")</f>
        <v>40</v>
      </c>
      <c r="D684" s="31">
        <f>EDATE(LoanData[[#This Row],[Approval_Date]],LoanData[[#This Row],[Loan_Term_Months]])</f>
        <v>45737</v>
      </c>
      <c r="E684" t="str">
        <f t="shared" ca="1" si="10"/>
        <v>YES</v>
      </c>
      <c r="F684" s="33">
        <f>IFERROR(LoanData[[#This Row],[EMI]]/LoanData[[#This Row],[Monthly_Income]]*100," ")</f>
        <v>2.8983804232178745</v>
      </c>
      <c r="G684" t="str" cm="1">
        <f t="array" ref="G684">_xlfn.IFS(F684&gt;40, "High DTI Risk",F684&gt;=25, "Moderate DTI",F684&lt;25, "Low DTI")</f>
        <v>Low DTI</v>
      </c>
      <c r="H684" t="str" cm="1">
        <f t="array" ref="H6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84" t="str">
        <f>_xlfn.XLOOKUP(H684,Reference_Tables!$B$2:$B$7,Reference_Tables!$C$2:$C$7,,0,1)</f>
        <v>HR</v>
      </c>
      <c r="J684" t="str">
        <f>INDEX(Reference_Tables!$D$11:$D$36,MATCH(LoanData[[#This Row],[Branch]],Reference_Tables!$A$11:$A$36,0))</f>
        <v>Jigar Mehta</v>
      </c>
      <c r="L684" s="35"/>
    </row>
    <row r="685" spans="2:12" ht="15.6" x14ac:dyDescent="0.3">
      <c r="B685" s="15">
        <f>DATEDIF(Loan_Data!K:K,Loan_Data!L:L,"D")</f>
        <v>11</v>
      </c>
      <c r="C685" s="15">
        <f ca="1">DATEDIF(LoanData[[#This Row],[Approval_Date]],TODAY(),"M")</f>
        <v>62</v>
      </c>
      <c r="D685" s="31">
        <f>EDATE(LoanData[[#This Row],[Approval_Date]],LoanData[[#This Row],[Loan_Term_Months]])</f>
        <v>49833</v>
      </c>
      <c r="E685" t="str">
        <f t="shared" ca="1" si="10"/>
        <v>NO</v>
      </c>
      <c r="F685" s="33">
        <f>IFERROR(LoanData[[#This Row],[EMI]]/LoanData[[#This Row],[Monthly_Income]]*100," ")</f>
        <v>1.1883848133848134</v>
      </c>
      <c r="G685" t="str" cm="1">
        <f t="array" ref="G685">_xlfn.IFS(F685&gt;40, "High DTI Risk",F685&gt;=25, "Moderate DTI",F685&lt;25, "Low DTI")</f>
        <v>Low DTI</v>
      </c>
      <c r="H685" t="str" cm="1">
        <f t="array" ref="H6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85" t="str">
        <f>_xlfn.XLOOKUP(H685,Reference_Tables!$B$2:$B$7,Reference_Tables!$C$2:$C$7,,0,1)</f>
        <v>LR</v>
      </c>
      <c r="J685" t="str">
        <f>INDEX(Reference_Tables!$D$11:$D$36,MATCH(LoanData[[#This Row],[Branch]],Reference_Tables!$A$11:$A$36,0))</f>
        <v>Sandeep Saxena</v>
      </c>
      <c r="L685" s="35"/>
    </row>
    <row r="686" spans="2:12" ht="15.6" x14ac:dyDescent="0.3">
      <c r="B686" s="15">
        <f>DATEDIF(Loan_Data!K:K,Loan_Data!L:L,"D")</f>
        <v>25</v>
      </c>
      <c r="C686" s="15">
        <f ca="1">DATEDIF(LoanData[[#This Row],[Approval_Date]],TODAY(),"M")</f>
        <v>46</v>
      </c>
      <c r="D686" s="31">
        <f>EDATE(LoanData[[#This Row],[Approval_Date]],LoanData[[#This Row],[Loan_Term_Months]])</f>
        <v>45575</v>
      </c>
      <c r="E686" t="str">
        <f t="shared" ca="1" si="10"/>
        <v>YES</v>
      </c>
      <c r="F686" s="33">
        <f>IFERROR(LoanData[[#This Row],[EMI]]/LoanData[[#This Row],[Monthly_Income]]*100," ")</f>
        <v>5.3633570829345532</v>
      </c>
      <c r="G686" t="str" cm="1">
        <f t="array" ref="G686">_xlfn.IFS(F686&gt;40, "High DTI Risk",F686&gt;=25, "Moderate DTI",F686&lt;25, "Low DTI")</f>
        <v>Low DTI</v>
      </c>
      <c r="H686" t="str" cm="1">
        <f t="array" ref="H6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86" t="str">
        <f>_xlfn.XLOOKUP(H686,Reference_Tables!$B$2:$B$7,Reference_Tables!$C$2:$C$7,,0,1)</f>
        <v>LR</v>
      </c>
      <c r="J686" t="str">
        <f>INDEX(Reference_Tables!$D$11:$D$36,MATCH(LoanData[[#This Row],[Branch]],Reference_Tables!$A$11:$A$36,0))</f>
        <v>Amit Kumar</v>
      </c>
      <c r="L686" s="35"/>
    </row>
    <row r="687" spans="2:12" ht="15.6" x14ac:dyDescent="0.3">
      <c r="B687" s="15">
        <f>DATEDIF(Loan_Data!K:K,Loan_Data!L:L,"D")</f>
        <v>5</v>
      </c>
      <c r="C687" s="15">
        <f ca="1">DATEDIF(LoanData[[#This Row],[Approval_Date]],TODAY(),"M")</f>
        <v>63</v>
      </c>
      <c r="D687" s="31">
        <f>EDATE(LoanData[[#This Row],[Approval_Date]],LoanData[[#This Row],[Loan_Term_Months]])</f>
        <v>44691</v>
      </c>
      <c r="E687" t="str">
        <f t="shared" ca="1" si="10"/>
        <v>YES</v>
      </c>
      <c r="F687" s="33">
        <f>IFERROR(LoanData[[#This Row],[EMI]]/LoanData[[#This Row],[Monthly_Income]]*100," ")</f>
        <v>6.8921307772193545</v>
      </c>
      <c r="G687" t="str" cm="1">
        <f t="array" ref="G687">_xlfn.IFS(F687&gt;40, "High DTI Risk",F687&gt;=25, "Moderate DTI",F687&lt;25, "Low DTI")</f>
        <v>Low DTI</v>
      </c>
      <c r="H687" t="str" cm="1">
        <f t="array" ref="H6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687" t="str">
        <f>_xlfn.XLOOKUP(H687,Reference_Tables!$B$2:$B$7,Reference_Tables!$C$2:$C$7,,0,1)</f>
        <v>HR</v>
      </c>
      <c r="J687" t="str">
        <f>INDEX(Reference_Tables!$D$11:$D$36,MATCH(LoanData[[#This Row],[Branch]],Reference_Tables!$A$11:$A$36,0))</f>
        <v>Hetal Patel</v>
      </c>
      <c r="L687" s="35"/>
    </row>
    <row r="688" spans="2:12" ht="15.6" x14ac:dyDescent="0.3">
      <c r="B688" s="15">
        <f>DATEDIF(Loan_Data!K:K,Loan_Data!L:L,"D")</f>
        <v>19</v>
      </c>
      <c r="C688" s="15">
        <f ca="1">DATEDIF(LoanData[[#This Row],[Approval_Date]],TODAY(),"M")</f>
        <v>38</v>
      </c>
      <c r="D688" s="31">
        <f>EDATE(LoanData[[#This Row],[Approval_Date]],LoanData[[#This Row],[Loan_Term_Months]])</f>
        <v>45806</v>
      </c>
      <c r="E688" t="str">
        <f t="shared" ca="1" si="10"/>
        <v>YES</v>
      </c>
      <c r="F688" s="33">
        <f>IFERROR(LoanData[[#This Row],[EMI]]/LoanData[[#This Row],[Monthly_Income]]*100," ")</f>
        <v>2.5292802836364037</v>
      </c>
      <c r="G688" t="str" cm="1">
        <f t="array" ref="G688">_xlfn.IFS(F688&gt;40, "High DTI Risk",F688&gt;=25, "Moderate DTI",F688&lt;25, "Low DTI")</f>
        <v>Low DTI</v>
      </c>
      <c r="H688" t="str" cm="1">
        <f t="array" ref="H6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88" t="str">
        <f>_xlfn.XLOOKUP(H688,Reference_Tables!$B$2:$B$7,Reference_Tables!$C$2:$C$7,,0,1)</f>
        <v>MR</v>
      </c>
      <c r="J688" t="str">
        <f>INDEX(Reference_Tables!$D$11:$D$36,MATCH(LoanData[[#This Row],[Branch]],Reference_Tables!$A$11:$A$36,0))</f>
        <v>Priyanka Gupta</v>
      </c>
      <c r="L688" s="35"/>
    </row>
    <row r="689" spans="2:12" ht="15.6" x14ac:dyDescent="0.3">
      <c r="B689" s="15">
        <f>DATEDIF(Loan_Data!K:K,Loan_Data!L:L,"D")</f>
        <v>24</v>
      </c>
      <c r="C689" s="15">
        <f ca="1">DATEDIF(LoanData[[#This Row],[Approval_Date]],TODAY(),"M")</f>
        <v>41</v>
      </c>
      <c r="D689" s="31">
        <f>EDATE(LoanData[[#This Row],[Approval_Date]],LoanData[[#This Row],[Loan_Term_Months]])</f>
        <v>45721</v>
      </c>
      <c r="E689" t="str">
        <f t="shared" ca="1" si="10"/>
        <v>YES</v>
      </c>
      <c r="F689" s="33">
        <f>IFERROR(LoanData[[#This Row],[EMI]]/LoanData[[#This Row],[Monthly_Income]]*100," ")</f>
        <v>9.4832169878359736</v>
      </c>
      <c r="G689" t="str" cm="1">
        <f t="array" ref="G689">_xlfn.IFS(F689&gt;40, "High DTI Risk",F689&gt;=25, "Moderate DTI",F689&lt;25, "Low DTI")</f>
        <v>Low DTI</v>
      </c>
      <c r="H689" t="str" cm="1">
        <f t="array" ref="H6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89" t="str">
        <f>_xlfn.XLOOKUP(H689,Reference_Tables!$B$2:$B$7,Reference_Tables!$C$2:$C$7,,0,1)</f>
        <v>VHR</v>
      </c>
      <c r="J689" t="str">
        <f>INDEX(Reference_Tables!$D$11:$D$36,MATCH(LoanData[[#This Row],[Branch]],Reference_Tables!$A$11:$A$36,0))</f>
        <v>Ananya Sharma</v>
      </c>
      <c r="L689" s="35"/>
    </row>
    <row r="690" spans="2:12" ht="15.6" x14ac:dyDescent="0.3">
      <c r="B690" s="15">
        <f>DATEDIF(Loan_Data!K:K,Loan_Data!L:L,"D")</f>
        <v>20</v>
      </c>
      <c r="C690" s="15">
        <f ca="1">DATEDIF(LoanData[[#This Row],[Approval_Date]],TODAY(),"M")</f>
        <v>31</v>
      </c>
      <c r="D690" s="31">
        <f>EDATE(LoanData[[#This Row],[Approval_Date]],LoanData[[#This Row],[Loan_Term_Months]])</f>
        <v>46753</v>
      </c>
      <c r="E690" t="str">
        <f t="shared" ca="1" si="10"/>
        <v>NO</v>
      </c>
      <c r="F690" s="33">
        <f>IFERROR(LoanData[[#This Row],[EMI]]/LoanData[[#This Row],[Monthly_Income]]*100," ")</f>
        <v>1.3718042399237205</v>
      </c>
      <c r="G690" t="str" cm="1">
        <f t="array" ref="G690">_xlfn.IFS(F690&gt;40, "High DTI Risk",F690&gt;=25, "Moderate DTI",F690&lt;25, "Low DTI")</f>
        <v>Low DTI</v>
      </c>
      <c r="H690" t="str" cm="1">
        <f t="array" ref="H6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90" t="str">
        <f>_xlfn.XLOOKUP(H690,Reference_Tables!$B$2:$B$7,Reference_Tables!$C$2:$C$7,,0,1)</f>
        <v>VHR</v>
      </c>
      <c r="J690" t="str">
        <f>INDEX(Reference_Tables!$D$11:$D$36,MATCH(LoanData[[#This Row],[Branch]],Reference_Tables!$A$11:$A$36,0))</f>
        <v>Sandeep Saxena</v>
      </c>
      <c r="L690" s="35"/>
    </row>
    <row r="691" spans="2:12" ht="15.6" x14ac:dyDescent="0.3">
      <c r="B691" s="15">
        <f>DATEDIF(Loan_Data!K:K,Loan_Data!L:L,"D")</f>
        <v>27</v>
      </c>
      <c r="C691" s="15">
        <f ca="1">DATEDIF(LoanData[[#This Row],[Approval_Date]],TODAY(),"M")</f>
        <v>45</v>
      </c>
      <c r="D691" s="31">
        <f>EDATE(LoanData[[#This Row],[Approval_Date]],LoanData[[#This Row],[Loan_Term_Months]])</f>
        <v>46319</v>
      </c>
      <c r="E691" t="str">
        <f t="shared" ca="1" si="10"/>
        <v>NO</v>
      </c>
      <c r="F691" s="33">
        <f>IFERROR(LoanData[[#This Row],[EMI]]/LoanData[[#This Row],[Monthly_Income]]*100," ")</f>
        <v>2.7012231767242905</v>
      </c>
      <c r="G691" t="str" cm="1">
        <f t="array" ref="G691">_xlfn.IFS(F691&gt;40, "High DTI Risk",F691&gt;=25, "Moderate DTI",F691&lt;25, "Low DTI")</f>
        <v>Low DTI</v>
      </c>
      <c r="H691" t="str" cm="1">
        <f t="array" ref="H6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691" t="str">
        <f>_xlfn.XLOOKUP(H691,Reference_Tables!$B$2:$B$7,Reference_Tables!$C$2:$C$7,,0,1)</f>
        <v>MR</v>
      </c>
      <c r="J691" t="str">
        <f>INDEX(Reference_Tables!$D$11:$D$36,MATCH(LoanData[[#This Row],[Branch]],Reference_Tables!$A$11:$A$36,0))</f>
        <v>Priya Yadav</v>
      </c>
      <c r="L691" s="35"/>
    </row>
    <row r="692" spans="2:12" ht="15.6" x14ac:dyDescent="0.3">
      <c r="B692" s="15">
        <f>DATEDIF(Loan_Data!K:K,Loan_Data!L:L,"D")</f>
        <v>11</v>
      </c>
      <c r="C692" s="15">
        <f ca="1">DATEDIF(LoanData[[#This Row],[Approval_Date]],TODAY(),"M")</f>
        <v>48</v>
      </c>
      <c r="D692" s="31">
        <f>EDATE(LoanData[[#This Row],[Approval_Date]],LoanData[[#This Row],[Loan_Term_Months]])</f>
        <v>45153</v>
      </c>
      <c r="E692" t="str">
        <f t="shared" ca="1" si="10"/>
        <v>YES</v>
      </c>
      <c r="F692" s="33">
        <f>IFERROR(LoanData[[#This Row],[EMI]]/LoanData[[#This Row],[Monthly_Income]]*100," ")</f>
        <v>8.1169556533573726</v>
      </c>
      <c r="G692" t="str" cm="1">
        <f t="array" ref="G692">_xlfn.IFS(F692&gt;40, "High DTI Risk",F692&gt;=25, "Moderate DTI",F692&lt;25, "Low DTI")</f>
        <v>Low DTI</v>
      </c>
      <c r="H692" t="str" cm="1">
        <f t="array" ref="H6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92" t="str">
        <f>_xlfn.XLOOKUP(H692,Reference_Tables!$B$2:$B$7,Reference_Tables!$C$2:$C$7,,0,1)</f>
        <v>VHR</v>
      </c>
      <c r="J692" t="str">
        <f>INDEX(Reference_Tables!$D$11:$D$36,MATCH(LoanData[[#This Row],[Branch]],Reference_Tables!$A$11:$A$36,0))</f>
        <v>Nilesh Shah</v>
      </c>
      <c r="L692" s="35"/>
    </row>
    <row r="693" spans="2:12" ht="15.6" x14ac:dyDescent="0.3">
      <c r="B693" s="15">
        <f>DATEDIF(Loan_Data!K:K,Loan_Data!L:L,"D")</f>
        <v>7</v>
      </c>
      <c r="C693" s="15">
        <f ca="1">DATEDIF(LoanData[[#This Row],[Approval_Date]],TODAY(),"M")</f>
        <v>61</v>
      </c>
      <c r="D693" s="31">
        <f>EDATE(LoanData[[#This Row],[Approval_Date]],LoanData[[#This Row],[Loan_Term_Months]])</f>
        <v>46203</v>
      </c>
      <c r="E693" t="str">
        <f t="shared" ca="1" si="10"/>
        <v>YES</v>
      </c>
      <c r="F693" s="33">
        <f>IFERROR(LoanData[[#This Row],[EMI]]/LoanData[[#This Row],[Monthly_Income]]*100," ")</f>
        <v>2.916140492667239</v>
      </c>
      <c r="G693" t="str" cm="1">
        <f t="array" ref="G693">_xlfn.IFS(F693&gt;40, "High DTI Risk",F693&gt;=25, "Moderate DTI",F693&lt;25, "Low DTI")</f>
        <v>Low DTI</v>
      </c>
      <c r="H693" t="str" cm="1">
        <f t="array" ref="H6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93" t="str">
        <f>_xlfn.XLOOKUP(H693,Reference_Tables!$B$2:$B$7,Reference_Tables!$C$2:$C$7,,0,1)</f>
        <v>LR</v>
      </c>
      <c r="J693" t="str">
        <f>INDEX(Reference_Tables!$D$11:$D$36,MATCH(LoanData[[#This Row],[Branch]],Reference_Tables!$A$11:$A$36,0))</f>
        <v>Arvind Pillai</v>
      </c>
      <c r="L693" s="35"/>
    </row>
    <row r="694" spans="2:12" ht="15.6" x14ac:dyDescent="0.3">
      <c r="B694" s="15">
        <f>DATEDIF(Loan_Data!K:K,Loan_Data!L:L,"D")</f>
        <v>15</v>
      </c>
      <c r="C694" s="15">
        <f ca="1">DATEDIF(LoanData[[#This Row],[Approval_Date]],TODAY(),"M")</f>
        <v>53</v>
      </c>
      <c r="D694" s="31">
        <f>EDATE(LoanData[[#This Row],[Approval_Date]],LoanData[[#This Row],[Loan_Term_Months]])</f>
        <v>45368</v>
      </c>
      <c r="E694" t="str">
        <f t="shared" ca="1" si="10"/>
        <v>YES</v>
      </c>
      <c r="F694" s="33">
        <f>IFERROR(LoanData[[#This Row],[EMI]]/LoanData[[#This Row],[Monthly_Income]]*100," ")</f>
        <v>2.0125343145844283</v>
      </c>
      <c r="G694" t="str" cm="1">
        <f t="array" ref="G694">_xlfn.IFS(F694&gt;40, "High DTI Risk",F694&gt;=25, "Moderate DTI",F694&lt;25, "Low DTI")</f>
        <v>Low DTI</v>
      </c>
      <c r="H694" t="str" cm="1">
        <f t="array" ref="H6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94" t="str">
        <f>_xlfn.XLOOKUP(H694,Reference_Tables!$B$2:$B$7,Reference_Tables!$C$2:$C$7,,0,1)</f>
        <v>VHR</v>
      </c>
      <c r="J694" t="str">
        <f>INDEX(Reference_Tables!$D$11:$D$36,MATCH(LoanData[[#This Row],[Branch]],Reference_Tables!$A$11:$A$36,0))</f>
        <v>Ananya Sharma</v>
      </c>
      <c r="L694" s="35"/>
    </row>
    <row r="695" spans="2:12" ht="15.6" x14ac:dyDescent="0.3">
      <c r="B695" s="15">
        <f>DATEDIF(Loan_Data!K:K,Loan_Data!L:L,"D")</f>
        <v>9</v>
      </c>
      <c r="C695" s="15">
        <f ca="1">DATEDIF(LoanData[[#This Row],[Approval_Date]],TODAY(),"M")</f>
        <v>64</v>
      </c>
      <c r="D695" s="31">
        <f>EDATE(LoanData[[#This Row],[Approval_Date]],LoanData[[#This Row],[Loan_Term_Months]])</f>
        <v>45742</v>
      </c>
      <c r="E695" t="str">
        <f t="shared" ca="1" si="10"/>
        <v>YES</v>
      </c>
      <c r="F695" s="33">
        <f>IFERROR(LoanData[[#This Row],[EMI]]/LoanData[[#This Row],[Monthly_Income]]*100," ")</f>
        <v>5.442726947819871</v>
      </c>
      <c r="G695" t="str" cm="1">
        <f t="array" ref="G695">_xlfn.IFS(F695&gt;40, "High DTI Risk",F695&gt;=25, "Moderate DTI",F695&lt;25, "Low DTI")</f>
        <v>Low DTI</v>
      </c>
      <c r="H695" t="str" cm="1">
        <f t="array" ref="H6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95" t="str">
        <f>_xlfn.XLOOKUP(H695,Reference_Tables!$B$2:$B$7,Reference_Tables!$C$2:$C$7,,0,1)</f>
        <v>LR</v>
      </c>
      <c r="J695" t="str">
        <f>INDEX(Reference_Tables!$D$11:$D$36,MATCH(LoanData[[#This Row],[Branch]],Reference_Tables!$A$11:$A$36,0))</f>
        <v>Jigar Mehta</v>
      </c>
      <c r="L695" s="35"/>
    </row>
    <row r="696" spans="2:12" ht="15.6" x14ac:dyDescent="0.3">
      <c r="B696" s="15">
        <f>DATEDIF(Loan_Data!K:K,Loan_Data!L:L,"D")</f>
        <v>26</v>
      </c>
      <c r="C696" s="15">
        <f ca="1">DATEDIF(LoanData[[#This Row],[Approval_Date]],TODAY(),"M")</f>
        <v>66</v>
      </c>
      <c r="D696" s="31">
        <f>EDATE(LoanData[[#This Row],[Approval_Date]],LoanData[[#This Row],[Loan_Term_Months]])</f>
        <v>46070</v>
      </c>
      <c r="E696" t="str">
        <f t="shared" ca="1" si="10"/>
        <v>YES</v>
      </c>
      <c r="F696" s="33" t="str">
        <f>IFERROR(LoanData[[#This Row],[EMI]]/LoanData[[#This Row],[Monthly_Income]]*100," ")</f>
        <v xml:space="preserve"> </v>
      </c>
      <c r="G696" t="str" cm="1">
        <f t="array" ref="G696">_xlfn.IFS(F696&gt;40, "High DTI Risk",F696&gt;=25, "Moderate DTI",F696&lt;25, "Low DTI")</f>
        <v>High DTI Risk</v>
      </c>
      <c r="H696" t="str" cm="1">
        <f t="array" ref="H6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96" t="str">
        <f>_xlfn.XLOOKUP(H696,Reference_Tables!$B$2:$B$7,Reference_Tables!$C$2:$C$7,,0,1)</f>
        <v>VHR</v>
      </c>
      <c r="J696" t="str">
        <f>INDEX(Reference_Tables!$D$11:$D$36,MATCH(LoanData[[#This Row],[Branch]],Reference_Tables!$A$11:$A$36,0))</f>
        <v>Rituparna Bora</v>
      </c>
      <c r="L696" s="35"/>
    </row>
    <row r="697" spans="2:12" ht="15.6" x14ac:dyDescent="0.3">
      <c r="B697" s="15">
        <f>DATEDIF(Loan_Data!K:K,Loan_Data!L:L,"D")</f>
        <v>27</v>
      </c>
      <c r="C697" s="15">
        <f ca="1">DATEDIF(LoanData[[#This Row],[Approval_Date]],TODAY(),"M")</f>
        <v>44</v>
      </c>
      <c r="D697" s="31">
        <f>EDATE(LoanData[[#This Row],[Approval_Date]],LoanData[[#This Row],[Loan_Term_Months]])</f>
        <v>52191</v>
      </c>
      <c r="E697" t="str">
        <f t="shared" ca="1" si="10"/>
        <v>NO</v>
      </c>
      <c r="F697" s="33">
        <f>IFERROR(LoanData[[#This Row],[EMI]]/LoanData[[#This Row],[Monthly_Income]]*100," ")</f>
        <v>0.98693772656874912</v>
      </c>
      <c r="G697" t="str" cm="1">
        <f t="array" ref="G697">_xlfn.IFS(F697&gt;40, "High DTI Risk",F697&gt;=25, "Moderate DTI",F697&lt;25, "Low DTI")</f>
        <v>Low DTI</v>
      </c>
      <c r="H697" t="str" cm="1">
        <f t="array" ref="H6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97" t="str">
        <f>_xlfn.XLOOKUP(H697,Reference_Tables!$B$2:$B$7,Reference_Tables!$C$2:$C$7,,0,1)</f>
        <v>VHR</v>
      </c>
      <c r="J697" t="str">
        <f>INDEX(Reference_Tables!$D$11:$D$36,MATCH(LoanData[[#This Row],[Branch]],Reference_Tables!$A$11:$A$36,0))</f>
        <v>Priya Yadav</v>
      </c>
      <c r="L697" s="35"/>
    </row>
    <row r="698" spans="2:12" ht="15.6" x14ac:dyDescent="0.3">
      <c r="B698" s="15">
        <f>DATEDIF(Loan_Data!K:K,Loan_Data!L:L,"D")</f>
        <v>14</v>
      </c>
      <c r="C698" s="15">
        <f ca="1">DATEDIF(LoanData[[#This Row],[Approval_Date]],TODAY(),"M")</f>
        <v>38</v>
      </c>
      <c r="D698" s="31">
        <f>EDATE(LoanData[[#This Row],[Approval_Date]],LoanData[[#This Row],[Loan_Term_Months]])</f>
        <v>46183</v>
      </c>
      <c r="E698" t="str">
        <f t="shared" ca="1" si="10"/>
        <v>YES</v>
      </c>
      <c r="F698" s="33">
        <f>IFERROR(LoanData[[#This Row],[EMI]]/LoanData[[#This Row],[Monthly_Income]]*100," ")</f>
        <v>1.0890297197648806</v>
      </c>
      <c r="G698" t="str" cm="1">
        <f t="array" ref="G698">_xlfn.IFS(F698&gt;40, "High DTI Risk",F698&gt;=25, "Moderate DTI",F698&lt;25, "Low DTI")</f>
        <v>Low DTI</v>
      </c>
      <c r="H698" t="str" cm="1">
        <f t="array" ref="H6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698" t="str">
        <f>_xlfn.XLOOKUP(H698,Reference_Tables!$B$2:$B$7,Reference_Tables!$C$2:$C$7,,0,1)</f>
        <v>LR</v>
      </c>
      <c r="J698" t="str">
        <f>INDEX(Reference_Tables!$D$11:$D$36,MATCH(LoanData[[#This Row],[Branch]],Reference_Tables!$A$11:$A$36,0))</f>
        <v>Priyanka Gupta</v>
      </c>
      <c r="L698" s="35"/>
    </row>
    <row r="699" spans="2:12" ht="15.6" x14ac:dyDescent="0.3">
      <c r="B699" s="15">
        <f>DATEDIF(Loan_Data!K:K,Loan_Data!L:L,"D")</f>
        <v>18</v>
      </c>
      <c r="C699" s="15">
        <f ca="1">DATEDIF(LoanData[[#This Row],[Approval_Date]],TODAY(),"M")</f>
        <v>49</v>
      </c>
      <c r="D699" s="31">
        <f>EDATE(LoanData[[#This Row],[Approval_Date]],LoanData[[#This Row],[Loan_Term_Months]])</f>
        <v>45827</v>
      </c>
      <c r="E699" t="str">
        <f t="shared" ca="1" si="10"/>
        <v>YES</v>
      </c>
      <c r="F699" s="33">
        <f>IFERROR(LoanData[[#This Row],[EMI]]/LoanData[[#This Row],[Monthly_Income]]*100," ")</f>
        <v>7.5028320366874031</v>
      </c>
      <c r="G699" t="str" cm="1">
        <f t="array" ref="G699">_xlfn.IFS(F699&gt;40, "High DTI Risk",F699&gt;=25, "Moderate DTI",F699&lt;25, "Low DTI")</f>
        <v>Low DTI</v>
      </c>
      <c r="H699" t="str" cm="1">
        <f t="array" ref="H6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699" t="str">
        <f>_xlfn.XLOOKUP(H699,Reference_Tables!$B$2:$B$7,Reference_Tables!$C$2:$C$7,,0,1)</f>
        <v>VHR</v>
      </c>
      <c r="J699" t="str">
        <f>INDEX(Reference_Tables!$D$11:$D$36,MATCH(LoanData[[#This Row],[Branch]],Reference_Tables!$A$11:$A$36,0))</f>
        <v>Tapan Panda</v>
      </c>
      <c r="L699" s="35"/>
    </row>
    <row r="700" spans="2:12" ht="15.6" x14ac:dyDescent="0.3">
      <c r="B700" s="15">
        <f>DATEDIF(Loan_Data!K:K,Loan_Data!L:L,"D")</f>
        <v>7</v>
      </c>
      <c r="C700" s="15">
        <f ca="1">DATEDIF(LoanData[[#This Row],[Approval_Date]],TODAY(),"M")</f>
        <v>47</v>
      </c>
      <c r="D700" s="31">
        <f>EDATE(LoanData[[#This Row],[Approval_Date]],LoanData[[#This Row],[Loan_Term_Months]])</f>
        <v>50281</v>
      </c>
      <c r="E700" t="str">
        <f t="shared" ca="1" si="10"/>
        <v>NO</v>
      </c>
      <c r="F700" s="33">
        <f>IFERROR(LoanData[[#This Row],[EMI]]/LoanData[[#This Row],[Monthly_Income]]*100," ")</f>
        <v>3.6245351914508728</v>
      </c>
      <c r="G700" t="str" cm="1">
        <f t="array" ref="G700">_xlfn.IFS(F700&gt;40, "High DTI Risk",F700&gt;=25, "Moderate DTI",F700&lt;25, "Low DTI")</f>
        <v>Low DTI</v>
      </c>
      <c r="H700" t="str" cm="1">
        <f t="array" ref="H7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00" t="str">
        <f>_xlfn.XLOOKUP(H700,Reference_Tables!$B$2:$B$7,Reference_Tables!$C$2:$C$7,,0,1)</f>
        <v>HR</v>
      </c>
      <c r="J700" t="str">
        <f>INDEX(Reference_Tables!$D$11:$D$36,MATCH(LoanData[[#This Row],[Branch]],Reference_Tables!$A$11:$A$36,0))</f>
        <v>Rituparna Bora</v>
      </c>
      <c r="L700" s="35"/>
    </row>
    <row r="701" spans="2:12" ht="15.6" x14ac:dyDescent="0.3">
      <c r="B701" s="15">
        <f>DATEDIF(Loan_Data!K:K,Loan_Data!L:L,"D")</f>
        <v>12</v>
      </c>
      <c r="C701" s="15">
        <f ca="1">DATEDIF(LoanData[[#This Row],[Approval_Date]],TODAY(),"M")</f>
        <v>47</v>
      </c>
      <c r="D701" s="31">
        <f>EDATE(LoanData[[#This Row],[Approval_Date]],LoanData[[#This Row],[Loan_Term_Months]])</f>
        <v>46253</v>
      </c>
      <c r="E701" t="str">
        <f t="shared" ca="1" si="10"/>
        <v>NO</v>
      </c>
      <c r="F701" s="33">
        <f>IFERROR(LoanData[[#This Row],[EMI]]/LoanData[[#This Row],[Monthly_Income]]*100," ")</f>
        <v>2.043951769739401</v>
      </c>
      <c r="G701" t="str" cm="1">
        <f t="array" ref="G701">_xlfn.IFS(F701&gt;40, "High DTI Risk",F701&gt;=25, "Moderate DTI",F701&lt;25, "Low DTI")</f>
        <v>Low DTI</v>
      </c>
      <c r="H701" t="str" cm="1">
        <f t="array" ref="H7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01" t="str">
        <f>_xlfn.XLOOKUP(H701,Reference_Tables!$B$2:$B$7,Reference_Tables!$C$2:$C$7,,0,1)</f>
        <v>HR</v>
      </c>
      <c r="J701" t="str">
        <f>INDEX(Reference_Tables!$D$11:$D$36,MATCH(LoanData[[#This Row],[Branch]],Reference_Tables!$A$11:$A$36,0))</f>
        <v>Kavita Joshi</v>
      </c>
      <c r="L701" s="35"/>
    </row>
    <row r="702" spans="2:12" ht="15.6" x14ac:dyDescent="0.3">
      <c r="B702" s="15">
        <f>DATEDIF(Loan_Data!K:K,Loan_Data!L:L,"D")</f>
        <v>28</v>
      </c>
      <c r="C702" s="15">
        <f ca="1">DATEDIF(LoanData[[#This Row],[Approval_Date]],TODAY(),"M")</f>
        <v>64</v>
      </c>
      <c r="D702" s="31">
        <f>EDATE(LoanData[[#This Row],[Approval_Date]],LoanData[[#This Row],[Loan_Term_Months]])</f>
        <v>45034</v>
      </c>
      <c r="E702" t="str">
        <f t="shared" ca="1" si="10"/>
        <v>YES</v>
      </c>
      <c r="F702" s="33">
        <f>IFERROR(LoanData[[#This Row],[EMI]]/LoanData[[#This Row],[Monthly_Income]]*100," ")</f>
        <v>3.8871481998517829</v>
      </c>
      <c r="G702" t="str" cm="1">
        <f t="array" ref="G702">_xlfn.IFS(F702&gt;40, "High DTI Risk",F702&gt;=25, "Moderate DTI",F702&lt;25, "Low DTI")</f>
        <v>Low DTI</v>
      </c>
      <c r="H702" t="str" cm="1">
        <f t="array" ref="H7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02" t="str">
        <f>_xlfn.XLOOKUP(H702,Reference_Tables!$B$2:$B$7,Reference_Tables!$C$2:$C$7,,0,1)</f>
        <v>VHR</v>
      </c>
      <c r="J702" t="str">
        <f>INDEX(Reference_Tables!$D$11:$D$36,MATCH(LoanData[[#This Row],[Branch]],Reference_Tables!$A$11:$A$36,0))</f>
        <v>Ravi Verma</v>
      </c>
      <c r="L702" s="35"/>
    </row>
    <row r="703" spans="2:12" ht="15.6" x14ac:dyDescent="0.3">
      <c r="B703" s="15">
        <f>DATEDIF(Loan_Data!K:K,Loan_Data!L:L,"D")</f>
        <v>9</v>
      </c>
      <c r="C703" s="15">
        <f ca="1">DATEDIF(LoanData[[#This Row],[Approval_Date]],TODAY(),"M")</f>
        <v>33</v>
      </c>
      <c r="D703" s="31">
        <f>EDATE(LoanData[[#This Row],[Approval_Date]],LoanData[[#This Row],[Loan_Term_Months]])</f>
        <v>45972</v>
      </c>
      <c r="E703" t="str">
        <f t="shared" ca="1" si="10"/>
        <v>YES</v>
      </c>
      <c r="F703" s="33">
        <f>IFERROR(LoanData[[#This Row],[EMI]]/LoanData[[#This Row],[Monthly_Income]]*100," ")</f>
        <v>3.3912470426051158</v>
      </c>
      <c r="G703" t="str" cm="1">
        <f t="array" ref="G703">_xlfn.IFS(F703&gt;40, "High DTI Risk",F703&gt;=25, "Moderate DTI",F703&lt;25, "Low DTI")</f>
        <v>Low DTI</v>
      </c>
      <c r="H703" t="str" cm="1">
        <f t="array" ref="H7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03" t="str">
        <f>_xlfn.XLOOKUP(H703,Reference_Tables!$B$2:$B$7,Reference_Tables!$C$2:$C$7,,0,1)</f>
        <v>VHR</v>
      </c>
      <c r="J703" t="str">
        <f>INDEX(Reference_Tables!$D$11:$D$36,MATCH(LoanData[[#This Row],[Branch]],Reference_Tables!$A$11:$A$36,0))</f>
        <v>Ravi Verma</v>
      </c>
      <c r="L703" s="35"/>
    </row>
    <row r="704" spans="2:12" ht="15.6" x14ac:dyDescent="0.3">
      <c r="B704" s="15">
        <f>DATEDIF(Loan_Data!K:K,Loan_Data!L:L,"D")</f>
        <v>20</v>
      </c>
      <c r="C704" s="15">
        <f ca="1">DATEDIF(LoanData[[#This Row],[Approval_Date]],TODAY(),"M")</f>
        <v>32</v>
      </c>
      <c r="D704" s="31">
        <f>EDATE(LoanData[[#This Row],[Approval_Date]],LoanData[[#This Row],[Loan_Term_Months]])</f>
        <v>52569</v>
      </c>
      <c r="E704" t="str">
        <f t="shared" ca="1" si="10"/>
        <v>NO</v>
      </c>
      <c r="F704" s="33">
        <f>IFERROR(LoanData[[#This Row],[EMI]]/LoanData[[#This Row],[Monthly_Income]]*100," ")</f>
        <v>1.5172404496805327</v>
      </c>
      <c r="G704" t="str" cm="1">
        <f t="array" ref="G704">_xlfn.IFS(F704&gt;40, "High DTI Risk",F704&gt;=25, "Moderate DTI",F704&lt;25, "Low DTI")</f>
        <v>Low DTI</v>
      </c>
      <c r="H704" t="str" cm="1">
        <f t="array" ref="H7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704" t="str">
        <f>_xlfn.XLOOKUP(H704,Reference_Tables!$B$2:$B$7,Reference_Tables!$C$2:$C$7,,0,1)</f>
        <v>UC</v>
      </c>
      <c r="J704" t="str">
        <f>INDEX(Reference_Tables!$D$11:$D$36,MATCH(LoanData[[#This Row],[Branch]],Reference_Tables!$A$11:$A$36,0))</f>
        <v>Anil Mishra</v>
      </c>
      <c r="L704" s="35"/>
    </row>
    <row r="705" spans="2:12" ht="15.6" x14ac:dyDescent="0.3">
      <c r="B705" s="15">
        <f>DATEDIF(Loan_Data!K:K,Loan_Data!L:L,"D")</f>
        <v>3</v>
      </c>
      <c r="C705" s="15">
        <f ca="1">DATEDIF(LoanData[[#This Row],[Approval_Date]],TODAY(),"M")</f>
        <v>61</v>
      </c>
      <c r="D705" s="31">
        <f>EDATE(LoanData[[#This Row],[Approval_Date]],LoanData[[#This Row],[Loan_Term_Months]])</f>
        <v>44752</v>
      </c>
      <c r="E705" t="str">
        <f t="shared" ca="1" si="10"/>
        <v>YES</v>
      </c>
      <c r="F705" s="33">
        <f>IFERROR(LoanData[[#This Row],[EMI]]/LoanData[[#This Row],[Monthly_Income]]*100," ")</f>
        <v>3.3140621670167745</v>
      </c>
      <c r="G705" t="str" cm="1">
        <f t="array" ref="G705">_xlfn.IFS(F705&gt;40, "High DTI Risk",F705&gt;=25, "Moderate DTI",F705&lt;25, "Low DTI")</f>
        <v>Low DTI</v>
      </c>
      <c r="H705" t="str" cm="1">
        <f t="array" ref="H7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05" t="str">
        <f>_xlfn.XLOOKUP(H705,Reference_Tables!$B$2:$B$7,Reference_Tables!$C$2:$C$7,,0,1)</f>
        <v>VHR</v>
      </c>
      <c r="J705" t="str">
        <f>INDEX(Reference_Tables!$D$11:$D$36,MATCH(LoanData[[#This Row],[Branch]],Reference_Tables!$A$11:$A$36,0))</f>
        <v>Arvind Pillai</v>
      </c>
      <c r="L705" s="35"/>
    </row>
    <row r="706" spans="2:12" ht="15.6" x14ac:dyDescent="0.3">
      <c r="B706" s="15">
        <f>DATEDIF(Loan_Data!K:K,Loan_Data!L:L,"D")</f>
        <v>25</v>
      </c>
      <c r="C706" s="15">
        <f ca="1">DATEDIF(LoanData[[#This Row],[Approval_Date]],TODAY(),"M")</f>
        <v>47</v>
      </c>
      <c r="D706" s="31">
        <f>EDATE(LoanData[[#This Row],[Approval_Date]],LoanData[[#This Row],[Loan_Term_Months]])</f>
        <v>45898</v>
      </c>
      <c r="E706" t="str">
        <f t="shared" ref="E706:E769" ca="1" si="11">IF(D706&lt;TODAY(),"YES","NO")</f>
        <v>YES</v>
      </c>
      <c r="F706" s="33">
        <f>IFERROR(LoanData[[#This Row],[EMI]]/LoanData[[#This Row],[Monthly_Income]]*100," ")</f>
        <v>6.8570598124086777</v>
      </c>
      <c r="G706" t="str" cm="1">
        <f t="array" ref="G706">_xlfn.IFS(F706&gt;40, "High DTI Risk",F706&gt;=25, "Moderate DTI",F706&lt;25, "Low DTI")</f>
        <v>Low DTI</v>
      </c>
      <c r="H706" t="str" cm="1">
        <f t="array" ref="H7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06" t="str">
        <f>_xlfn.XLOOKUP(H706,Reference_Tables!$B$2:$B$7,Reference_Tables!$C$2:$C$7,,0,1)</f>
        <v>LR</v>
      </c>
      <c r="J706" t="str">
        <f>INDEX(Reference_Tables!$D$11:$D$36,MATCH(LoanData[[#This Row],[Branch]],Reference_Tables!$A$11:$A$36,0))</f>
        <v>Hetal Patel</v>
      </c>
      <c r="L706" s="35"/>
    </row>
    <row r="707" spans="2:12" ht="15.6" x14ac:dyDescent="0.3">
      <c r="B707" s="15">
        <f>DATEDIF(Loan_Data!K:K,Loan_Data!L:L,"D")</f>
        <v>5</v>
      </c>
      <c r="C707" s="15">
        <f ca="1">DATEDIF(LoanData[[#This Row],[Approval_Date]],TODAY(),"M")</f>
        <v>32</v>
      </c>
      <c r="D707" s="31">
        <f>EDATE(LoanData[[#This Row],[Approval_Date]],LoanData[[#This Row],[Loan_Term_Months]])</f>
        <v>47080</v>
      </c>
      <c r="E707" t="str">
        <f t="shared" ca="1" si="11"/>
        <v>NO</v>
      </c>
      <c r="F707" s="33">
        <f>IFERROR(LoanData[[#This Row],[EMI]]/LoanData[[#This Row],[Monthly_Income]]*100," ")</f>
        <v>1.0298223510779863</v>
      </c>
      <c r="G707" t="str" cm="1">
        <f t="array" ref="G707">_xlfn.IFS(F707&gt;40, "High DTI Risk",F707&gt;=25, "Moderate DTI",F707&lt;25, "Low DTI")</f>
        <v>Low DTI</v>
      </c>
      <c r="H707" t="str" cm="1">
        <f t="array" ref="H7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07" t="str">
        <f>_xlfn.XLOOKUP(H707,Reference_Tables!$B$2:$B$7,Reference_Tables!$C$2:$C$7,,0,1)</f>
        <v>VHR</v>
      </c>
      <c r="J707" t="str">
        <f>INDEX(Reference_Tables!$D$11:$D$36,MATCH(LoanData[[#This Row],[Branch]],Reference_Tables!$A$11:$A$36,0))</f>
        <v>Hetal Patel</v>
      </c>
      <c r="L707" s="35"/>
    </row>
    <row r="708" spans="2:12" ht="15.6" x14ac:dyDescent="0.3">
      <c r="B708" s="15">
        <f>DATEDIF(Loan_Data!K:K,Loan_Data!L:L,"D")</f>
        <v>17</v>
      </c>
      <c r="C708" s="15">
        <f ca="1">DATEDIF(LoanData[[#This Row],[Approval_Date]],TODAY(),"M")</f>
        <v>54</v>
      </c>
      <c r="D708" s="31">
        <f>EDATE(LoanData[[#This Row],[Approval_Date]],LoanData[[#This Row],[Loan_Term_Months]])</f>
        <v>44958</v>
      </c>
      <c r="E708" t="str">
        <f t="shared" ca="1" si="11"/>
        <v>YES</v>
      </c>
      <c r="F708" s="33">
        <f>IFERROR(LoanData[[#This Row],[EMI]]/LoanData[[#This Row],[Monthly_Income]]*100," ")</f>
        <v>21.962560130912582</v>
      </c>
      <c r="G708" t="str" cm="1">
        <f t="array" ref="G708">_xlfn.IFS(F708&gt;40, "High DTI Risk",F708&gt;=25, "Moderate DTI",F708&lt;25, "Low DTI")</f>
        <v>Low DTI</v>
      </c>
      <c r="H708" t="str" cm="1">
        <f t="array" ref="H7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08" t="str">
        <f>_xlfn.XLOOKUP(H708,Reference_Tables!$B$2:$B$7,Reference_Tables!$C$2:$C$7,,0,1)</f>
        <v>VHR</v>
      </c>
      <c r="J708" t="str">
        <f>INDEX(Reference_Tables!$D$11:$D$36,MATCH(LoanData[[#This Row],[Branch]],Reference_Tables!$A$11:$A$36,0))</f>
        <v>Priya Yadav</v>
      </c>
      <c r="L708" s="35"/>
    </row>
    <row r="709" spans="2:12" ht="15.6" x14ac:dyDescent="0.3">
      <c r="B709" s="15">
        <f>DATEDIF(Loan_Data!K:K,Loan_Data!L:L,"D")</f>
        <v>19</v>
      </c>
      <c r="C709" s="15">
        <f ca="1">DATEDIF(LoanData[[#This Row],[Approval_Date]],TODAY(),"M")</f>
        <v>30</v>
      </c>
      <c r="D709" s="31">
        <f>EDATE(LoanData[[#This Row],[Approval_Date]],LoanData[[#This Row],[Loan_Term_Months]])</f>
        <v>46406</v>
      </c>
      <c r="E709" t="str">
        <f t="shared" ca="1" si="11"/>
        <v>NO</v>
      </c>
      <c r="F709" s="33">
        <f>IFERROR(LoanData[[#This Row],[EMI]]/LoanData[[#This Row],[Monthly_Income]]*100," ")</f>
        <v>9.2007546784967609</v>
      </c>
      <c r="G709" t="str" cm="1">
        <f t="array" ref="G709">_xlfn.IFS(F709&gt;40, "High DTI Risk",F709&gt;=25, "Moderate DTI",F709&lt;25, "Low DTI")</f>
        <v>Low DTI</v>
      </c>
      <c r="H709" t="str" cm="1">
        <f t="array" ref="H7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09" t="str">
        <f>_xlfn.XLOOKUP(H709,Reference_Tables!$B$2:$B$7,Reference_Tables!$C$2:$C$7,,0,1)</f>
        <v>VHR</v>
      </c>
      <c r="J709" t="str">
        <f>INDEX(Reference_Tables!$D$11:$D$36,MATCH(LoanData[[#This Row],[Branch]],Reference_Tables!$A$11:$A$36,0))</f>
        <v>Jigar Mehta</v>
      </c>
      <c r="L709" s="35"/>
    </row>
    <row r="710" spans="2:12" ht="15.6" x14ac:dyDescent="0.3">
      <c r="B710" s="15">
        <f>DATEDIF(Loan_Data!K:K,Loan_Data!L:L,"D")</f>
        <v>23</v>
      </c>
      <c r="C710" s="15">
        <f ca="1">DATEDIF(LoanData[[#This Row],[Approval_Date]],TODAY(),"M")</f>
        <v>37</v>
      </c>
      <c r="D710" s="31">
        <f>EDATE(LoanData[[#This Row],[Approval_Date]],LoanData[[#This Row],[Loan_Term_Months]])</f>
        <v>52416</v>
      </c>
      <c r="E710" t="str">
        <f t="shared" ca="1" si="11"/>
        <v>NO</v>
      </c>
      <c r="F710" s="33">
        <f>IFERROR(LoanData[[#This Row],[EMI]]/LoanData[[#This Row],[Monthly_Income]]*100," ")</f>
        <v>3.3217612193056731</v>
      </c>
      <c r="G710" t="str" cm="1">
        <f t="array" ref="G710">_xlfn.IFS(F710&gt;40, "High DTI Risk",F710&gt;=25, "Moderate DTI",F710&lt;25, "Low DTI")</f>
        <v>Low DTI</v>
      </c>
      <c r="H710" t="str" cm="1">
        <f t="array" ref="H7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10" t="str">
        <f>_xlfn.XLOOKUP(H710,Reference_Tables!$B$2:$B$7,Reference_Tables!$C$2:$C$7,,0,1)</f>
        <v>VHR</v>
      </c>
      <c r="J710" t="str">
        <f>INDEX(Reference_Tables!$D$11:$D$36,MATCH(LoanData[[#This Row],[Branch]],Reference_Tables!$A$11:$A$36,0))</f>
        <v>Lakshmi Reddy</v>
      </c>
      <c r="L710" s="35"/>
    </row>
    <row r="711" spans="2:12" ht="15.6" x14ac:dyDescent="0.3">
      <c r="B711" s="15">
        <f>DATEDIF(Loan_Data!K:K,Loan_Data!L:L,"D")</f>
        <v>5</v>
      </c>
      <c r="C711" s="15">
        <f ca="1">DATEDIF(LoanData[[#This Row],[Approval_Date]],TODAY(),"M")</f>
        <v>40</v>
      </c>
      <c r="D711" s="31">
        <f>EDATE(LoanData[[#This Row],[Approval_Date]],LoanData[[#This Row],[Loan_Term_Months]])</f>
        <v>45383</v>
      </c>
      <c r="E711" t="str">
        <f t="shared" ca="1" si="11"/>
        <v>YES</v>
      </c>
      <c r="F711" s="33">
        <f>IFERROR(LoanData[[#This Row],[EMI]]/LoanData[[#This Row],[Monthly_Income]]*100," ")</f>
        <v>41.926254512176527</v>
      </c>
      <c r="G711" t="str" cm="1">
        <f t="array" ref="G711">_xlfn.IFS(F711&gt;40, "High DTI Risk",F711&gt;=25, "Moderate DTI",F711&lt;25, "Low DTI")</f>
        <v>High DTI Risk</v>
      </c>
      <c r="H711" t="str" cm="1">
        <f t="array" ref="H7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11" t="str">
        <f>_xlfn.XLOOKUP(H711,Reference_Tables!$B$2:$B$7,Reference_Tables!$C$2:$C$7,,0,1)</f>
        <v>VHR</v>
      </c>
      <c r="J711" t="str">
        <f>INDEX(Reference_Tables!$D$11:$D$36,MATCH(LoanData[[#This Row],[Branch]],Reference_Tables!$A$11:$A$36,0))</f>
        <v>Suresh Menon</v>
      </c>
      <c r="L711" s="35"/>
    </row>
    <row r="712" spans="2:12" ht="15.6" x14ac:dyDescent="0.3">
      <c r="B712" s="15">
        <f>DATEDIF(Loan_Data!K:K,Loan_Data!L:L,"D")</f>
        <v>22</v>
      </c>
      <c r="C712" s="15">
        <f ca="1">DATEDIF(LoanData[[#This Row],[Approval_Date]],TODAY(),"M")</f>
        <v>52</v>
      </c>
      <c r="D712" s="31">
        <f>EDATE(LoanData[[#This Row],[Approval_Date]],LoanData[[#This Row],[Loan_Term_Months]])</f>
        <v>46103</v>
      </c>
      <c r="E712" t="str">
        <f t="shared" ca="1" si="11"/>
        <v>YES</v>
      </c>
      <c r="F712" s="33">
        <f>IFERROR(LoanData[[#This Row],[EMI]]/LoanData[[#This Row],[Monthly_Income]]*100," ")</f>
        <v>2.3075879954072138</v>
      </c>
      <c r="G712" t="str" cm="1">
        <f t="array" ref="G712">_xlfn.IFS(F712&gt;40, "High DTI Risk",F712&gt;=25, "Moderate DTI",F712&lt;25, "Low DTI")</f>
        <v>Low DTI</v>
      </c>
      <c r="H712" t="str" cm="1">
        <f t="array" ref="H7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12" t="str">
        <f>_xlfn.XLOOKUP(H712,Reference_Tables!$B$2:$B$7,Reference_Tables!$C$2:$C$7,,0,1)</f>
        <v>HR</v>
      </c>
      <c r="J712" t="str">
        <f>INDEX(Reference_Tables!$D$11:$D$36,MATCH(LoanData[[#This Row],[Branch]],Reference_Tables!$A$11:$A$36,0))</f>
        <v>Hetal Patel</v>
      </c>
      <c r="L712" s="35"/>
    </row>
    <row r="713" spans="2:12" ht="15.6" x14ac:dyDescent="0.3">
      <c r="B713" s="15">
        <f>DATEDIF(Loan_Data!K:K,Loan_Data!L:L,"D")</f>
        <v>29</v>
      </c>
      <c r="C713" s="15">
        <f ca="1">DATEDIF(LoanData[[#This Row],[Approval_Date]],TODAY(),"M")</f>
        <v>37</v>
      </c>
      <c r="D713" s="31">
        <f>EDATE(LoanData[[#This Row],[Approval_Date]],LoanData[[#This Row],[Loan_Term_Months]])</f>
        <v>45836</v>
      </c>
      <c r="E713" t="str">
        <f t="shared" ca="1" si="11"/>
        <v>YES</v>
      </c>
      <c r="F713" s="33">
        <f>IFERROR(LoanData[[#This Row],[EMI]]/LoanData[[#This Row],[Monthly_Income]]*100," ")</f>
        <v>1.4912148774141181</v>
      </c>
      <c r="G713" t="str" cm="1">
        <f t="array" ref="G713">_xlfn.IFS(F713&gt;40, "High DTI Risk",F713&gt;=25, "Moderate DTI",F713&lt;25, "Low DTI")</f>
        <v>Low DTI</v>
      </c>
      <c r="H713" t="str" cm="1">
        <f t="array" ref="H7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13" t="str">
        <f>_xlfn.XLOOKUP(H713,Reference_Tables!$B$2:$B$7,Reference_Tables!$C$2:$C$7,,0,1)</f>
        <v>MR</v>
      </c>
      <c r="J713" t="str">
        <f>INDEX(Reference_Tables!$D$11:$D$36,MATCH(LoanData[[#This Row],[Branch]],Reference_Tables!$A$11:$A$36,0))</f>
        <v>Deepak Nair</v>
      </c>
      <c r="L713" s="35"/>
    </row>
    <row r="714" spans="2:12" ht="15.6" x14ac:dyDescent="0.3">
      <c r="B714" s="15">
        <f>DATEDIF(Loan_Data!K:K,Loan_Data!L:L,"D")</f>
        <v>22</v>
      </c>
      <c r="C714" s="15">
        <f ca="1">DATEDIF(LoanData[[#This Row],[Approval_Date]],TODAY(),"M")</f>
        <v>56</v>
      </c>
      <c r="D714" s="31">
        <f>EDATE(LoanData[[#This Row],[Approval_Date]],LoanData[[#This Row],[Loan_Term_Months]])</f>
        <v>51829</v>
      </c>
      <c r="E714" t="str">
        <f t="shared" ca="1" si="11"/>
        <v>NO</v>
      </c>
      <c r="F714" s="33">
        <f>IFERROR(LoanData[[#This Row],[EMI]]/LoanData[[#This Row],[Monthly_Income]]*100," ")</f>
        <v>1.7002754895159062</v>
      </c>
      <c r="G714" t="str" cm="1">
        <f t="array" ref="G714">_xlfn.IFS(F714&gt;40, "High DTI Risk",F714&gt;=25, "Moderate DTI",F714&lt;25, "Low DTI")</f>
        <v>Low DTI</v>
      </c>
      <c r="H714" t="str" cm="1">
        <f t="array" ref="H7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714" t="str">
        <f>_xlfn.XLOOKUP(H714,Reference_Tables!$B$2:$B$7,Reference_Tables!$C$2:$C$7,,0,1)</f>
        <v>UC</v>
      </c>
      <c r="J714" t="str">
        <f>INDEX(Reference_Tables!$D$11:$D$36,MATCH(LoanData[[#This Row],[Branch]],Reference_Tables!$A$11:$A$36,0))</f>
        <v>Amit Kumar</v>
      </c>
      <c r="L714" s="35"/>
    </row>
    <row r="715" spans="2:12" ht="15.6" x14ac:dyDescent="0.3">
      <c r="B715" s="15">
        <f>DATEDIF(Loan_Data!K:K,Loan_Data!L:L,"D")</f>
        <v>19</v>
      </c>
      <c r="C715" s="15">
        <f ca="1">DATEDIF(LoanData[[#This Row],[Approval_Date]],TODAY(),"M")</f>
        <v>41</v>
      </c>
      <c r="D715" s="31">
        <f>EDATE(LoanData[[#This Row],[Approval_Date]],LoanData[[#This Row],[Loan_Term_Months]])</f>
        <v>45728</v>
      </c>
      <c r="E715" t="str">
        <f t="shared" ca="1" si="11"/>
        <v>YES</v>
      </c>
      <c r="F715" s="33">
        <f>IFERROR(LoanData[[#This Row],[EMI]]/LoanData[[#This Row],[Monthly_Income]]*100," ")</f>
        <v>20.922081165904675</v>
      </c>
      <c r="G715" t="str" cm="1">
        <f t="array" ref="G715">_xlfn.IFS(F715&gt;40, "High DTI Risk",F715&gt;=25, "Moderate DTI",F715&lt;25, "Low DTI")</f>
        <v>Low DTI</v>
      </c>
      <c r="H715" t="str" cm="1">
        <f t="array" ref="H7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15" t="str">
        <f>_xlfn.XLOOKUP(H715,Reference_Tables!$B$2:$B$7,Reference_Tables!$C$2:$C$7,,0,1)</f>
        <v>LR</v>
      </c>
      <c r="J715" t="str">
        <f>INDEX(Reference_Tables!$D$11:$D$36,MATCH(LoanData[[#This Row],[Branch]],Reference_Tables!$A$11:$A$36,0))</f>
        <v>Suresh Menon</v>
      </c>
      <c r="L715" s="35"/>
    </row>
    <row r="716" spans="2:12" ht="15.6" x14ac:dyDescent="0.3">
      <c r="B716" s="15">
        <f>DATEDIF(Loan_Data!K:K,Loan_Data!L:L,"D")</f>
        <v>26</v>
      </c>
      <c r="C716" s="15">
        <f ca="1">DATEDIF(LoanData[[#This Row],[Approval_Date]],TODAY(),"M")</f>
        <v>56</v>
      </c>
      <c r="D716" s="31">
        <f>EDATE(LoanData[[#This Row],[Approval_Date]],LoanData[[#This Row],[Loan_Term_Months]])</f>
        <v>45983</v>
      </c>
      <c r="E716" t="str">
        <f t="shared" ca="1" si="11"/>
        <v>YES</v>
      </c>
      <c r="F716" s="33">
        <f>IFERROR(LoanData[[#This Row],[EMI]]/LoanData[[#This Row],[Monthly_Income]]*100," ")</f>
        <v>1.0339607201309329</v>
      </c>
      <c r="G716" t="str" cm="1">
        <f t="array" ref="G716">_xlfn.IFS(F716&gt;40, "High DTI Risk",F716&gt;=25, "Moderate DTI",F716&lt;25, "Low DTI")</f>
        <v>Low DTI</v>
      </c>
      <c r="H716" t="str" cm="1">
        <f t="array" ref="H7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16" t="str">
        <f>_xlfn.XLOOKUP(H716,Reference_Tables!$B$2:$B$7,Reference_Tables!$C$2:$C$7,,0,1)</f>
        <v>LR</v>
      </c>
      <c r="J716" t="str">
        <f>INDEX(Reference_Tables!$D$11:$D$36,MATCH(LoanData[[#This Row],[Branch]],Reference_Tables!$A$11:$A$36,0))</f>
        <v>Lakshmi Reddy</v>
      </c>
      <c r="L716" s="35"/>
    </row>
    <row r="717" spans="2:12" ht="15.6" x14ac:dyDescent="0.3">
      <c r="B717" s="15">
        <f>DATEDIF(Loan_Data!K:K,Loan_Data!L:L,"D")</f>
        <v>5</v>
      </c>
      <c r="C717" s="15">
        <f ca="1">DATEDIF(LoanData[[#This Row],[Approval_Date]],TODAY(),"M")</f>
        <v>42</v>
      </c>
      <c r="D717" s="31">
        <f>EDATE(LoanData[[#This Row],[Approval_Date]],LoanData[[#This Row],[Loan_Term_Months]])</f>
        <v>45692</v>
      </c>
      <c r="E717" t="str">
        <f t="shared" ca="1" si="11"/>
        <v>YES</v>
      </c>
      <c r="F717" s="33">
        <f>IFERROR(LoanData[[#This Row],[EMI]]/LoanData[[#This Row],[Monthly_Income]]*100," ")</f>
        <v>1.3930959706314567</v>
      </c>
      <c r="G717" t="str" cm="1">
        <f t="array" ref="G717">_xlfn.IFS(F717&gt;40, "High DTI Risk",F717&gt;=25, "Moderate DTI",F717&lt;25, "Low DTI")</f>
        <v>Low DTI</v>
      </c>
      <c r="H717" t="str" cm="1">
        <f t="array" ref="H7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17" t="str">
        <f>_xlfn.XLOOKUP(H717,Reference_Tables!$B$2:$B$7,Reference_Tables!$C$2:$C$7,,0,1)</f>
        <v>MR</v>
      </c>
      <c r="J717" t="str">
        <f>INDEX(Reference_Tables!$D$11:$D$36,MATCH(LoanData[[#This Row],[Branch]],Reference_Tables!$A$11:$A$36,0))</f>
        <v>Ananya Sharma</v>
      </c>
      <c r="L717" s="35"/>
    </row>
    <row r="718" spans="2:12" ht="15.6" x14ac:dyDescent="0.3">
      <c r="B718" s="15">
        <f>DATEDIF(Loan_Data!K:K,Loan_Data!L:L,"D")</f>
        <v>29</v>
      </c>
      <c r="C718" s="15">
        <f ca="1">DATEDIF(LoanData[[#This Row],[Approval_Date]],TODAY(),"M")</f>
        <v>63</v>
      </c>
      <c r="D718" s="31">
        <f>EDATE(LoanData[[#This Row],[Approval_Date]],LoanData[[#This Row],[Loan_Term_Months]])</f>
        <v>45043</v>
      </c>
      <c r="E718" t="str">
        <f t="shared" ca="1" si="11"/>
        <v>YES</v>
      </c>
      <c r="F718" s="33">
        <f>IFERROR(LoanData[[#This Row],[EMI]]/LoanData[[#This Row],[Monthly_Income]]*100," ")</f>
        <v>2.8100059368130546</v>
      </c>
      <c r="G718" t="str" cm="1">
        <f t="array" ref="G718">_xlfn.IFS(F718&gt;40, "High DTI Risk",F718&gt;=25, "Moderate DTI",F718&lt;25, "Low DTI")</f>
        <v>Low DTI</v>
      </c>
      <c r="H718" t="str" cm="1">
        <f t="array" ref="H7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18" t="str">
        <f>_xlfn.XLOOKUP(H718,Reference_Tables!$B$2:$B$7,Reference_Tables!$C$2:$C$7,,0,1)</f>
        <v>HR</v>
      </c>
      <c r="J718" t="str">
        <f>INDEX(Reference_Tables!$D$11:$D$36,MATCH(LoanData[[#This Row],[Branch]],Reference_Tables!$A$11:$A$36,0))</f>
        <v>Suresh Menon</v>
      </c>
      <c r="L718" s="35"/>
    </row>
    <row r="719" spans="2:12" ht="15.6" x14ac:dyDescent="0.3">
      <c r="B719" s="15">
        <f>DATEDIF(Loan_Data!K:K,Loan_Data!L:L,"D")</f>
        <v>5</v>
      </c>
      <c r="C719" s="15">
        <f ca="1">DATEDIF(LoanData[[#This Row],[Approval_Date]],TODAY(),"M")</f>
        <v>38</v>
      </c>
      <c r="D719" s="31">
        <f>EDATE(LoanData[[#This Row],[Approval_Date]],LoanData[[#This Row],[Loan_Term_Months]])</f>
        <v>45452</v>
      </c>
      <c r="E719" t="str">
        <f t="shared" ca="1" si="11"/>
        <v>YES</v>
      </c>
      <c r="F719" s="33">
        <f>IFERROR(LoanData[[#This Row],[EMI]]/LoanData[[#This Row],[Monthly_Income]]*100," ")</f>
        <v>11.931911709689487</v>
      </c>
      <c r="G719" t="str" cm="1">
        <f t="array" ref="G719">_xlfn.IFS(F719&gt;40, "High DTI Risk",F719&gt;=25, "Moderate DTI",F719&lt;25, "Low DTI")</f>
        <v>Low DTI</v>
      </c>
      <c r="H719" t="str" cm="1">
        <f t="array" ref="H7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19" t="str">
        <f>_xlfn.XLOOKUP(H719,Reference_Tables!$B$2:$B$7,Reference_Tables!$C$2:$C$7,,0,1)</f>
        <v>VHR</v>
      </c>
      <c r="J719" t="str">
        <f>INDEX(Reference_Tables!$D$11:$D$36,MATCH(LoanData[[#This Row],[Branch]],Reference_Tables!$A$11:$A$36,0))</f>
        <v>Rahul Kapoor</v>
      </c>
      <c r="L719" s="35"/>
    </row>
    <row r="720" spans="2:12" ht="15.6" x14ac:dyDescent="0.3">
      <c r="B720" s="15">
        <f>DATEDIF(Loan_Data!K:K,Loan_Data!L:L,"D")</f>
        <v>25</v>
      </c>
      <c r="C720" s="15">
        <f ca="1">DATEDIF(LoanData[[#This Row],[Approval_Date]],TODAY(),"M")</f>
        <v>46</v>
      </c>
      <c r="D720" s="31">
        <f>EDATE(LoanData[[#This Row],[Approval_Date]],LoanData[[#This Row],[Loan_Term_Months]])</f>
        <v>45212</v>
      </c>
      <c r="E720" t="str">
        <f t="shared" ca="1" si="11"/>
        <v>YES</v>
      </c>
      <c r="F720" s="33">
        <f>IFERROR(LoanData[[#This Row],[EMI]]/LoanData[[#This Row],[Monthly_Income]]*100," ")</f>
        <v>3.0076762084344679</v>
      </c>
      <c r="G720" t="str" cm="1">
        <f t="array" ref="G720">_xlfn.IFS(F720&gt;40, "High DTI Risk",F720&gt;=25, "Moderate DTI",F720&lt;25, "Low DTI")</f>
        <v>Low DTI</v>
      </c>
      <c r="H720" t="str" cm="1">
        <f t="array" ref="H7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20" t="str">
        <f>_xlfn.XLOOKUP(H720,Reference_Tables!$B$2:$B$7,Reference_Tables!$C$2:$C$7,,0,1)</f>
        <v>VHR</v>
      </c>
      <c r="J720" t="str">
        <f>INDEX(Reference_Tables!$D$11:$D$36,MATCH(LoanData[[#This Row],[Branch]],Reference_Tables!$A$11:$A$36,0))</f>
        <v>Ravi Verma</v>
      </c>
      <c r="L720" s="35"/>
    </row>
    <row r="721" spans="2:12" ht="15.6" x14ac:dyDescent="0.3">
      <c r="B721" s="15">
        <f>DATEDIF(Loan_Data!K:K,Loan_Data!L:L,"D")</f>
        <v>5</v>
      </c>
      <c r="C721" s="15">
        <f ca="1">DATEDIF(LoanData[[#This Row],[Approval_Date]],TODAY(),"M")</f>
        <v>39</v>
      </c>
      <c r="D721" s="31">
        <f>EDATE(LoanData[[#This Row],[Approval_Date]],LoanData[[#This Row],[Loan_Term_Months]])</f>
        <v>45784</v>
      </c>
      <c r="E721" t="str">
        <f t="shared" ca="1" si="11"/>
        <v>YES</v>
      </c>
      <c r="F721" s="33">
        <f>IFERROR(LoanData[[#This Row],[EMI]]/LoanData[[#This Row],[Monthly_Income]]*100," ")</f>
        <v>13.102684427615118</v>
      </c>
      <c r="G721" t="str" cm="1">
        <f t="array" ref="G721">_xlfn.IFS(F721&gt;40, "High DTI Risk",F721&gt;=25, "Moderate DTI",F721&lt;25, "Low DTI")</f>
        <v>Low DTI</v>
      </c>
      <c r="H721" t="str" cm="1">
        <f t="array" ref="H7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21" t="str">
        <f>_xlfn.XLOOKUP(H721,Reference_Tables!$B$2:$B$7,Reference_Tables!$C$2:$C$7,,0,1)</f>
        <v>VHR</v>
      </c>
      <c r="J721" t="str">
        <f>INDEX(Reference_Tables!$D$11:$D$36,MATCH(LoanData[[#This Row],[Branch]],Reference_Tables!$A$11:$A$36,0))</f>
        <v>Rituparna Bora</v>
      </c>
      <c r="L721" s="35"/>
    </row>
    <row r="722" spans="2:12" ht="15.6" x14ac:dyDescent="0.3">
      <c r="B722" s="15">
        <f>DATEDIF(Loan_Data!K:K,Loan_Data!L:L,"D")</f>
        <v>9</v>
      </c>
      <c r="C722" s="15">
        <f ca="1">DATEDIF(LoanData[[#This Row],[Approval_Date]],TODAY(),"M")</f>
        <v>36</v>
      </c>
      <c r="D722" s="31">
        <f>EDATE(LoanData[[#This Row],[Approval_Date]],LoanData[[#This Row],[Loan_Term_Months]])</f>
        <v>46249</v>
      </c>
      <c r="E722" t="str">
        <f t="shared" ca="1" si="11"/>
        <v>YES</v>
      </c>
      <c r="F722" s="33">
        <f>IFERROR(LoanData[[#This Row],[EMI]]/LoanData[[#This Row],[Monthly_Income]]*100," ")</f>
        <v>4.5471505412950224</v>
      </c>
      <c r="G722" t="str" cm="1">
        <f t="array" ref="G722">_xlfn.IFS(F722&gt;40, "High DTI Risk",F722&gt;=25, "Moderate DTI",F722&lt;25, "Low DTI")</f>
        <v>Low DTI</v>
      </c>
      <c r="H722" t="str" cm="1">
        <f t="array" ref="H7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22" t="str">
        <f>_xlfn.XLOOKUP(H722,Reference_Tables!$B$2:$B$7,Reference_Tables!$C$2:$C$7,,0,1)</f>
        <v>MR</v>
      </c>
      <c r="J722" t="str">
        <f>INDEX(Reference_Tables!$D$11:$D$36,MATCH(LoanData[[#This Row],[Branch]],Reference_Tables!$A$11:$A$36,0))</f>
        <v>Sandeep Saxena</v>
      </c>
      <c r="L722" s="35"/>
    </row>
    <row r="723" spans="2:12" ht="15.6" x14ac:dyDescent="0.3">
      <c r="B723" s="15">
        <f>DATEDIF(Loan_Data!K:K,Loan_Data!L:L,"D")</f>
        <v>6</v>
      </c>
      <c r="C723" s="15">
        <f ca="1">DATEDIF(LoanData[[#This Row],[Approval_Date]],TODAY(),"M")</f>
        <v>59</v>
      </c>
      <c r="D723" s="31">
        <f>EDATE(LoanData[[#This Row],[Approval_Date]],LoanData[[#This Row],[Loan_Term_Months]])</f>
        <v>51744</v>
      </c>
      <c r="E723" t="str">
        <f t="shared" ca="1" si="11"/>
        <v>NO</v>
      </c>
      <c r="F723" s="33">
        <f>IFERROR(LoanData[[#This Row],[EMI]]/LoanData[[#This Row],[Monthly_Income]]*100," ")</f>
        <v>10.791187535491197</v>
      </c>
      <c r="G723" t="str" cm="1">
        <f t="array" ref="G723">_xlfn.IFS(F723&gt;40, "High DTI Risk",F723&gt;=25, "Moderate DTI",F723&lt;25, "Low DTI")</f>
        <v>Low DTI</v>
      </c>
      <c r="H723" t="str" cm="1">
        <f t="array" ref="H7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23" t="str">
        <f>_xlfn.XLOOKUP(H723,Reference_Tables!$B$2:$B$7,Reference_Tables!$C$2:$C$7,,0,1)</f>
        <v>LR</v>
      </c>
      <c r="J723" t="str">
        <f>INDEX(Reference_Tables!$D$11:$D$36,MATCH(LoanData[[#This Row],[Branch]],Reference_Tables!$A$11:$A$36,0))</f>
        <v>Debashis Das</v>
      </c>
      <c r="L723" s="35"/>
    </row>
    <row r="724" spans="2:12" ht="15.6" x14ac:dyDescent="0.3">
      <c r="B724" s="15">
        <f>DATEDIF(Loan_Data!K:K,Loan_Data!L:L,"D")</f>
        <v>15</v>
      </c>
      <c r="C724" s="15">
        <f ca="1">DATEDIF(LoanData[[#This Row],[Approval_Date]],TODAY(),"M")</f>
        <v>55</v>
      </c>
      <c r="D724" s="31">
        <f>EDATE(LoanData[[#This Row],[Approval_Date]],LoanData[[#This Row],[Loan_Term_Months]])</f>
        <v>44933</v>
      </c>
      <c r="E724" t="str">
        <f t="shared" ca="1" si="11"/>
        <v>YES</v>
      </c>
      <c r="F724" s="33">
        <f>IFERROR(LoanData[[#This Row],[EMI]]/LoanData[[#This Row],[Monthly_Income]]*100," ")</f>
        <v>1.8988675013104799</v>
      </c>
      <c r="G724" t="str" cm="1">
        <f t="array" ref="G724">_xlfn.IFS(F724&gt;40, "High DTI Risk",F724&gt;=25, "Moderate DTI",F724&lt;25, "Low DTI")</f>
        <v>Low DTI</v>
      </c>
      <c r="H724" t="str" cm="1">
        <f t="array" ref="H7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24" t="str">
        <f>_xlfn.XLOOKUP(H724,Reference_Tables!$B$2:$B$7,Reference_Tables!$C$2:$C$7,,0,1)</f>
        <v>VHR</v>
      </c>
      <c r="J724" t="str">
        <f>INDEX(Reference_Tables!$D$11:$D$36,MATCH(LoanData[[#This Row],[Branch]],Reference_Tables!$A$11:$A$36,0))</f>
        <v>Anil Mishra</v>
      </c>
      <c r="L724" s="35"/>
    </row>
    <row r="725" spans="2:12" ht="15.6" x14ac:dyDescent="0.3">
      <c r="B725" s="15">
        <f>DATEDIF(Loan_Data!K:K,Loan_Data!L:L,"D")</f>
        <v>23</v>
      </c>
      <c r="C725" s="15">
        <f ca="1">DATEDIF(LoanData[[#This Row],[Approval_Date]],TODAY(),"M")</f>
        <v>52</v>
      </c>
      <c r="D725" s="31">
        <f>EDATE(LoanData[[#This Row],[Approval_Date]],LoanData[[#This Row],[Loan_Term_Months]])</f>
        <v>45032</v>
      </c>
      <c r="E725" t="str">
        <f t="shared" ca="1" si="11"/>
        <v>YES</v>
      </c>
      <c r="F725" s="33">
        <f>IFERROR(LoanData[[#This Row],[EMI]]/LoanData[[#This Row],[Monthly_Income]]*100," ")</f>
        <v>6.3275474863358401</v>
      </c>
      <c r="G725" t="str" cm="1">
        <f t="array" ref="G725">_xlfn.IFS(F725&gt;40, "High DTI Risk",F725&gt;=25, "Moderate DTI",F725&lt;25, "Low DTI")</f>
        <v>Low DTI</v>
      </c>
      <c r="H725" t="str" cm="1">
        <f t="array" ref="H7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25" t="str">
        <f>_xlfn.XLOOKUP(H725,Reference_Tables!$B$2:$B$7,Reference_Tables!$C$2:$C$7,,0,1)</f>
        <v>LR</v>
      </c>
      <c r="J725" t="str">
        <f>INDEX(Reference_Tables!$D$11:$D$36,MATCH(LoanData[[#This Row],[Branch]],Reference_Tables!$A$11:$A$36,0))</f>
        <v>Debashis Das</v>
      </c>
      <c r="L725" s="35"/>
    </row>
    <row r="726" spans="2:12" ht="15.6" x14ac:dyDescent="0.3">
      <c r="B726" s="15">
        <f>DATEDIF(Loan_Data!K:K,Loan_Data!L:L,"D")</f>
        <v>10</v>
      </c>
      <c r="C726" s="15">
        <f ca="1">DATEDIF(LoanData[[#This Row],[Approval_Date]],TODAY(),"M")</f>
        <v>58</v>
      </c>
      <c r="D726" s="31">
        <f>EDATE(LoanData[[#This Row],[Approval_Date]],LoanData[[#This Row],[Loan_Term_Months]])</f>
        <v>45204</v>
      </c>
      <c r="E726" t="str">
        <f t="shared" ca="1" si="11"/>
        <v>YES</v>
      </c>
      <c r="F726" s="33">
        <f>IFERROR(LoanData[[#This Row],[EMI]]/LoanData[[#This Row],[Monthly_Income]]*100," ")</f>
        <v>1.7201229999478813</v>
      </c>
      <c r="G726" t="str" cm="1">
        <f t="array" ref="G726">_xlfn.IFS(F726&gt;40, "High DTI Risk",F726&gt;=25, "Moderate DTI",F726&lt;25, "Low DTI")</f>
        <v>Low DTI</v>
      </c>
      <c r="H726" t="str" cm="1">
        <f t="array" ref="H7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26" t="str">
        <f>_xlfn.XLOOKUP(H726,Reference_Tables!$B$2:$B$7,Reference_Tables!$C$2:$C$7,,0,1)</f>
        <v>VHR</v>
      </c>
      <c r="J726" t="str">
        <f>INDEX(Reference_Tables!$D$11:$D$36,MATCH(LoanData[[#This Row],[Branch]],Reference_Tables!$A$11:$A$36,0))</f>
        <v>Sandeep Saxena</v>
      </c>
      <c r="L726" s="35"/>
    </row>
    <row r="727" spans="2:12" ht="15.6" x14ac:dyDescent="0.3">
      <c r="B727" s="15">
        <f>DATEDIF(Loan_Data!K:K,Loan_Data!L:L,"D")</f>
        <v>8</v>
      </c>
      <c r="C727" s="15">
        <f ca="1">DATEDIF(LoanData[[#This Row],[Approval_Date]],TODAY(),"M")</f>
        <v>49</v>
      </c>
      <c r="D727" s="31">
        <f>EDATE(LoanData[[#This Row],[Approval_Date]],LoanData[[#This Row],[Loan_Term_Months]])</f>
        <v>46563</v>
      </c>
      <c r="E727" t="str">
        <f t="shared" ca="1" si="11"/>
        <v>NO</v>
      </c>
      <c r="F727" s="33">
        <f>IFERROR(LoanData[[#This Row],[EMI]]/LoanData[[#This Row],[Monthly_Income]]*100," ")</f>
        <v>11.36457513313267</v>
      </c>
      <c r="G727" t="str" cm="1">
        <f t="array" ref="G727">_xlfn.IFS(F727&gt;40, "High DTI Risk",F727&gt;=25, "Moderate DTI",F727&lt;25, "Low DTI")</f>
        <v>Low DTI</v>
      </c>
      <c r="H727" t="str" cm="1">
        <f t="array" ref="H7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27" t="str">
        <f>_xlfn.XLOOKUP(H727,Reference_Tables!$B$2:$B$7,Reference_Tables!$C$2:$C$7,,0,1)</f>
        <v>HR</v>
      </c>
      <c r="J727" t="str">
        <f>INDEX(Reference_Tables!$D$11:$D$36,MATCH(LoanData[[#This Row],[Branch]],Reference_Tables!$A$11:$A$36,0))</f>
        <v>Santhosh Rao</v>
      </c>
      <c r="L727" s="35"/>
    </row>
    <row r="728" spans="2:12" ht="15.6" x14ac:dyDescent="0.3">
      <c r="B728" s="15">
        <f>DATEDIF(Loan_Data!K:K,Loan_Data!L:L,"D")</f>
        <v>21</v>
      </c>
      <c r="C728" s="15">
        <f ca="1">DATEDIF(LoanData[[#This Row],[Approval_Date]],TODAY(),"M")</f>
        <v>50</v>
      </c>
      <c r="D728" s="31">
        <f>EDATE(LoanData[[#This Row],[Approval_Date]],LoanData[[#This Row],[Loan_Term_Months]])</f>
        <v>45447</v>
      </c>
      <c r="E728" t="str">
        <f t="shared" ca="1" si="11"/>
        <v>YES</v>
      </c>
      <c r="F728" s="33">
        <f>IFERROR(LoanData[[#This Row],[EMI]]/LoanData[[#This Row],[Monthly_Income]]*100," ")</f>
        <v>3.4113453132588636</v>
      </c>
      <c r="G728" t="str" cm="1">
        <f t="array" ref="G728">_xlfn.IFS(F728&gt;40, "High DTI Risk",F728&gt;=25, "Moderate DTI",F728&lt;25, "Low DTI")</f>
        <v>Low DTI</v>
      </c>
      <c r="H728" t="str" cm="1">
        <f t="array" ref="H7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28" t="str">
        <f>_xlfn.XLOOKUP(H728,Reference_Tables!$B$2:$B$7,Reference_Tables!$C$2:$C$7,,0,1)</f>
        <v>VHR</v>
      </c>
      <c r="J728" t="str">
        <f>INDEX(Reference_Tables!$D$11:$D$36,MATCH(LoanData[[#This Row],[Branch]],Reference_Tables!$A$11:$A$36,0))</f>
        <v>Rituparna Bora</v>
      </c>
      <c r="L728" s="35"/>
    </row>
    <row r="729" spans="2:12" ht="15.6" x14ac:dyDescent="0.3">
      <c r="B729" s="15">
        <f>DATEDIF(Loan_Data!K:K,Loan_Data!L:L,"D")</f>
        <v>21</v>
      </c>
      <c r="C729" s="15">
        <f ca="1">DATEDIF(LoanData[[#This Row],[Approval_Date]],TODAY(),"M")</f>
        <v>63</v>
      </c>
      <c r="D729" s="31">
        <f>EDATE(LoanData[[#This Row],[Approval_Date]],LoanData[[#This Row],[Loan_Term_Months]])</f>
        <v>47974</v>
      </c>
      <c r="E729" t="str">
        <f t="shared" ca="1" si="11"/>
        <v>NO</v>
      </c>
      <c r="F729" s="33">
        <f>IFERROR(LoanData[[#This Row],[EMI]]/LoanData[[#This Row],[Monthly_Income]]*100," ")</f>
        <v>5.6467362771976903</v>
      </c>
      <c r="G729" t="str" cm="1">
        <f t="array" ref="G729">_xlfn.IFS(F729&gt;40, "High DTI Risk",F729&gt;=25, "Moderate DTI",F729&lt;25, "Low DTI")</f>
        <v>Low DTI</v>
      </c>
      <c r="H729" t="str" cm="1">
        <f t="array" ref="H7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29" t="str">
        <f>_xlfn.XLOOKUP(H729,Reference_Tables!$B$2:$B$7,Reference_Tables!$C$2:$C$7,,0,1)</f>
        <v>MR</v>
      </c>
      <c r="J729" t="str">
        <f>INDEX(Reference_Tables!$D$11:$D$36,MATCH(LoanData[[#This Row],[Branch]],Reference_Tables!$A$11:$A$36,0))</f>
        <v>Sachin Deshpande</v>
      </c>
      <c r="L729" s="35"/>
    </row>
    <row r="730" spans="2:12" ht="15.6" x14ac:dyDescent="0.3">
      <c r="B730" s="15">
        <f>DATEDIF(Loan_Data!K:K,Loan_Data!L:L,"D")</f>
        <v>6</v>
      </c>
      <c r="C730" s="15">
        <f ca="1">DATEDIF(LoanData[[#This Row],[Approval_Date]],TODAY(),"M")</f>
        <v>42</v>
      </c>
      <c r="D730" s="31">
        <f>EDATE(LoanData[[#This Row],[Approval_Date]],LoanData[[#This Row],[Loan_Term_Months]])</f>
        <v>45336</v>
      </c>
      <c r="E730" t="str">
        <f t="shared" ca="1" si="11"/>
        <v>YES</v>
      </c>
      <c r="F730" s="33">
        <f>IFERROR(LoanData[[#This Row],[EMI]]/LoanData[[#This Row],[Monthly_Income]]*100," ")</f>
        <v>2.1918892137433041</v>
      </c>
      <c r="G730" t="str" cm="1">
        <f t="array" ref="G730">_xlfn.IFS(F730&gt;40, "High DTI Risk",F730&gt;=25, "Moderate DTI",F730&lt;25, "Low DTI")</f>
        <v>Low DTI</v>
      </c>
      <c r="H730" t="str" cm="1">
        <f t="array" ref="H7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30" t="str">
        <f>_xlfn.XLOOKUP(H730,Reference_Tables!$B$2:$B$7,Reference_Tables!$C$2:$C$7,,0,1)</f>
        <v>VHR</v>
      </c>
      <c r="J730" t="str">
        <f>INDEX(Reference_Tables!$D$11:$D$36,MATCH(LoanData[[#This Row],[Branch]],Reference_Tables!$A$11:$A$36,0))</f>
        <v>Hetal Patel</v>
      </c>
      <c r="L730" s="35"/>
    </row>
    <row r="731" spans="2:12" ht="15.6" x14ac:dyDescent="0.3">
      <c r="B731" s="15">
        <f>DATEDIF(Loan_Data!K:K,Loan_Data!L:L,"D")</f>
        <v>14</v>
      </c>
      <c r="C731" s="15">
        <f ca="1">DATEDIF(LoanData[[#This Row],[Approval_Date]],TODAY(),"M")</f>
        <v>31</v>
      </c>
      <c r="D731" s="31">
        <f>EDATE(LoanData[[#This Row],[Approval_Date]],LoanData[[#This Row],[Loan_Term_Months]])</f>
        <v>46759</v>
      </c>
      <c r="E731" t="str">
        <f t="shared" ca="1" si="11"/>
        <v>NO</v>
      </c>
      <c r="F731" s="33">
        <f>IFERROR(LoanData[[#This Row],[EMI]]/LoanData[[#This Row],[Monthly_Income]]*100," ")</f>
        <v>13.711319269921052</v>
      </c>
      <c r="G731" t="str" cm="1">
        <f t="array" ref="G731">_xlfn.IFS(F731&gt;40, "High DTI Risk",F731&gt;=25, "Moderate DTI",F731&lt;25, "Low DTI")</f>
        <v>Low DTI</v>
      </c>
      <c r="H731" t="str" cm="1">
        <f t="array" ref="H7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31" t="str">
        <f>_xlfn.XLOOKUP(H731,Reference_Tables!$B$2:$B$7,Reference_Tables!$C$2:$C$7,,0,1)</f>
        <v>HR</v>
      </c>
      <c r="J731" t="str">
        <f>INDEX(Reference_Tables!$D$11:$D$36,MATCH(LoanData[[#This Row],[Branch]],Reference_Tables!$A$11:$A$36,0))</f>
        <v>Anil Mishra</v>
      </c>
      <c r="L731" s="35"/>
    </row>
    <row r="732" spans="2:12" ht="15.6" x14ac:dyDescent="0.3">
      <c r="B732" s="15">
        <f>DATEDIF(Loan_Data!K:K,Loan_Data!L:L,"D")</f>
        <v>23</v>
      </c>
      <c r="C732" s="15">
        <f ca="1">DATEDIF(LoanData[[#This Row],[Approval_Date]],TODAY(),"M")</f>
        <v>58</v>
      </c>
      <c r="D732" s="31">
        <f>EDATE(LoanData[[#This Row],[Approval_Date]],LoanData[[#This Row],[Loan_Term_Months]])</f>
        <v>46297</v>
      </c>
      <c r="E732" t="str">
        <f t="shared" ca="1" si="11"/>
        <v>NO</v>
      </c>
      <c r="F732" s="33">
        <f>IFERROR(LoanData[[#This Row],[EMI]]/LoanData[[#This Row],[Monthly_Income]]*100," ")</f>
        <v>0.94486205732898387</v>
      </c>
      <c r="G732" t="str" cm="1">
        <f t="array" ref="G732">_xlfn.IFS(F732&gt;40, "High DTI Risk",F732&gt;=25, "Moderate DTI",F732&lt;25, "Low DTI")</f>
        <v>Low DTI</v>
      </c>
      <c r="H732" t="str" cm="1">
        <f t="array" ref="H7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32" t="str">
        <f>_xlfn.XLOOKUP(H732,Reference_Tables!$B$2:$B$7,Reference_Tables!$C$2:$C$7,,0,1)</f>
        <v>LR</v>
      </c>
      <c r="J732" t="str">
        <f>INDEX(Reference_Tables!$D$11:$D$36,MATCH(LoanData[[#This Row],[Branch]],Reference_Tables!$A$11:$A$36,0))</f>
        <v>Lakshmi Reddy</v>
      </c>
      <c r="L732" s="35"/>
    </row>
    <row r="733" spans="2:12" ht="15.6" x14ac:dyDescent="0.3">
      <c r="B733" s="15">
        <f>DATEDIF(Loan_Data!K:K,Loan_Data!L:L,"D")</f>
        <v>5</v>
      </c>
      <c r="C733" s="15">
        <f ca="1">DATEDIF(LoanData[[#This Row],[Approval_Date]],TODAY(),"M")</f>
        <v>54</v>
      </c>
      <c r="D733" s="31">
        <f>EDATE(LoanData[[#This Row],[Approval_Date]],LoanData[[#This Row],[Loan_Term_Months]])</f>
        <v>50087</v>
      </c>
      <c r="E733" t="str">
        <f t="shared" ca="1" si="11"/>
        <v>NO</v>
      </c>
      <c r="F733" s="33">
        <f>IFERROR(LoanData[[#This Row],[EMI]]/LoanData[[#This Row],[Monthly_Income]]*100," ")</f>
        <v>1.5277351359600693</v>
      </c>
      <c r="G733" t="str" cm="1">
        <f t="array" ref="G733">_xlfn.IFS(F733&gt;40, "High DTI Risk",F733&gt;=25, "Moderate DTI",F733&lt;25, "Low DTI")</f>
        <v>Low DTI</v>
      </c>
      <c r="H733" t="str" cm="1">
        <f t="array" ref="H7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33" t="str">
        <f>_xlfn.XLOOKUP(H733,Reference_Tables!$B$2:$B$7,Reference_Tables!$C$2:$C$7,,0,1)</f>
        <v>HR</v>
      </c>
      <c r="J733" t="str">
        <f>INDEX(Reference_Tables!$D$11:$D$36,MATCH(LoanData[[#This Row],[Branch]],Reference_Tables!$A$11:$A$36,0))</f>
        <v>Suresh Menon</v>
      </c>
      <c r="L733" s="35"/>
    </row>
    <row r="734" spans="2:12" ht="15.6" x14ac:dyDescent="0.3">
      <c r="B734" s="15">
        <f>DATEDIF(Loan_Data!K:K,Loan_Data!L:L,"D")</f>
        <v>23</v>
      </c>
      <c r="C734" s="15">
        <f ca="1">DATEDIF(LoanData[[#This Row],[Approval_Date]],TODAY(),"M")</f>
        <v>48</v>
      </c>
      <c r="D734" s="31">
        <f>EDATE(LoanData[[#This Row],[Approval_Date]],LoanData[[#This Row],[Loan_Term_Months]])</f>
        <v>45502</v>
      </c>
      <c r="E734" t="str">
        <f t="shared" ca="1" si="11"/>
        <v>YES</v>
      </c>
      <c r="F734" s="33">
        <f>IFERROR(LoanData[[#This Row],[EMI]]/LoanData[[#This Row],[Monthly_Income]]*100," ")</f>
        <v>17.179498302370011</v>
      </c>
      <c r="G734" t="str" cm="1">
        <f t="array" ref="G734">_xlfn.IFS(F734&gt;40, "High DTI Risk",F734&gt;=25, "Moderate DTI",F734&lt;25, "Low DTI")</f>
        <v>Low DTI</v>
      </c>
      <c r="H734" t="str" cm="1">
        <f t="array" ref="H7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34" t="str">
        <f>_xlfn.XLOOKUP(H734,Reference_Tables!$B$2:$B$7,Reference_Tables!$C$2:$C$7,,0,1)</f>
        <v>VHR</v>
      </c>
      <c r="J734" t="str">
        <f>INDEX(Reference_Tables!$D$11:$D$36,MATCH(LoanData[[#This Row],[Branch]],Reference_Tables!$A$11:$A$36,0))</f>
        <v>Suman Tiwari</v>
      </c>
      <c r="L734" s="35"/>
    </row>
    <row r="735" spans="2:12" ht="15.6" x14ac:dyDescent="0.3">
      <c r="B735" s="15">
        <f>DATEDIF(Loan_Data!K:K,Loan_Data!L:L,"D")</f>
        <v>15</v>
      </c>
      <c r="C735" s="15">
        <f ca="1">DATEDIF(LoanData[[#This Row],[Approval_Date]],TODAY(),"M")</f>
        <v>50</v>
      </c>
      <c r="D735" s="31">
        <f>EDATE(LoanData[[#This Row],[Approval_Date]],LoanData[[#This Row],[Loan_Term_Months]])</f>
        <v>45439</v>
      </c>
      <c r="E735" t="str">
        <f t="shared" ca="1" si="11"/>
        <v>YES</v>
      </c>
      <c r="F735" s="33">
        <f>IFERROR(LoanData[[#This Row],[EMI]]/LoanData[[#This Row],[Monthly_Income]]*100," ")</f>
        <v>97.654274773030423</v>
      </c>
      <c r="G735" t="str" cm="1">
        <f t="array" ref="G735">_xlfn.IFS(F735&gt;40, "High DTI Risk",F735&gt;=25, "Moderate DTI",F735&lt;25, "Low DTI")</f>
        <v>High DTI Risk</v>
      </c>
      <c r="H735" t="str" cm="1">
        <f t="array" ref="H7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35" t="str">
        <f>_xlfn.XLOOKUP(H735,Reference_Tables!$B$2:$B$7,Reference_Tables!$C$2:$C$7,,0,1)</f>
        <v>VHR</v>
      </c>
      <c r="J735" t="str">
        <f>INDEX(Reference_Tables!$D$11:$D$36,MATCH(LoanData[[#This Row],[Branch]],Reference_Tables!$A$11:$A$36,0))</f>
        <v>Lakshmi Reddy</v>
      </c>
      <c r="L735" s="35"/>
    </row>
    <row r="736" spans="2:12" ht="15.6" x14ac:dyDescent="0.3">
      <c r="B736" s="15">
        <f>DATEDIF(Loan_Data!K:K,Loan_Data!L:L,"D")</f>
        <v>28</v>
      </c>
      <c r="C736" s="15">
        <f ca="1">DATEDIF(LoanData[[#This Row],[Approval_Date]],TODAY(),"M")</f>
        <v>44</v>
      </c>
      <c r="D736" s="31">
        <f>EDATE(LoanData[[#This Row],[Approval_Date]],LoanData[[#This Row],[Loan_Term_Months]])</f>
        <v>47458</v>
      </c>
      <c r="E736" t="str">
        <f t="shared" ca="1" si="11"/>
        <v>NO</v>
      </c>
      <c r="F736" s="33">
        <f>IFERROR(LoanData[[#This Row],[EMI]]/LoanData[[#This Row],[Monthly_Income]]*100," ")</f>
        <v>2.8143332731167257</v>
      </c>
      <c r="G736" t="str" cm="1">
        <f t="array" ref="G736">_xlfn.IFS(F736&gt;40, "High DTI Risk",F736&gt;=25, "Moderate DTI",F736&lt;25, "Low DTI")</f>
        <v>Low DTI</v>
      </c>
      <c r="H736" t="str" cm="1">
        <f t="array" ref="H7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36" t="str">
        <f>_xlfn.XLOOKUP(H736,Reference_Tables!$B$2:$B$7,Reference_Tables!$C$2:$C$7,,0,1)</f>
        <v>MR</v>
      </c>
      <c r="J736" t="str">
        <f>INDEX(Reference_Tables!$D$11:$D$36,MATCH(LoanData[[#This Row],[Branch]],Reference_Tables!$A$11:$A$36,0))</f>
        <v>Jigar Mehta</v>
      </c>
      <c r="L736" s="35"/>
    </row>
    <row r="737" spans="2:12" ht="15.6" x14ac:dyDescent="0.3">
      <c r="B737" s="15">
        <f>DATEDIF(Loan_Data!K:K,Loan_Data!L:L,"D")</f>
        <v>25</v>
      </c>
      <c r="C737" s="15">
        <f ca="1">DATEDIF(LoanData[[#This Row],[Approval_Date]],TODAY(),"M")</f>
        <v>48</v>
      </c>
      <c r="D737" s="31">
        <f>EDATE(LoanData[[#This Row],[Approval_Date]],LoanData[[#This Row],[Loan_Term_Months]])</f>
        <v>46617</v>
      </c>
      <c r="E737" t="str">
        <f t="shared" ca="1" si="11"/>
        <v>NO</v>
      </c>
      <c r="F737" s="33">
        <f>IFERROR(LoanData[[#This Row],[EMI]]/LoanData[[#This Row],[Monthly_Income]]*100," ")</f>
        <v>1.719234097189271</v>
      </c>
      <c r="G737" t="str" cm="1">
        <f t="array" ref="G737">_xlfn.IFS(F737&gt;40, "High DTI Risk",F737&gt;=25, "Moderate DTI",F737&lt;25, "Low DTI")</f>
        <v>Low DTI</v>
      </c>
      <c r="H737" t="str" cm="1">
        <f t="array" ref="H7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37" t="str">
        <f>_xlfn.XLOOKUP(H737,Reference_Tables!$B$2:$B$7,Reference_Tables!$C$2:$C$7,,0,1)</f>
        <v>LR</v>
      </c>
      <c r="J737" t="str">
        <f>INDEX(Reference_Tables!$D$11:$D$36,MATCH(LoanData[[#This Row],[Branch]],Reference_Tables!$A$11:$A$36,0))</f>
        <v>Ananya Sharma</v>
      </c>
      <c r="L737" s="35"/>
    </row>
    <row r="738" spans="2:12" ht="15.6" x14ac:dyDescent="0.3">
      <c r="B738" s="15">
        <f>DATEDIF(Loan_Data!K:K,Loan_Data!L:L,"D")</f>
        <v>18</v>
      </c>
      <c r="C738" s="15">
        <f ca="1">DATEDIF(LoanData[[#This Row],[Approval_Date]],TODAY(),"M")</f>
        <v>57</v>
      </c>
      <c r="D738" s="31">
        <f>EDATE(LoanData[[#This Row],[Approval_Date]],LoanData[[#This Row],[Loan_Term_Months]])</f>
        <v>45614</v>
      </c>
      <c r="E738" t="str">
        <f t="shared" ca="1" si="11"/>
        <v>YES</v>
      </c>
      <c r="F738" s="33">
        <f>IFERROR(LoanData[[#This Row],[EMI]]/LoanData[[#This Row],[Monthly_Income]]*100," ")</f>
        <v>20.394528118199521</v>
      </c>
      <c r="G738" t="str" cm="1">
        <f t="array" ref="G738">_xlfn.IFS(F738&gt;40, "High DTI Risk",F738&gt;=25, "Moderate DTI",F738&lt;25, "Low DTI")</f>
        <v>Low DTI</v>
      </c>
      <c r="H738" t="str" cm="1">
        <f t="array" ref="H7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38" t="str">
        <f>_xlfn.XLOOKUP(H738,Reference_Tables!$B$2:$B$7,Reference_Tables!$C$2:$C$7,,0,1)</f>
        <v>LR</v>
      </c>
      <c r="J738" t="str">
        <f>INDEX(Reference_Tables!$D$11:$D$36,MATCH(LoanData[[#This Row],[Branch]],Reference_Tables!$A$11:$A$36,0))</f>
        <v>Santhosh Rao</v>
      </c>
      <c r="L738" s="35"/>
    </row>
    <row r="739" spans="2:12" ht="15.6" x14ac:dyDescent="0.3">
      <c r="B739" s="15">
        <f>DATEDIF(Loan_Data!K:K,Loan_Data!L:L,"D")</f>
        <v>18</v>
      </c>
      <c r="C739" s="15">
        <f ca="1">DATEDIF(LoanData[[#This Row],[Approval_Date]],TODAY(),"M")</f>
        <v>62</v>
      </c>
      <c r="D739" s="31">
        <f>EDATE(LoanData[[#This Row],[Approval_Date]],LoanData[[#This Row],[Loan_Term_Months]])</f>
        <v>48001</v>
      </c>
      <c r="E739" t="str">
        <f t="shared" ca="1" si="11"/>
        <v>NO</v>
      </c>
      <c r="F739" s="33">
        <f>IFERROR(LoanData[[#This Row],[EMI]]/LoanData[[#This Row],[Monthly_Income]]*100," ")</f>
        <v>4.7529990482203601</v>
      </c>
      <c r="G739" t="str" cm="1">
        <f t="array" ref="G739">_xlfn.IFS(F739&gt;40, "High DTI Risk",F739&gt;=25, "Moderate DTI",F739&lt;25, "Low DTI")</f>
        <v>Low DTI</v>
      </c>
      <c r="H739" t="str" cm="1">
        <f t="array" ref="H7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39" t="str">
        <f>_xlfn.XLOOKUP(H739,Reference_Tables!$B$2:$B$7,Reference_Tables!$C$2:$C$7,,0,1)</f>
        <v>VHR</v>
      </c>
      <c r="J739" t="str">
        <f>INDEX(Reference_Tables!$D$11:$D$36,MATCH(LoanData[[#This Row],[Branch]],Reference_Tables!$A$11:$A$36,0))</f>
        <v>Amit Kumar</v>
      </c>
      <c r="L739" s="35"/>
    </row>
    <row r="740" spans="2:12" ht="15.6" x14ac:dyDescent="0.3">
      <c r="B740" s="15">
        <f>DATEDIF(Loan_Data!K:K,Loan_Data!L:L,"D")</f>
        <v>10</v>
      </c>
      <c r="C740" s="15">
        <f ca="1">DATEDIF(LoanData[[#This Row],[Approval_Date]],TODAY(),"M")</f>
        <v>34</v>
      </c>
      <c r="D740" s="31">
        <f>EDATE(LoanData[[#This Row],[Approval_Date]],LoanData[[#This Row],[Loan_Term_Months]])</f>
        <v>47763</v>
      </c>
      <c r="E740" t="str">
        <f t="shared" ca="1" si="11"/>
        <v>NO</v>
      </c>
      <c r="F740" s="33">
        <f>IFERROR(LoanData[[#This Row],[EMI]]/LoanData[[#This Row],[Monthly_Income]]*100," ")</f>
        <v>0.62704856573619827</v>
      </c>
      <c r="G740" t="str" cm="1">
        <f t="array" ref="G740">_xlfn.IFS(F740&gt;40, "High DTI Risk",F740&gt;=25, "Moderate DTI",F740&lt;25, "Low DTI")</f>
        <v>Low DTI</v>
      </c>
      <c r="H740" t="str" cm="1">
        <f t="array" ref="H7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40" t="str">
        <f>_xlfn.XLOOKUP(H740,Reference_Tables!$B$2:$B$7,Reference_Tables!$C$2:$C$7,,0,1)</f>
        <v>MR</v>
      </c>
      <c r="J740" t="str">
        <f>INDEX(Reference_Tables!$D$11:$D$36,MATCH(LoanData[[#This Row],[Branch]],Reference_Tables!$A$11:$A$36,0))</f>
        <v>Sandeep Saxena</v>
      </c>
      <c r="L740" s="35"/>
    </row>
    <row r="741" spans="2:12" ht="15.6" x14ac:dyDescent="0.3">
      <c r="B741" s="15">
        <f>DATEDIF(Loan_Data!K:K,Loan_Data!L:L,"D")</f>
        <v>24</v>
      </c>
      <c r="C741" s="15">
        <f ca="1">DATEDIF(LoanData[[#This Row],[Approval_Date]],TODAY(),"M")</f>
        <v>49</v>
      </c>
      <c r="D741" s="31">
        <f>EDATE(LoanData[[#This Row],[Approval_Date]],LoanData[[#This Row],[Loan_Term_Months]])</f>
        <v>45844</v>
      </c>
      <c r="E741" t="str">
        <f t="shared" ca="1" si="11"/>
        <v>YES</v>
      </c>
      <c r="F741" s="33">
        <f>IFERROR(LoanData[[#This Row],[EMI]]/LoanData[[#This Row],[Monthly_Income]]*100," ")</f>
        <v>2.4864325781505281</v>
      </c>
      <c r="G741" t="str" cm="1">
        <f t="array" ref="G741">_xlfn.IFS(F741&gt;40, "High DTI Risk",F741&gt;=25, "Moderate DTI",F741&lt;25, "Low DTI")</f>
        <v>Low DTI</v>
      </c>
      <c r="H741" t="str" cm="1">
        <f t="array" ref="H7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41" t="str">
        <f>_xlfn.XLOOKUP(H741,Reference_Tables!$B$2:$B$7,Reference_Tables!$C$2:$C$7,,0,1)</f>
        <v>HR</v>
      </c>
      <c r="J741" t="str">
        <f>INDEX(Reference_Tables!$D$11:$D$36,MATCH(LoanData[[#This Row],[Branch]],Reference_Tables!$A$11:$A$36,0))</f>
        <v>Amit Kumar</v>
      </c>
      <c r="L741" s="35"/>
    </row>
    <row r="742" spans="2:12" ht="15.6" x14ac:dyDescent="0.3">
      <c r="B742" s="15">
        <f>DATEDIF(Loan_Data!K:K,Loan_Data!L:L,"D")</f>
        <v>20</v>
      </c>
      <c r="C742" s="15">
        <f ca="1">DATEDIF(LoanData[[#This Row],[Approval_Date]],TODAY(),"M")</f>
        <v>35</v>
      </c>
      <c r="D742" s="31">
        <f>EDATE(LoanData[[#This Row],[Approval_Date]],LoanData[[#This Row],[Loan_Term_Months]])</f>
        <v>45895</v>
      </c>
      <c r="E742" t="str">
        <f t="shared" ca="1" si="11"/>
        <v>YES</v>
      </c>
      <c r="F742" s="33">
        <f>IFERROR(LoanData[[#This Row],[EMI]]/LoanData[[#This Row],[Monthly_Income]]*100," ")</f>
        <v>39.409970169272036</v>
      </c>
      <c r="G742" t="str" cm="1">
        <f t="array" ref="G742">_xlfn.IFS(F742&gt;40, "High DTI Risk",F742&gt;=25, "Moderate DTI",F742&lt;25, "Low DTI")</f>
        <v>Moderate DTI</v>
      </c>
      <c r="H742" t="str" cm="1">
        <f t="array" ref="H7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42" t="str">
        <f>_xlfn.XLOOKUP(H742,Reference_Tables!$B$2:$B$7,Reference_Tables!$C$2:$C$7,,0,1)</f>
        <v>HR</v>
      </c>
      <c r="J742" t="str">
        <f>INDEX(Reference_Tables!$D$11:$D$36,MATCH(LoanData[[#This Row],[Branch]],Reference_Tables!$A$11:$A$36,0))</f>
        <v>Suresh Menon</v>
      </c>
      <c r="L742" s="35"/>
    </row>
    <row r="743" spans="2:12" ht="15.6" x14ac:dyDescent="0.3">
      <c r="B743" s="15">
        <f>DATEDIF(Loan_Data!K:K,Loan_Data!L:L,"D")</f>
        <v>27</v>
      </c>
      <c r="C743" s="15">
        <f ca="1">DATEDIF(LoanData[[#This Row],[Approval_Date]],TODAY(),"M")</f>
        <v>61</v>
      </c>
      <c r="D743" s="31">
        <f>EDATE(LoanData[[#This Row],[Approval_Date]],LoanData[[#This Row],[Loan_Term_Months]])</f>
        <v>51678</v>
      </c>
      <c r="E743" t="str">
        <f t="shared" ca="1" si="11"/>
        <v>NO</v>
      </c>
      <c r="F743" s="33">
        <f>IFERROR(LoanData[[#This Row],[EMI]]/LoanData[[#This Row],[Monthly_Income]]*100," ")</f>
        <v>1.0886086607339474</v>
      </c>
      <c r="G743" t="str" cm="1">
        <f t="array" ref="G743">_xlfn.IFS(F743&gt;40, "High DTI Risk",F743&gt;=25, "Moderate DTI",F743&lt;25, "Low DTI")</f>
        <v>Low DTI</v>
      </c>
      <c r="H743" t="str" cm="1">
        <f t="array" ref="H7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43" t="str">
        <f>_xlfn.XLOOKUP(H743,Reference_Tables!$B$2:$B$7,Reference_Tables!$C$2:$C$7,,0,1)</f>
        <v>LR</v>
      </c>
      <c r="J743" t="str">
        <f>INDEX(Reference_Tables!$D$11:$D$36,MATCH(LoanData[[#This Row],[Branch]],Reference_Tables!$A$11:$A$36,0))</f>
        <v>Jigar Mehta</v>
      </c>
      <c r="L743" s="35"/>
    </row>
    <row r="744" spans="2:12" ht="15.6" x14ac:dyDescent="0.3">
      <c r="B744" s="15">
        <f>DATEDIF(Loan_Data!K:K,Loan_Data!L:L,"D")</f>
        <v>9</v>
      </c>
      <c r="C744" s="15">
        <f ca="1">DATEDIF(LoanData[[#This Row],[Approval_Date]],TODAY(),"M")</f>
        <v>45</v>
      </c>
      <c r="D744" s="31">
        <f>EDATE(LoanData[[#This Row],[Approval_Date]],LoanData[[#This Row],[Loan_Term_Months]])</f>
        <v>46324</v>
      </c>
      <c r="E744" t="str">
        <f t="shared" ca="1" si="11"/>
        <v>NO</v>
      </c>
      <c r="F744" s="33">
        <f>IFERROR(LoanData[[#This Row],[EMI]]/LoanData[[#This Row],[Monthly_Income]]*100," ")</f>
        <v>5.1911426391534015</v>
      </c>
      <c r="G744" t="str" cm="1">
        <f t="array" ref="G744">_xlfn.IFS(F744&gt;40, "High DTI Risk",F744&gt;=25, "Moderate DTI",F744&lt;25, "Low DTI")</f>
        <v>Low DTI</v>
      </c>
      <c r="H744" t="str" cm="1">
        <f t="array" ref="H7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44" t="str">
        <f>_xlfn.XLOOKUP(H744,Reference_Tables!$B$2:$B$7,Reference_Tables!$C$2:$C$7,,0,1)</f>
        <v>HR</v>
      </c>
      <c r="J744" t="str">
        <f>INDEX(Reference_Tables!$D$11:$D$36,MATCH(LoanData[[#This Row],[Branch]],Reference_Tables!$A$11:$A$36,0))</f>
        <v>Arvind Pillai</v>
      </c>
      <c r="L744" s="35"/>
    </row>
    <row r="745" spans="2:12" ht="15.6" x14ac:dyDescent="0.3">
      <c r="B745" s="15">
        <f>DATEDIF(Loan_Data!K:K,Loan_Data!L:L,"D")</f>
        <v>29</v>
      </c>
      <c r="C745" s="15">
        <f ca="1">DATEDIF(LoanData[[#This Row],[Approval_Date]],TODAY(),"M")</f>
        <v>62</v>
      </c>
      <c r="D745" s="31">
        <f>EDATE(LoanData[[#This Row],[Approval_Date]],LoanData[[#This Row],[Loan_Term_Months]])</f>
        <v>45446</v>
      </c>
      <c r="E745" t="str">
        <f t="shared" ca="1" si="11"/>
        <v>YES</v>
      </c>
      <c r="F745" s="33">
        <f>IFERROR(LoanData[[#This Row],[EMI]]/LoanData[[#This Row],[Monthly_Income]]*100," ")</f>
        <v>1.1158839380528258</v>
      </c>
      <c r="G745" t="str" cm="1">
        <f t="array" ref="G745">_xlfn.IFS(F745&gt;40, "High DTI Risk",F745&gt;=25, "Moderate DTI",F745&lt;25, "Low DTI")</f>
        <v>Low DTI</v>
      </c>
      <c r="H745" t="str" cm="1">
        <f t="array" ref="H7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45" t="str">
        <f>_xlfn.XLOOKUP(H745,Reference_Tables!$B$2:$B$7,Reference_Tables!$C$2:$C$7,,0,1)</f>
        <v>VHR</v>
      </c>
      <c r="J745" t="str">
        <f>INDEX(Reference_Tables!$D$11:$D$36,MATCH(LoanData[[#This Row],[Branch]],Reference_Tables!$A$11:$A$36,0))</f>
        <v>Rituparna Bora</v>
      </c>
      <c r="L745" s="35"/>
    </row>
    <row r="746" spans="2:12" ht="15.6" x14ac:dyDescent="0.3">
      <c r="B746" s="15">
        <f>DATEDIF(Loan_Data!K:K,Loan_Data!L:L,"D")</f>
        <v>23</v>
      </c>
      <c r="C746" s="15">
        <f ca="1">DATEDIF(LoanData[[#This Row],[Approval_Date]],TODAY(),"M")</f>
        <v>47</v>
      </c>
      <c r="D746" s="31">
        <f>EDATE(LoanData[[#This Row],[Approval_Date]],LoanData[[#This Row],[Loan_Term_Months]])</f>
        <v>46273</v>
      </c>
      <c r="E746" t="str">
        <f t="shared" ca="1" si="11"/>
        <v>NO</v>
      </c>
      <c r="F746" s="33">
        <f>IFERROR(LoanData[[#This Row],[EMI]]/LoanData[[#This Row],[Monthly_Income]]*100," ")</f>
        <v>1.7857575970333117</v>
      </c>
      <c r="G746" t="str" cm="1">
        <f t="array" ref="G746">_xlfn.IFS(F746&gt;40, "High DTI Risk",F746&gt;=25, "Moderate DTI",F746&lt;25, "Low DTI")</f>
        <v>Low DTI</v>
      </c>
      <c r="H746" t="str" cm="1">
        <f t="array" ref="H7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746" t="str">
        <f>_xlfn.XLOOKUP(H746,Reference_Tables!$B$2:$B$7,Reference_Tables!$C$2:$C$7,,0,1)</f>
        <v>UC</v>
      </c>
      <c r="J746" t="str">
        <f>INDEX(Reference_Tables!$D$11:$D$36,MATCH(LoanData[[#This Row],[Branch]],Reference_Tables!$A$11:$A$36,0))</f>
        <v>Nilesh Shah</v>
      </c>
      <c r="L746" s="35"/>
    </row>
    <row r="747" spans="2:12" ht="15.6" x14ac:dyDescent="0.3">
      <c r="B747" s="15">
        <f>DATEDIF(Loan_Data!K:K,Loan_Data!L:L,"D")</f>
        <v>8</v>
      </c>
      <c r="C747" s="15">
        <f ca="1">DATEDIF(LoanData[[#This Row],[Approval_Date]],TODAY(),"M")</f>
        <v>41</v>
      </c>
      <c r="D747" s="31">
        <f>EDATE(LoanData[[#This Row],[Approval_Date]],LoanData[[#This Row],[Loan_Term_Months]])</f>
        <v>47559</v>
      </c>
      <c r="E747" t="str">
        <f t="shared" ca="1" si="11"/>
        <v>NO</v>
      </c>
      <c r="F747" s="33">
        <f>IFERROR(LoanData[[#This Row],[EMI]]/LoanData[[#This Row],[Monthly_Income]]*100," ")</f>
        <v>0.44067823799287759</v>
      </c>
      <c r="G747" t="str" cm="1">
        <f t="array" ref="G747">_xlfn.IFS(F747&gt;40, "High DTI Risk",F747&gt;=25, "Moderate DTI",F747&lt;25, "Low DTI")</f>
        <v>Low DTI</v>
      </c>
      <c r="H747" t="str" cm="1">
        <f t="array" ref="H7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47" t="str">
        <f>_xlfn.XLOOKUP(H747,Reference_Tables!$B$2:$B$7,Reference_Tables!$C$2:$C$7,,0,1)</f>
        <v>MR</v>
      </c>
      <c r="J747" t="str">
        <f>INDEX(Reference_Tables!$D$11:$D$36,MATCH(LoanData[[#This Row],[Branch]],Reference_Tables!$A$11:$A$36,0))</f>
        <v>Ananya Sharma</v>
      </c>
      <c r="L747" s="35"/>
    </row>
    <row r="748" spans="2:12" ht="15.6" x14ac:dyDescent="0.3">
      <c r="B748" s="15">
        <f>DATEDIF(Loan_Data!K:K,Loan_Data!L:L,"D")</f>
        <v>9</v>
      </c>
      <c r="C748" s="15">
        <f ca="1">DATEDIF(LoanData[[#This Row],[Approval_Date]],TODAY(),"M")</f>
        <v>48</v>
      </c>
      <c r="D748" s="31">
        <f>EDATE(LoanData[[#This Row],[Approval_Date]],LoanData[[#This Row],[Loan_Term_Months]])</f>
        <v>45133</v>
      </c>
      <c r="E748" t="str">
        <f t="shared" ca="1" si="11"/>
        <v>YES</v>
      </c>
      <c r="F748" s="33">
        <f>IFERROR(LoanData[[#This Row],[EMI]]/LoanData[[#This Row],[Monthly_Income]]*100," ")</f>
        <v>67.098329525561525</v>
      </c>
      <c r="G748" t="str" cm="1">
        <f t="array" ref="G748">_xlfn.IFS(F748&gt;40, "High DTI Risk",F748&gt;=25, "Moderate DTI",F748&lt;25, "Low DTI")</f>
        <v>High DTI Risk</v>
      </c>
      <c r="H748" t="str" cm="1">
        <f t="array" ref="H7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48" t="str">
        <f>_xlfn.XLOOKUP(H748,Reference_Tables!$B$2:$B$7,Reference_Tables!$C$2:$C$7,,0,1)</f>
        <v>VHR</v>
      </c>
      <c r="J748" t="str">
        <f>INDEX(Reference_Tables!$D$11:$D$36,MATCH(LoanData[[#This Row],[Branch]],Reference_Tables!$A$11:$A$36,0))</f>
        <v>Tapan Panda</v>
      </c>
      <c r="L748" s="35"/>
    </row>
    <row r="749" spans="2:12" ht="15.6" x14ac:dyDescent="0.3">
      <c r="B749" s="15">
        <f>DATEDIF(Loan_Data!K:K,Loan_Data!L:L,"D")</f>
        <v>14</v>
      </c>
      <c r="C749" s="15">
        <f ca="1">DATEDIF(LoanData[[#This Row],[Approval_Date]],TODAY(),"M")</f>
        <v>41</v>
      </c>
      <c r="D749" s="31">
        <f>EDATE(LoanData[[#This Row],[Approval_Date]],LoanData[[#This Row],[Loan_Term_Months]])</f>
        <v>47551</v>
      </c>
      <c r="E749" t="str">
        <f t="shared" ca="1" si="11"/>
        <v>NO</v>
      </c>
      <c r="F749" s="33">
        <f>IFERROR(LoanData[[#This Row],[EMI]]/LoanData[[#This Row],[Monthly_Income]]*100," ")</f>
        <v>1.7956992734820967</v>
      </c>
      <c r="G749" t="str" cm="1">
        <f t="array" ref="G749">_xlfn.IFS(F749&gt;40, "High DTI Risk",F749&gt;=25, "Moderate DTI",F749&lt;25, "Low DTI")</f>
        <v>Low DTI</v>
      </c>
      <c r="H749" t="str" cm="1">
        <f t="array" ref="H7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49" t="str">
        <f>_xlfn.XLOOKUP(H749,Reference_Tables!$B$2:$B$7,Reference_Tables!$C$2:$C$7,,0,1)</f>
        <v>MR</v>
      </c>
      <c r="J749" t="str">
        <f>INDEX(Reference_Tables!$D$11:$D$36,MATCH(LoanData[[#This Row],[Branch]],Reference_Tables!$A$11:$A$36,0))</f>
        <v>Suresh Menon</v>
      </c>
      <c r="L749" s="35"/>
    </row>
    <row r="750" spans="2:12" ht="15.6" x14ac:dyDescent="0.3">
      <c r="B750" s="15">
        <f>DATEDIF(Loan_Data!K:K,Loan_Data!L:L,"D")</f>
        <v>3</v>
      </c>
      <c r="C750" s="15">
        <f ca="1">DATEDIF(LoanData[[#This Row],[Approval_Date]],TODAY(),"M")</f>
        <v>44</v>
      </c>
      <c r="D750" s="31">
        <f>EDATE(LoanData[[#This Row],[Approval_Date]],LoanData[[#This Row],[Loan_Term_Months]])</f>
        <v>48565</v>
      </c>
      <c r="E750" t="str">
        <f t="shared" ca="1" si="11"/>
        <v>NO</v>
      </c>
      <c r="F750" s="33">
        <f>IFERROR(LoanData[[#This Row],[EMI]]/LoanData[[#This Row],[Monthly_Income]]*100," ")</f>
        <v>2.7038070344136411</v>
      </c>
      <c r="G750" t="str" cm="1">
        <f t="array" ref="G750">_xlfn.IFS(F750&gt;40, "High DTI Risk",F750&gt;=25, "Moderate DTI",F750&lt;25, "Low DTI")</f>
        <v>Low DTI</v>
      </c>
      <c r="H750" t="str" cm="1">
        <f t="array" ref="H7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50" t="str">
        <f>_xlfn.XLOOKUP(H750,Reference_Tables!$B$2:$B$7,Reference_Tables!$C$2:$C$7,,0,1)</f>
        <v>LR</v>
      </c>
      <c r="J750" t="str">
        <f>INDEX(Reference_Tables!$D$11:$D$36,MATCH(LoanData[[#This Row],[Branch]],Reference_Tables!$A$11:$A$36,0))</f>
        <v>Priyanka Gupta</v>
      </c>
      <c r="L750" s="35"/>
    </row>
    <row r="751" spans="2:12" ht="15.6" x14ac:dyDescent="0.3">
      <c r="B751" s="15">
        <f>DATEDIF(Loan_Data!K:K,Loan_Data!L:L,"D")</f>
        <v>5</v>
      </c>
      <c r="C751" s="15">
        <f ca="1">DATEDIF(LoanData[[#This Row],[Approval_Date]],TODAY(),"M")</f>
        <v>41</v>
      </c>
      <c r="D751" s="31">
        <f>EDATE(LoanData[[#This Row],[Approval_Date]],LoanData[[#This Row],[Loan_Term_Months]])</f>
        <v>46452</v>
      </c>
      <c r="E751" t="str">
        <f t="shared" ca="1" si="11"/>
        <v>NO</v>
      </c>
      <c r="F751" s="33">
        <f>IFERROR(LoanData[[#This Row],[EMI]]/LoanData[[#This Row],[Monthly_Income]]*100," ")</f>
        <v>1.125848175985485</v>
      </c>
      <c r="G751" t="str" cm="1">
        <f t="array" ref="G751">_xlfn.IFS(F751&gt;40, "High DTI Risk",F751&gt;=25, "Moderate DTI",F751&lt;25, "Low DTI")</f>
        <v>Low DTI</v>
      </c>
      <c r="H751" t="str" cm="1">
        <f t="array" ref="H7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51" t="str">
        <f>_xlfn.XLOOKUP(H751,Reference_Tables!$B$2:$B$7,Reference_Tables!$C$2:$C$7,,0,1)</f>
        <v>VHR</v>
      </c>
      <c r="J751" t="str">
        <f>INDEX(Reference_Tables!$D$11:$D$36,MATCH(LoanData[[#This Row],[Branch]],Reference_Tables!$A$11:$A$36,0))</f>
        <v>Rahul Kapoor</v>
      </c>
      <c r="L751" s="35"/>
    </row>
    <row r="752" spans="2:12" ht="15.6" x14ac:dyDescent="0.3">
      <c r="B752" s="15">
        <f>DATEDIF(Loan_Data!K:K,Loan_Data!L:L,"D")</f>
        <v>29</v>
      </c>
      <c r="C752" s="15">
        <f ca="1">DATEDIF(LoanData[[#This Row],[Approval_Date]],TODAY(),"M")</f>
        <v>61</v>
      </c>
      <c r="D752" s="31">
        <f>EDATE(LoanData[[#This Row],[Approval_Date]],LoanData[[#This Row],[Loan_Term_Months]])</f>
        <v>46945</v>
      </c>
      <c r="E752" t="str">
        <f t="shared" ca="1" si="11"/>
        <v>NO</v>
      </c>
      <c r="F752" s="33">
        <f>IFERROR(LoanData[[#This Row],[EMI]]/LoanData[[#This Row],[Monthly_Income]]*100," ")</f>
        <v>0.83283209608157582</v>
      </c>
      <c r="G752" t="str" cm="1">
        <f t="array" ref="G752">_xlfn.IFS(F752&gt;40, "High DTI Risk",F752&gt;=25, "Moderate DTI",F752&lt;25, "Low DTI")</f>
        <v>Low DTI</v>
      </c>
      <c r="H752" t="str" cm="1">
        <f t="array" ref="H7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52" t="str">
        <f>_xlfn.XLOOKUP(H752,Reference_Tables!$B$2:$B$7,Reference_Tables!$C$2:$C$7,,0,1)</f>
        <v>MR</v>
      </c>
      <c r="J752" t="str">
        <f>INDEX(Reference_Tables!$D$11:$D$36,MATCH(LoanData[[#This Row],[Branch]],Reference_Tables!$A$11:$A$36,0))</f>
        <v>Nilesh Shah</v>
      </c>
      <c r="L752" s="35"/>
    </row>
    <row r="753" spans="2:12" ht="15.6" x14ac:dyDescent="0.3">
      <c r="B753" s="15">
        <f>DATEDIF(Loan_Data!K:K,Loan_Data!L:L,"D")</f>
        <v>18</v>
      </c>
      <c r="C753" s="15">
        <f ca="1">DATEDIF(LoanData[[#This Row],[Approval_Date]],TODAY(),"M")</f>
        <v>59</v>
      </c>
      <c r="D753" s="31">
        <f>EDATE(LoanData[[#This Row],[Approval_Date]],LoanData[[#This Row],[Loan_Term_Months]])</f>
        <v>48080</v>
      </c>
      <c r="E753" t="str">
        <f t="shared" ca="1" si="11"/>
        <v>NO</v>
      </c>
      <c r="F753" s="33">
        <f>IFERROR(LoanData[[#This Row],[EMI]]/LoanData[[#This Row],[Monthly_Income]]*100," ")</f>
        <v>0.46636383930737951</v>
      </c>
      <c r="G753" t="str" cm="1">
        <f t="array" ref="G753">_xlfn.IFS(F753&gt;40, "High DTI Risk",F753&gt;=25, "Moderate DTI",F753&lt;25, "Low DTI")</f>
        <v>Low DTI</v>
      </c>
      <c r="H753" t="str" cm="1">
        <f t="array" ref="H7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53" t="str">
        <f>_xlfn.XLOOKUP(H753,Reference_Tables!$B$2:$B$7,Reference_Tables!$C$2:$C$7,,0,1)</f>
        <v>VHR</v>
      </c>
      <c r="J753" t="str">
        <f>INDEX(Reference_Tables!$D$11:$D$36,MATCH(LoanData[[#This Row],[Branch]],Reference_Tables!$A$11:$A$36,0))</f>
        <v>Anil Mishra</v>
      </c>
      <c r="L753" s="35"/>
    </row>
    <row r="754" spans="2:12" ht="15.6" x14ac:dyDescent="0.3">
      <c r="B754" s="15">
        <f>DATEDIF(Loan_Data!K:K,Loan_Data!L:L,"D")</f>
        <v>10</v>
      </c>
      <c r="C754" s="15">
        <f ca="1">DATEDIF(LoanData[[#This Row],[Approval_Date]],TODAY(),"M")</f>
        <v>33</v>
      </c>
      <c r="D754" s="31">
        <f>EDATE(LoanData[[#This Row],[Approval_Date]],LoanData[[#This Row],[Loan_Term_Months]])</f>
        <v>47047</v>
      </c>
      <c r="E754" t="str">
        <f t="shared" ca="1" si="11"/>
        <v>NO</v>
      </c>
      <c r="F754" s="33">
        <f>IFERROR(LoanData[[#This Row],[EMI]]/LoanData[[#This Row],[Monthly_Income]]*100," ")</f>
        <v>8.1453458498023714</v>
      </c>
      <c r="G754" t="str" cm="1">
        <f t="array" ref="G754">_xlfn.IFS(F754&gt;40, "High DTI Risk",F754&gt;=25, "Moderate DTI",F754&lt;25, "Low DTI")</f>
        <v>Low DTI</v>
      </c>
      <c r="H754" t="str" cm="1">
        <f t="array" ref="H7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54" t="str">
        <f>_xlfn.XLOOKUP(H754,Reference_Tables!$B$2:$B$7,Reference_Tables!$C$2:$C$7,,0,1)</f>
        <v>VHR</v>
      </c>
      <c r="J754" t="str">
        <f>INDEX(Reference_Tables!$D$11:$D$36,MATCH(LoanData[[#This Row],[Branch]],Reference_Tables!$A$11:$A$36,0))</f>
        <v>Rahul Kapoor</v>
      </c>
      <c r="L754" s="35"/>
    </row>
    <row r="755" spans="2:12" ht="15.6" x14ac:dyDescent="0.3">
      <c r="B755" s="15">
        <f>DATEDIF(Loan_Data!K:K,Loan_Data!L:L,"D")</f>
        <v>7</v>
      </c>
      <c r="C755" s="15">
        <f ca="1">DATEDIF(LoanData[[#This Row],[Approval_Date]],TODAY(),"M")</f>
        <v>52</v>
      </c>
      <c r="D755" s="31">
        <f>EDATE(LoanData[[#This Row],[Approval_Date]],LoanData[[#This Row],[Loan_Term_Months]])</f>
        <v>46472</v>
      </c>
      <c r="E755" t="str">
        <f t="shared" ca="1" si="11"/>
        <v>NO</v>
      </c>
      <c r="F755" s="33">
        <f>IFERROR(LoanData[[#This Row],[EMI]]/LoanData[[#This Row],[Monthly_Income]]*100," ")</f>
        <v>1.2744325595174313</v>
      </c>
      <c r="G755" t="str" cm="1">
        <f t="array" ref="G755">_xlfn.IFS(F755&gt;40, "High DTI Risk",F755&gt;=25, "Moderate DTI",F755&lt;25, "Low DTI")</f>
        <v>Low DTI</v>
      </c>
      <c r="H755" t="str" cm="1">
        <f t="array" ref="H7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55" t="str">
        <f>_xlfn.XLOOKUP(H755,Reference_Tables!$B$2:$B$7,Reference_Tables!$C$2:$C$7,,0,1)</f>
        <v>VHR</v>
      </c>
      <c r="J755" t="str">
        <f>INDEX(Reference_Tables!$D$11:$D$36,MATCH(LoanData[[#This Row],[Branch]],Reference_Tables!$A$11:$A$36,0))</f>
        <v>Meena Iyer</v>
      </c>
      <c r="L755" s="35"/>
    </row>
    <row r="756" spans="2:12" ht="15.6" x14ac:dyDescent="0.3">
      <c r="B756" s="15">
        <f>DATEDIF(Loan_Data!K:K,Loan_Data!L:L,"D")</f>
        <v>15</v>
      </c>
      <c r="C756" s="15">
        <f ca="1">DATEDIF(LoanData[[#This Row],[Approval_Date]],TODAY(),"M")</f>
        <v>31</v>
      </c>
      <c r="D756" s="31">
        <f>EDATE(LoanData[[#This Row],[Approval_Date]],LoanData[[#This Row],[Loan_Term_Months]])</f>
        <v>50766</v>
      </c>
      <c r="E756" t="str">
        <f t="shared" ca="1" si="11"/>
        <v>NO</v>
      </c>
      <c r="F756" s="33">
        <f>IFERROR(LoanData[[#This Row],[EMI]]/LoanData[[#This Row],[Monthly_Income]]*100," ")</f>
        <v>9.0802065337655549</v>
      </c>
      <c r="G756" t="str" cm="1">
        <f t="array" ref="G756">_xlfn.IFS(F756&gt;40, "High DTI Risk",F756&gt;=25, "Moderate DTI",F756&lt;25, "Low DTI")</f>
        <v>Low DTI</v>
      </c>
      <c r="H756" t="str" cm="1">
        <f t="array" ref="H7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56" t="str">
        <f>_xlfn.XLOOKUP(H756,Reference_Tables!$B$2:$B$7,Reference_Tables!$C$2:$C$7,,0,1)</f>
        <v>MR</v>
      </c>
      <c r="J756" t="str">
        <f>INDEX(Reference_Tables!$D$11:$D$36,MATCH(LoanData[[#This Row],[Branch]],Reference_Tables!$A$11:$A$36,0))</f>
        <v>Sandeep Saxena</v>
      </c>
      <c r="L756" s="35"/>
    </row>
    <row r="757" spans="2:12" ht="15.6" x14ac:dyDescent="0.3">
      <c r="B757" s="15">
        <f>DATEDIF(Loan_Data!K:K,Loan_Data!L:L,"D")</f>
        <v>8</v>
      </c>
      <c r="C757" s="15">
        <f ca="1">DATEDIF(LoanData[[#This Row],[Approval_Date]],TODAY(),"M")</f>
        <v>47</v>
      </c>
      <c r="D757" s="31">
        <f>EDATE(LoanData[[#This Row],[Approval_Date]],LoanData[[#This Row],[Loan_Term_Months]])</f>
        <v>45161</v>
      </c>
      <c r="E757" t="str">
        <f t="shared" ca="1" si="11"/>
        <v>YES</v>
      </c>
      <c r="F757" s="33">
        <f>IFERROR(LoanData[[#This Row],[EMI]]/LoanData[[#This Row],[Monthly_Income]]*100," ")</f>
        <v>11.748317585480253</v>
      </c>
      <c r="G757" t="str" cm="1">
        <f t="array" ref="G757">_xlfn.IFS(F757&gt;40, "High DTI Risk",F757&gt;=25, "Moderate DTI",F757&lt;25, "Low DTI")</f>
        <v>Low DTI</v>
      </c>
      <c r="H757" t="str" cm="1">
        <f t="array" ref="H7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57" t="str">
        <f>_xlfn.XLOOKUP(H757,Reference_Tables!$B$2:$B$7,Reference_Tables!$C$2:$C$7,,0,1)</f>
        <v>HR</v>
      </c>
      <c r="J757" t="str">
        <f>INDEX(Reference_Tables!$D$11:$D$36,MATCH(LoanData[[#This Row],[Branch]],Reference_Tables!$A$11:$A$36,0))</f>
        <v>Priyanka Gupta</v>
      </c>
      <c r="L757" s="35"/>
    </row>
    <row r="758" spans="2:12" ht="15.6" x14ac:dyDescent="0.3">
      <c r="B758" s="15">
        <f>DATEDIF(Loan_Data!K:K,Loan_Data!L:L,"D")</f>
        <v>10</v>
      </c>
      <c r="C758" s="15">
        <f ca="1">DATEDIF(LoanData[[#This Row],[Approval_Date]],TODAY(),"M")</f>
        <v>57</v>
      </c>
      <c r="D758" s="31">
        <f>EDATE(LoanData[[#This Row],[Approval_Date]],LoanData[[#This Row],[Loan_Term_Months]])</f>
        <v>45972</v>
      </c>
      <c r="E758" t="str">
        <f t="shared" ca="1" si="11"/>
        <v>YES</v>
      </c>
      <c r="F758" s="33">
        <f>IFERROR(LoanData[[#This Row],[EMI]]/LoanData[[#This Row],[Monthly_Income]]*100," ")</f>
        <v>4.3515347385514085</v>
      </c>
      <c r="G758" t="str" cm="1">
        <f t="array" ref="G758">_xlfn.IFS(F758&gt;40, "High DTI Risk",F758&gt;=25, "Moderate DTI",F758&lt;25, "Low DTI")</f>
        <v>Low DTI</v>
      </c>
      <c r="H758" t="str" cm="1">
        <f t="array" ref="H7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58" t="str">
        <f>_xlfn.XLOOKUP(H758,Reference_Tables!$B$2:$B$7,Reference_Tables!$C$2:$C$7,,0,1)</f>
        <v>LR</v>
      </c>
      <c r="J758" t="str">
        <f>INDEX(Reference_Tables!$D$11:$D$36,MATCH(LoanData[[#This Row],[Branch]],Reference_Tables!$A$11:$A$36,0))</f>
        <v>Suman Tiwari</v>
      </c>
      <c r="L758" s="35"/>
    </row>
    <row r="759" spans="2:12" ht="15.6" x14ac:dyDescent="0.3">
      <c r="B759" s="15">
        <f>DATEDIF(Loan_Data!K:K,Loan_Data!L:L,"D")</f>
        <v>18</v>
      </c>
      <c r="C759" s="15">
        <f ca="1">DATEDIF(LoanData[[#This Row],[Approval_Date]],TODAY(),"M")</f>
        <v>34</v>
      </c>
      <c r="D759" s="31">
        <f>EDATE(LoanData[[#This Row],[Approval_Date]],LoanData[[#This Row],[Loan_Term_Months]])</f>
        <v>45565</v>
      </c>
      <c r="E759" t="str">
        <f t="shared" ca="1" si="11"/>
        <v>YES</v>
      </c>
      <c r="F759" s="33">
        <f>IFERROR(LoanData[[#This Row],[EMI]]/LoanData[[#This Row],[Monthly_Income]]*100," ")</f>
        <v>49.295083715474028</v>
      </c>
      <c r="G759" t="str" cm="1">
        <f t="array" ref="G759">_xlfn.IFS(F759&gt;40, "High DTI Risk",F759&gt;=25, "Moderate DTI",F759&lt;25, "Low DTI")</f>
        <v>High DTI Risk</v>
      </c>
      <c r="H759" t="str" cm="1">
        <f t="array" ref="H7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59" t="str">
        <f>_xlfn.XLOOKUP(H759,Reference_Tables!$B$2:$B$7,Reference_Tables!$C$2:$C$7,,0,1)</f>
        <v>VHR</v>
      </c>
      <c r="J759" t="str">
        <f>INDEX(Reference_Tables!$D$11:$D$36,MATCH(LoanData[[#This Row],[Branch]],Reference_Tables!$A$11:$A$36,0))</f>
        <v>Sachin Deshpande</v>
      </c>
      <c r="L759" s="35"/>
    </row>
    <row r="760" spans="2:12" ht="15.6" x14ac:dyDescent="0.3">
      <c r="B760" s="15">
        <f>DATEDIF(Loan_Data!K:K,Loan_Data!L:L,"D")</f>
        <v>5</v>
      </c>
      <c r="C760" s="15">
        <f ca="1">DATEDIF(LoanData[[#This Row],[Approval_Date]],TODAY(),"M")</f>
        <v>65</v>
      </c>
      <c r="D760" s="31">
        <f>EDATE(LoanData[[#This Row],[Approval_Date]],LoanData[[#This Row],[Loan_Term_Months]])</f>
        <v>46089</v>
      </c>
      <c r="E760" t="str">
        <f t="shared" ca="1" si="11"/>
        <v>YES</v>
      </c>
      <c r="F760" s="33">
        <f>IFERROR(LoanData[[#This Row],[EMI]]/LoanData[[#This Row],[Monthly_Income]]*100," ")</f>
        <v>3.6526077159069312</v>
      </c>
      <c r="G760" t="str" cm="1">
        <f t="array" ref="G760">_xlfn.IFS(F760&gt;40, "High DTI Risk",F760&gt;=25, "Moderate DTI",F760&lt;25, "Low DTI")</f>
        <v>Low DTI</v>
      </c>
      <c r="H760" t="str" cm="1">
        <f t="array" ref="H7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60" t="str">
        <f>_xlfn.XLOOKUP(H760,Reference_Tables!$B$2:$B$7,Reference_Tables!$C$2:$C$7,,0,1)</f>
        <v>VHR</v>
      </c>
      <c r="J760" t="str">
        <f>INDEX(Reference_Tables!$D$11:$D$36,MATCH(LoanData[[#This Row],[Branch]],Reference_Tables!$A$11:$A$36,0))</f>
        <v>Tapan Panda</v>
      </c>
      <c r="L760" s="35"/>
    </row>
    <row r="761" spans="2:12" ht="15.6" x14ac:dyDescent="0.3">
      <c r="B761" s="15">
        <f>DATEDIF(Loan_Data!K:K,Loan_Data!L:L,"D")</f>
        <v>19</v>
      </c>
      <c r="C761" s="15">
        <f ca="1">DATEDIF(LoanData[[#This Row],[Approval_Date]],TODAY(),"M")</f>
        <v>66</v>
      </c>
      <c r="D761" s="31">
        <f>EDATE(LoanData[[#This Row],[Approval_Date]],LoanData[[#This Row],[Loan_Term_Months]])</f>
        <v>44588</v>
      </c>
      <c r="E761" t="str">
        <f t="shared" ca="1" si="11"/>
        <v>YES</v>
      </c>
      <c r="F761" s="33">
        <f>IFERROR(LoanData[[#This Row],[EMI]]/LoanData[[#This Row],[Monthly_Income]]*100," ")</f>
        <v>6.4019275584488788</v>
      </c>
      <c r="G761" t="str" cm="1">
        <f t="array" ref="G761">_xlfn.IFS(F761&gt;40, "High DTI Risk",F761&gt;=25, "Moderate DTI",F761&lt;25, "Low DTI")</f>
        <v>Low DTI</v>
      </c>
      <c r="H761" t="str" cm="1">
        <f t="array" ref="H7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61" t="str">
        <f>_xlfn.XLOOKUP(H761,Reference_Tables!$B$2:$B$7,Reference_Tables!$C$2:$C$7,,0,1)</f>
        <v>HR</v>
      </c>
      <c r="J761" t="str">
        <f>INDEX(Reference_Tables!$D$11:$D$36,MATCH(LoanData[[#This Row],[Branch]],Reference_Tables!$A$11:$A$36,0))</f>
        <v>Arvind Pillai</v>
      </c>
      <c r="L761" s="35"/>
    </row>
    <row r="762" spans="2:12" ht="15.6" x14ac:dyDescent="0.3">
      <c r="B762" s="15">
        <f>DATEDIF(Loan_Data!K:K,Loan_Data!L:L,"D")</f>
        <v>20</v>
      </c>
      <c r="C762" s="15">
        <f ca="1">DATEDIF(LoanData[[#This Row],[Approval_Date]],TODAY(),"M")</f>
        <v>44</v>
      </c>
      <c r="D762" s="31">
        <f>EDATE(LoanData[[#This Row],[Approval_Date]],LoanData[[#This Row],[Loan_Term_Months]])</f>
        <v>48564</v>
      </c>
      <c r="E762" t="str">
        <f t="shared" ca="1" si="11"/>
        <v>NO</v>
      </c>
      <c r="F762" s="33">
        <f>IFERROR(LoanData[[#This Row],[EMI]]/LoanData[[#This Row],[Monthly_Income]]*100," ")</f>
        <v>1.3251337488279742</v>
      </c>
      <c r="G762" t="str" cm="1">
        <f t="array" ref="G762">_xlfn.IFS(F762&gt;40, "High DTI Risk",F762&gt;=25, "Moderate DTI",F762&lt;25, "Low DTI")</f>
        <v>Low DTI</v>
      </c>
      <c r="H762" t="str" cm="1">
        <f t="array" ref="H7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62" t="str">
        <f>_xlfn.XLOOKUP(H762,Reference_Tables!$B$2:$B$7,Reference_Tables!$C$2:$C$7,,0,1)</f>
        <v>VHR</v>
      </c>
      <c r="J762" t="str">
        <f>INDEX(Reference_Tables!$D$11:$D$36,MATCH(LoanData[[#This Row],[Branch]],Reference_Tables!$A$11:$A$36,0))</f>
        <v>Santhosh Rao</v>
      </c>
      <c r="L762" s="35"/>
    </row>
    <row r="763" spans="2:12" ht="15.6" x14ac:dyDescent="0.3">
      <c r="B763" s="15">
        <f>DATEDIF(Loan_Data!K:K,Loan_Data!L:L,"D")</f>
        <v>9</v>
      </c>
      <c r="C763" s="15">
        <f ca="1">DATEDIF(LoanData[[#This Row],[Approval_Date]],TODAY(),"M")</f>
        <v>40</v>
      </c>
      <c r="D763" s="31">
        <f>EDATE(LoanData[[#This Row],[Approval_Date]],LoanData[[#This Row],[Loan_Term_Months]])</f>
        <v>52312</v>
      </c>
      <c r="E763" t="str">
        <f t="shared" ca="1" si="11"/>
        <v>NO</v>
      </c>
      <c r="F763" s="33">
        <f>IFERROR(LoanData[[#This Row],[EMI]]/LoanData[[#This Row],[Monthly_Income]]*100," ")</f>
        <v>1.8574160655545908</v>
      </c>
      <c r="G763" t="str" cm="1">
        <f t="array" ref="G763">_xlfn.IFS(F763&gt;40, "High DTI Risk",F763&gt;=25, "Moderate DTI",F763&lt;25, "Low DTI")</f>
        <v>Low DTI</v>
      </c>
      <c r="H763" t="str" cm="1">
        <f t="array" ref="H7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63" t="str">
        <f>_xlfn.XLOOKUP(H763,Reference_Tables!$B$2:$B$7,Reference_Tables!$C$2:$C$7,,0,1)</f>
        <v>HR</v>
      </c>
      <c r="J763" t="str">
        <f>INDEX(Reference_Tables!$D$11:$D$36,MATCH(LoanData[[#This Row],[Branch]],Reference_Tables!$A$11:$A$36,0))</f>
        <v>Suresh Menon</v>
      </c>
      <c r="L763" s="35"/>
    </row>
    <row r="764" spans="2:12" ht="15.6" x14ac:dyDescent="0.3">
      <c r="B764" s="15">
        <f>DATEDIF(Loan_Data!K:K,Loan_Data!L:L,"D")</f>
        <v>4</v>
      </c>
      <c r="C764" s="15">
        <f ca="1">DATEDIF(LoanData[[#This Row],[Approval_Date]],TODAY(),"M")</f>
        <v>57</v>
      </c>
      <c r="D764" s="31">
        <f>EDATE(LoanData[[#This Row],[Approval_Date]],LoanData[[#This Row],[Loan_Term_Months]])</f>
        <v>45593</v>
      </c>
      <c r="E764" t="str">
        <f t="shared" ca="1" si="11"/>
        <v>YES</v>
      </c>
      <c r="F764" s="33">
        <f>IFERROR(LoanData[[#This Row],[EMI]]/LoanData[[#This Row],[Monthly_Income]]*100," ")</f>
        <v>6.4962133937787128</v>
      </c>
      <c r="G764" t="str" cm="1">
        <f t="array" ref="G764">_xlfn.IFS(F764&gt;40, "High DTI Risk",F764&gt;=25, "Moderate DTI",F764&lt;25, "Low DTI")</f>
        <v>Low DTI</v>
      </c>
      <c r="H764" t="str" cm="1">
        <f t="array" ref="H7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64" t="str">
        <f>_xlfn.XLOOKUP(H764,Reference_Tables!$B$2:$B$7,Reference_Tables!$C$2:$C$7,,0,1)</f>
        <v>MR</v>
      </c>
      <c r="J764" t="str">
        <f>INDEX(Reference_Tables!$D$11:$D$36,MATCH(LoanData[[#This Row],[Branch]],Reference_Tables!$A$11:$A$36,0))</f>
        <v>Tapan Panda</v>
      </c>
      <c r="L764" s="35"/>
    </row>
    <row r="765" spans="2:12" ht="15.6" x14ac:dyDescent="0.3">
      <c r="B765" s="15">
        <f>DATEDIF(Loan_Data!K:K,Loan_Data!L:L,"D")</f>
        <v>18</v>
      </c>
      <c r="C765" s="15">
        <f ca="1">DATEDIF(LoanData[[#This Row],[Approval_Date]],TODAY(),"M")</f>
        <v>38</v>
      </c>
      <c r="D765" s="31">
        <f>EDATE(LoanData[[#This Row],[Approval_Date]],LoanData[[#This Row],[Loan_Term_Months]])</f>
        <v>46179</v>
      </c>
      <c r="E765" t="str">
        <f t="shared" ca="1" si="11"/>
        <v>YES</v>
      </c>
      <c r="F765" s="33">
        <f>IFERROR(LoanData[[#This Row],[EMI]]/LoanData[[#This Row],[Monthly_Income]]*100," ")</f>
        <v>3.086237603526973</v>
      </c>
      <c r="G765" t="str" cm="1">
        <f t="array" ref="G765">_xlfn.IFS(F765&gt;40, "High DTI Risk",F765&gt;=25, "Moderate DTI",F765&lt;25, "Low DTI")</f>
        <v>Low DTI</v>
      </c>
      <c r="H765" t="str" cm="1">
        <f t="array" ref="H7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65" t="str">
        <f>_xlfn.XLOOKUP(H765,Reference_Tables!$B$2:$B$7,Reference_Tables!$C$2:$C$7,,0,1)</f>
        <v>VHR</v>
      </c>
      <c r="J765" t="str">
        <f>INDEX(Reference_Tables!$D$11:$D$36,MATCH(LoanData[[#This Row],[Branch]],Reference_Tables!$A$11:$A$36,0))</f>
        <v>Sachin Deshpande</v>
      </c>
      <c r="L765" s="35"/>
    </row>
    <row r="766" spans="2:12" ht="15.6" x14ac:dyDescent="0.3">
      <c r="B766" s="15">
        <f>DATEDIF(Loan_Data!K:K,Loan_Data!L:L,"D")</f>
        <v>24</v>
      </c>
      <c r="C766" s="15">
        <f ca="1">DATEDIF(LoanData[[#This Row],[Approval_Date]],TODAY(),"M")</f>
        <v>34</v>
      </c>
      <c r="D766" s="31">
        <f>EDATE(LoanData[[#This Row],[Approval_Date]],LoanData[[#This Row],[Loan_Term_Months]])</f>
        <v>46292</v>
      </c>
      <c r="E766" t="str">
        <f t="shared" ca="1" si="11"/>
        <v>NO</v>
      </c>
      <c r="F766" s="33">
        <f>IFERROR(LoanData[[#This Row],[EMI]]/LoanData[[#This Row],[Monthly_Income]]*100," ")</f>
        <v>0.92925634028021098</v>
      </c>
      <c r="G766" t="str" cm="1">
        <f t="array" ref="G766">_xlfn.IFS(F766&gt;40, "High DTI Risk",F766&gt;=25, "Moderate DTI",F766&lt;25, "Low DTI")</f>
        <v>Low DTI</v>
      </c>
      <c r="H766" t="str" cm="1">
        <f t="array" ref="H7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66" t="str">
        <f>_xlfn.XLOOKUP(H766,Reference_Tables!$B$2:$B$7,Reference_Tables!$C$2:$C$7,,0,1)</f>
        <v>MR</v>
      </c>
      <c r="J766" t="str">
        <f>INDEX(Reference_Tables!$D$11:$D$36,MATCH(LoanData[[#This Row],[Branch]],Reference_Tables!$A$11:$A$36,0))</f>
        <v>Puja Chatterjee</v>
      </c>
      <c r="L766" s="35"/>
    </row>
    <row r="767" spans="2:12" ht="15.6" x14ac:dyDescent="0.3">
      <c r="B767" s="15">
        <f>DATEDIF(Loan_Data!K:K,Loan_Data!L:L,"D")</f>
        <v>15</v>
      </c>
      <c r="C767" s="15">
        <f ca="1">DATEDIF(LoanData[[#This Row],[Approval_Date]],TODAY(),"M")</f>
        <v>36</v>
      </c>
      <c r="D767" s="31">
        <f>EDATE(LoanData[[#This Row],[Approval_Date]],LoanData[[#This Row],[Loan_Term_Months]])</f>
        <v>46610</v>
      </c>
      <c r="E767" t="str">
        <f t="shared" ca="1" si="11"/>
        <v>NO</v>
      </c>
      <c r="F767" s="33">
        <f>IFERROR(LoanData[[#This Row],[EMI]]/LoanData[[#This Row],[Monthly_Income]]*100," ")</f>
        <v>1.5680188698850768</v>
      </c>
      <c r="G767" t="str" cm="1">
        <f t="array" ref="G767">_xlfn.IFS(F767&gt;40, "High DTI Risk",F767&gt;=25, "Moderate DTI",F767&lt;25, "Low DTI")</f>
        <v>Low DTI</v>
      </c>
      <c r="H767" t="str" cm="1">
        <f t="array" ref="H7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67" t="str">
        <f>_xlfn.XLOOKUP(H767,Reference_Tables!$B$2:$B$7,Reference_Tables!$C$2:$C$7,,0,1)</f>
        <v>VHR</v>
      </c>
      <c r="J767" t="str">
        <f>INDEX(Reference_Tables!$D$11:$D$36,MATCH(LoanData[[#This Row],[Branch]],Reference_Tables!$A$11:$A$36,0))</f>
        <v>Hetal Patel</v>
      </c>
      <c r="L767" s="35"/>
    </row>
    <row r="768" spans="2:12" ht="15.6" x14ac:dyDescent="0.3">
      <c r="B768" s="15">
        <f>DATEDIF(Loan_Data!K:K,Loan_Data!L:L,"D")</f>
        <v>8</v>
      </c>
      <c r="C768" s="15">
        <f ca="1">DATEDIF(LoanData[[#This Row],[Approval_Date]],TODAY(),"M")</f>
        <v>39</v>
      </c>
      <c r="D768" s="31">
        <f>EDATE(LoanData[[#This Row],[Approval_Date]],LoanData[[#This Row],[Loan_Term_Months]])</f>
        <v>47618</v>
      </c>
      <c r="E768" t="str">
        <f t="shared" ca="1" si="11"/>
        <v>NO</v>
      </c>
      <c r="F768" s="33">
        <f>IFERROR(LoanData[[#This Row],[EMI]]/LoanData[[#This Row],[Monthly_Income]]*100," ")</f>
        <v>2.8464141520222177</v>
      </c>
      <c r="G768" t="str" cm="1">
        <f t="array" ref="G768">_xlfn.IFS(F768&gt;40, "High DTI Risk",F768&gt;=25, "Moderate DTI",F768&lt;25, "Low DTI")</f>
        <v>Low DTI</v>
      </c>
      <c r="H768" t="str" cm="1">
        <f t="array" ref="H7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68" t="str">
        <f>_xlfn.XLOOKUP(H768,Reference_Tables!$B$2:$B$7,Reference_Tables!$C$2:$C$7,,0,1)</f>
        <v>HR</v>
      </c>
      <c r="J768" t="str">
        <f>INDEX(Reference_Tables!$D$11:$D$36,MATCH(LoanData[[#This Row],[Branch]],Reference_Tables!$A$11:$A$36,0))</f>
        <v>Santhosh Rao</v>
      </c>
      <c r="L768" s="35"/>
    </row>
    <row r="769" spans="2:12" ht="15.6" x14ac:dyDescent="0.3">
      <c r="B769" s="15">
        <f>DATEDIF(Loan_Data!K:K,Loan_Data!L:L,"D")</f>
        <v>7</v>
      </c>
      <c r="C769" s="15">
        <f ca="1">DATEDIF(LoanData[[#This Row],[Approval_Date]],TODAY(),"M")</f>
        <v>65</v>
      </c>
      <c r="D769" s="31">
        <f>EDATE(LoanData[[#This Row],[Approval_Date]],LoanData[[#This Row],[Loan_Term_Months]])</f>
        <v>46072</v>
      </c>
      <c r="E769" t="str">
        <f t="shared" ca="1" si="11"/>
        <v>YES</v>
      </c>
      <c r="F769" s="33">
        <f>IFERROR(LoanData[[#This Row],[EMI]]/LoanData[[#This Row],[Monthly_Income]]*100," ")</f>
        <v>34.06914950953972</v>
      </c>
      <c r="G769" t="str" cm="1">
        <f t="array" ref="G769">_xlfn.IFS(F769&gt;40, "High DTI Risk",F769&gt;=25, "Moderate DTI",F769&lt;25, "Low DTI")</f>
        <v>Moderate DTI</v>
      </c>
      <c r="H769" t="str" cm="1">
        <f t="array" ref="H7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769" t="str">
        <f>_xlfn.XLOOKUP(H769,Reference_Tables!$B$2:$B$7,Reference_Tables!$C$2:$C$7,,0,1)</f>
        <v>UC</v>
      </c>
      <c r="J769" t="str">
        <f>INDEX(Reference_Tables!$D$11:$D$36,MATCH(LoanData[[#This Row],[Branch]],Reference_Tables!$A$11:$A$36,0))</f>
        <v>Rituparna Bora</v>
      </c>
      <c r="L769" s="35"/>
    </row>
    <row r="770" spans="2:12" ht="15.6" x14ac:dyDescent="0.3">
      <c r="B770" s="15">
        <f>DATEDIF(Loan_Data!K:K,Loan_Data!L:L,"D")</f>
        <v>14</v>
      </c>
      <c r="C770" s="15">
        <f ca="1">DATEDIF(LoanData[[#This Row],[Approval_Date]],TODAY(),"M")</f>
        <v>47</v>
      </c>
      <c r="D770" s="31">
        <f>EDATE(LoanData[[#This Row],[Approval_Date]],LoanData[[#This Row],[Loan_Term_Months]])</f>
        <v>45894</v>
      </c>
      <c r="E770" t="str">
        <f t="shared" ref="E770:E833" ca="1" si="12">IF(D770&lt;TODAY(),"YES","NO")</f>
        <v>YES</v>
      </c>
      <c r="F770" s="33">
        <f>IFERROR(LoanData[[#This Row],[EMI]]/LoanData[[#This Row],[Monthly_Income]]*100," ")</f>
        <v>4.3385441847972066</v>
      </c>
      <c r="G770" t="str" cm="1">
        <f t="array" ref="G770">_xlfn.IFS(F770&gt;40, "High DTI Risk",F770&gt;=25, "Moderate DTI",F770&lt;25, "Low DTI")</f>
        <v>Low DTI</v>
      </c>
      <c r="H770" t="str" cm="1">
        <f t="array" ref="H7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70" t="str">
        <f>_xlfn.XLOOKUP(H770,Reference_Tables!$B$2:$B$7,Reference_Tables!$C$2:$C$7,,0,1)</f>
        <v>VHR</v>
      </c>
      <c r="J770" t="str">
        <f>INDEX(Reference_Tables!$D$11:$D$36,MATCH(LoanData[[#This Row],[Branch]],Reference_Tables!$A$11:$A$36,0))</f>
        <v>Kavita Joshi</v>
      </c>
      <c r="L770" s="35"/>
    </row>
    <row r="771" spans="2:12" ht="15.6" x14ac:dyDescent="0.3">
      <c r="B771" s="15">
        <f>DATEDIF(Loan_Data!K:K,Loan_Data!L:L,"D")</f>
        <v>3</v>
      </c>
      <c r="C771" s="15">
        <f ca="1">DATEDIF(LoanData[[#This Row],[Approval_Date]],TODAY(),"M")</f>
        <v>67</v>
      </c>
      <c r="D771" s="31">
        <f>EDATE(LoanData[[#This Row],[Approval_Date]],LoanData[[#This Row],[Loan_Term_Months]])</f>
        <v>46764</v>
      </c>
      <c r="E771" t="str">
        <f t="shared" ca="1" si="12"/>
        <v>NO</v>
      </c>
      <c r="F771" s="33">
        <f>IFERROR(LoanData[[#This Row],[EMI]]/LoanData[[#This Row],[Monthly_Income]]*100," ")</f>
        <v>2.2383052950252105</v>
      </c>
      <c r="G771" t="str" cm="1">
        <f t="array" ref="G771">_xlfn.IFS(F771&gt;40, "High DTI Risk",F771&gt;=25, "Moderate DTI",F771&lt;25, "Low DTI")</f>
        <v>Low DTI</v>
      </c>
      <c r="H771" t="str" cm="1">
        <f t="array" ref="H7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71" t="str">
        <f>_xlfn.XLOOKUP(H771,Reference_Tables!$B$2:$B$7,Reference_Tables!$C$2:$C$7,,0,1)</f>
        <v>VHR</v>
      </c>
      <c r="J771" t="str">
        <f>INDEX(Reference_Tables!$D$11:$D$36,MATCH(LoanData[[#This Row],[Branch]],Reference_Tables!$A$11:$A$36,0))</f>
        <v>Santhosh Rao</v>
      </c>
      <c r="L771" s="35"/>
    </row>
    <row r="772" spans="2:12" ht="15.6" x14ac:dyDescent="0.3">
      <c r="B772" s="15">
        <f>DATEDIF(Loan_Data!K:K,Loan_Data!L:L,"D")</f>
        <v>27</v>
      </c>
      <c r="C772" s="15">
        <f ca="1">DATEDIF(LoanData[[#This Row],[Approval_Date]],TODAY(),"M")</f>
        <v>46</v>
      </c>
      <c r="D772" s="31">
        <f>EDATE(LoanData[[#This Row],[Approval_Date]],LoanData[[#This Row],[Loan_Term_Months]])</f>
        <v>46664</v>
      </c>
      <c r="E772" t="str">
        <f t="shared" ca="1" si="12"/>
        <v>NO</v>
      </c>
      <c r="F772" s="33">
        <f>IFERROR(LoanData[[#This Row],[EMI]]/LoanData[[#This Row],[Monthly_Income]]*100," ")</f>
        <v>0.98874387916009643</v>
      </c>
      <c r="G772" t="str" cm="1">
        <f t="array" ref="G772">_xlfn.IFS(F772&gt;40, "High DTI Risk",F772&gt;=25, "Moderate DTI",F772&lt;25, "Low DTI")</f>
        <v>Low DTI</v>
      </c>
      <c r="H772" t="str" cm="1">
        <f t="array" ref="H7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72" t="str">
        <f>_xlfn.XLOOKUP(H772,Reference_Tables!$B$2:$B$7,Reference_Tables!$C$2:$C$7,,0,1)</f>
        <v>LR</v>
      </c>
      <c r="J772" t="str">
        <f>INDEX(Reference_Tables!$D$11:$D$36,MATCH(LoanData[[#This Row],[Branch]],Reference_Tables!$A$11:$A$36,0))</f>
        <v>Amit Kumar</v>
      </c>
      <c r="L772" s="35"/>
    </row>
    <row r="773" spans="2:12" ht="15.6" x14ac:dyDescent="0.3">
      <c r="B773" s="15">
        <f>DATEDIF(Loan_Data!K:K,Loan_Data!L:L,"D")</f>
        <v>28</v>
      </c>
      <c r="C773" s="15">
        <f ca="1">DATEDIF(LoanData[[#This Row],[Approval_Date]],TODAY(),"M")</f>
        <v>47</v>
      </c>
      <c r="D773" s="31">
        <f>EDATE(LoanData[[#This Row],[Approval_Date]],LoanData[[#This Row],[Loan_Term_Months]])</f>
        <v>46618</v>
      </c>
      <c r="E773" t="str">
        <f t="shared" ca="1" si="12"/>
        <v>NO</v>
      </c>
      <c r="F773" s="33">
        <f>IFERROR(LoanData[[#This Row],[EMI]]/LoanData[[#This Row],[Monthly_Income]]*100," ")</f>
        <v>2.7312434951807774</v>
      </c>
      <c r="G773" t="str" cm="1">
        <f t="array" ref="G773">_xlfn.IFS(F773&gt;40, "High DTI Risk",F773&gt;=25, "Moderate DTI",F773&lt;25, "Low DTI")</f>
        <v>Low DTI</v>
      </c>
      <c r="H773" t="str" cm="1">
        <f t="array" ref="H7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73" t="str">
        <f>_xlfn.XLOOKUP(H773,Reference_Tables!$B$2:$B$7,Reference_Tables!$C$2:$C$7,,0,1)</f>
        <v>LR</v>
      </c>
      <c r="J773" t="str">
        <f>INDEX(Reference_Tables!$D$11:$D$36,MATCH(LoanData[[#This Row],[Branch]],Reference_Tables!$A$11:$A$36,0))</f>
        <v>Priya Yadav</v>
      </c>
      <c r="L773" s="35"/>
    </row>
    <row r="774" spans="2:12" ht="15.6" x14ac:dyDescent="0.3">
      <c r="B774" s="15">
        <f>DATEDIF(Loan_Data!K:K,Loan_Data!L:L,"D")</f>
        <v>20</v>
      </c>
      <c r="C774" s="15">
        <f ca="1">DATEDIF(LoanData[[#This Row],[Approval_Date]],TODAY(),"M")</f>
        <v>36</v>
      </c>
      <c r="D774" s="31">
        <f>EDATE(LoanData[[#This Row],[Approval_Date]],LoanData[[#This Row],[Loan_Term_Months]])</f>
        <v>46963</v>
      </c>
      <c r="E774" t="str">
        <f t="shared" ca="1" si="12"/>
        <v>NO</v>
      </c>
      <c r="F774" s="33">
        <f>IFERROR(LoanData[[#This Row],[EMI]]/LoanData[[#This Row],[Monthly_Income]]*100," ")</f>
        <v>2.9804826754892151</v>
      </c>
      <c r="G774" t="str" cm="1">
        <f t="array" ref="G774">_xlfn.IFS(F774&gt;40, "High DTI Risk",F774&gt;=25, "Moderate DTI",F774&lt;25, "Low DTI")</f>
        <v>Low DTI</v>
      </c>
      <c r="H774" t="str" cm="1">
        <f t="array" ref="H7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74" t="str">
        <f>_xlfn.XLOOKUP(H774,Reference_Tables!$B$2:$B$7,Reference_Tables!$C$2:$C$7,,0,1)</f>
        <v>VHR</v>
      </c>
      <c r="J774" t="str">
        <f>INDEX(Reference_Tables!$D$11:$D$36,MATCH(LoanData[[#This Row],[Branch]],Reference_Tables!$A$11:$A$36,0))</f>
        <v>Santhosh Rao</v>
      </c>
      <c r="L774" s="35"/>
    </row>
    <row r="775" spans="2:12" ht="15.6" x14ac:dyDescent="0.3">
      <c r="B775" s="15">
        <f>DATEDIF(Loan_Data!K:K,Loan_Data!L:L,"D")</f>
        <v>13</v>
      </c>
      <c r="C775" s="15">
        <f ca="1">DATEDIF(LoanData[[#This Row],[Approval_Date]],TODAY(),"M")</f>
        <v>54</v>
      </c>
      <c r="D775" s="31">
        <f>EDATE(LoanData[[#This Row],[Approval_Date]],LoanData[[#This Row],[Loan_Term_Months]])</f>
        <v>51915</v>
      </c>
      <c r="E775" t="str">
        <f t="shared" ca="1" si="12"/>
        <v>NO</v>
      </c>
      <c r="F775" s="33">
        <f>IFERROR(LoanData[[#This Row],[EMI]]/LoanData[[#This Row],[Monthly_Income]]*100," ")</f>
        <v>2.6283245654549345</v>
      </c>
      <c r="G775" t="str" cm="1">
        <f t="array" ref="G775">_xlfn.IFS(F775&gt;40, "High DTI Risk",F775&gt;=25, "Moderate DTI",F775&lt;25, "Low DTI")</f>
        <v>Low DTI</v>
      </c>
      <c r="H775" t="str" cm="1">
        <f t="array" ref="H7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75" t="str">
        <f>_xlfn.XLOOKUP(H775,Reference_Tables!$B$2:$B$7,Reference_Tables!$C$2:$C$7,,0,1)</f>
        <v>VHR</v>
      </c>
      <c r="J775" t="str">
        <f>INDEX(Reference_Tables!$D$11:$D$36,MATCH(LoanData[[#This Row],[Branch]],Reference_Tables!$A$11:$A$36,0))</f>
        <v>Suresh Menon</v>
      </c>
      <c r="L775" s="35"/>
    </row>
    <row r="776" spans="2:12" ht="15.6" x14ac:dyDescent="0.3">
      <c r="B776" s="15">
        <f>DATEDIF(Loan_Data!K:K,Loan_Data!L:L,"D")</f>
        <v>20</v>
      </c>
      <c r="C776" s="15">
        <f ca="1">DATEDIF(LoanData[[#This Row],[Approval_Date]],TODAY(),"M")</f>
        <v>61</v>
      </c>
      <c r="D776" s="31">
        <f>EDATE(LoanData[[#This Row],[Approval_Date]],LoanData[[#This Row],[Loan_Term_Months]])</f>
        <v>45465</v>
      </c>
      <c r="E776" t="str">
        <f t="shared" ca="1" si="12"/>
        <v>YES</v>
      </c>
      <c r="F776" s="33">
        <f>IFERROR(LoanData[[#This Row],[EMI]]/LoanData[[#This Row],[Monthly_Income]]*100," ")</f>
        <v>2.2097846017617795</v>
      </c>
      <c r="G776" t="str" cm="1">
        <f t="array" ref="G776">_xlfn.IFS(F776&gt;40, "High DTI Risk",F776&gt;=25, "Moderate DTI",F776&lt;25, "Low DTI")</f>
        <v>Low DTI</v>
      </c>
      <c r="H776" t="str" cm="1">
        <f t="array" ref="H7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76" t="str">
        <f>_xlfn.XLOOKUP(H776,Reference_Tables!$B$2:$B$7,Reference_Tables!$C$2:$C$7,,0,1)</f>
        <v>MR</v>
      </c>
      <c r="J776" t="str">
        <f>INDEX(Reference_Tables!$D$11:$D$36,MATCH(LoanData[[#This Row],[Branch]],Reference_Tables!$A$11:$A$36,0))</f>
        <v>Puja Chatterjee</v>
      </c>
      <c r="L776" s="35"/>
    </row>
    <row r="777" spans="2:12" ht="15.6" x14ac:dyDescent="0.3">
      <c r="B777" s="15">
        <f>DATEDIF(Loan_Data!K:K,Loan_Data!L:L,"D")</f>
        <v>26</v>
      </c>
      <c r="C777" s="15">
        <f ca="1">DATEDIF(LoanData[[#This Row],[Approval_Date]],TODAY(),"M")</f>
        <v>32</v>
      </c>
      <c r="D777" s="31">
        <f>EDATE(LoanData[[#This Row],[Approval_Date]],LoanData[[#This Row],[Loan_Term_Months]])</f>
        <v>45630</v>
      </c>
      <c r="E777" t="str">
        <f t="shared" ca="1" si="12"/>
        <v>YES</v>
      </c>
      <c r="F777" s="33">
        <f>IFERROR(LoanData[[#This Row],[EMI]]/LoanData[[#This Row],[Monthly_Income]]*100," ")</f>
        <v>22.082766468580097</v>
      </c>
      <c r="G777" t="str" cm="1">
        <f t="array" ref="G777">_xlfn.IFS(F777&gt;40, "High DTI Risk",F777&gt;=25, "Moderate DTI",F777&lt;25, "Low DTI")</f>
        <v>Low DTI</v>
      </c>
      <c r="H777" t="str" cm="1">
        <f t="array" ref="H7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77" t="str">
        <f>_xlfn.XLOOKUP(H777,Reference_Tables!$B$2:$B$7,Reference_Tables!$C$2:$C$7,,0,1)</f>
        <v>LR</v>
      </c>
      <c r="J777" t="str">
        <f>INDEX(Reference_Tables!$D$11:$D$36,MATCH(LoanData[[#This Row],[Branch]],Reference_Tables!$A$11:$A$36,0))</f>
        <v>Nilesh Shah</v>
      </c>
      <c r="L777" s="35"/>
    </row>
    <row r="778" spans="2:12" ht="15.6" x14ac:dyDescent="0.3">
      <c r="B778" s="15">
        <f>DATEDIF(Loan_Data!K:K,Loan_Data!L:L,"D")</f>
        <v>20</v>
      </c>
      <c r="C778" s="15">
        <f ca="1">DATEDIF(LoanData[[#This Row],[Approval_Date]],TODAY(),"M")</f>
        <v>39</v>
      </c>
      <c r="D778" s="31">
        <f>EDATE(LoanData[[#This Row],[Approval_Date]],LoanData[[#This Row],[Loan_Term_Months]])</f>
        <v>45792</v>
      </c>
      <c r="E778" t="str">
        <f t="shared" ca="1" si="12"/>
        <v>YES</v>
      </c>
      <c r="F778" s="33">
        <f>IFERROR(LoanData[[#This Row],[EMI]]/LoanData[[#This Row],[Monthly_Income]]*100," ")</f>
        <v>1.4062140249570607</v>
      </c>
      <c r="G778" t="str" cm="1">
        <f t="array" ref="G778">_xlfn.IFS(F778&gt;40, "High DTI Risk",F778&gt;=25, "Moderate DTI",F778&lt;25, "Low DTI")</f>
        <v>Low DTI</v>
      </c>
      <c r="H778" t="str" cm="1">
        <f t="array" ref="H7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78" t="str">
        <f>_xlfn.XLOOKUP(H778,Reference_Tables!$B$2:$B$7,Reference_Tables!$C$2:$C$7,,0,1)</f>
        <v>VHR</v>
      </c>
      <c r="J778" t="str">
        <f>INDEX(Reference_Tables!$D$11:$D$36,MATCH(LoanData[[#This Row],[Branch]],Reference_Tables!$A$11:$A$36,0))</f>
        <v>Nilesh Shah</v>
      </c>
      <c r="L778" s="35"/>
    </row>
    <row r="779" spans="2:12" ht="15.6" x14ac:dyDescent="0.3">
      <c r="B779" s="15">
        <f>DATEDIF(Loan_Data!K:K,Loan_Data!L:L,"D")</f>
        <v>12</v>
      </c>
      <c r="C779" s="15">
        <f ca="1">DATEDIF(LoanData[[#This Row],[Approval_Date]],TODAY(),"M")</f>
        <v>34</v>
      </c>
      <c r="D779" s="31">
        <f>EDATE(LoanData[[#This Row],[Approval_Date]],LoanData[[#This Row],[Loan_Term_Months]])</f>
        <v>47755</v>
      </c>
      <c r="E779" t="str">
        <f t="shared" ca="1" si="12"/>
        <v>NO</v>
      </c>
      <c r="F779" s="33">
        <f>IFERROR(LoanData[[#This Row],[EMI]]/LoanData[[#This Row],[Monthly_Income]]*100," ")</f>
        <v>2.0244454741775009</v>
      </c>
      <c r="G779" t="str" cm="1">
        <f t="array" ref="G779">_xlfn.IFS(F779&gt;40, "High DTI Risk",F779&gt;=25, "Moderate DTI",F779&lt;25, "Low DTI")</f>
        <v>Low DTI</v>
      </c>
      <c r="H779" t="str" cm="1">
        <f t="array" ref="H7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79" t="str">
        <f>_xlfn.XLOOKUP(H779,Reference_Tables!$B$2:$B$7,Reference_Tables!$C$2:$C$7,,0,1)</f>
        <v>HR</v>
      </c>
      <c r="J779" t="str">
        <f>INDEX(Reference_Tables!$D$11:$D$36,MATCH(LoanData[[#This Row],[Branch]],Reference_Tables!$A$11:$A$36,0))</f>
        <v>Ravi Verma</v>
      </c>
      <c r="L779" s="35"/>
    </row>
    <row r="780" spans="2:12" ht="15.6" x14ac:dyDescent="0.3">
      <c r="B780" s="15">
        <f>DATEDIF(Loan_Data!K:K,Loan_Data!L:L,"D")</f>
        <v>16</v>
      </c>
      <c r="C780" s="15">
        <f ca="1">DATEDIF(LoanData[[#This Row],[Approval_Date]],TODAY(),"M")</f>
        <v>55</v>
      </c>
      <c r="D780" s="31">
        <f>EDATE(LoanData[[#This Row],[Approval_Date]],LoanData[[#This Row],[Loan_Term_Months]])</f>
        <v>44914</v>
      </c>
      <c r="E780" t="str">
        <f t="shared" ca="1" si="12"/>
        <v>YES</v>
      </c>
      <c r="F780" s="33">
        <f>IFERROR(LoanData[[#This Row],[EMI]]/LoanData[[#This Row],[Monthly_Income]]*100," ")</f>
        <v>344.73389887894064</v>
      </c>
      <c r="G780" t="str" cm="1">
        <f t="array" ref="G780">_xlfn.IFS(F780&gt;40, "High DTI Risk",F780&gt;=25, "Moderate DTI",F780&lt;25, "Low DTI")</f>
        <v>High DTI Risk</v>
      </c>
      <c r="H780" t="str" cm="1">
        <f t="array" ref="H7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80" t="str">
        <f>_xlfn.XLOOKUP(H780,Reference_Tables!$B$2:$B$7,Reference_Tables!$C$2:$C$7,,0,1)</f>
        <v>VHR</v>
      </c>
      <c r="J780" t="str">
        <f>INDEX(Reference_Tables!$D$11:$D$36,MATCH(LoanData[[#This Row],[Branch]],Reference_Tables!$A$11:$A$36,0))</f>
        <v>Tapan Panda</v>
      </c>
      <c r="L780" s="35"/>
    </row>
    <row r="781" spans="2:12" ht="15.6" x14ac:dyDescent="0.3">
      <c r="B781" s="15">
        <f>DATEDIF(Loan_Data!K:K,Loan_Data!L:L,"D")</f>
        <v>12</v>
      </c>
      <c r="C781" s="15">
        <f ca="1">DATEDIF(LoanData[[#This Row],[Approval_Date]],TODAY(),"M")</f>
        <v>62</v>
      </c>
      <c r="D781" s="31">
        <f>EDATE(LoanData[[#This Row],[Approval_Date]],LoanData[[#This Row],[Loan_Term_Months]])</f>
        <v>45071</v>
      </c>
      <c r="E781" t="str">
        <f t="shared" ca="1" si="12"/>
        <v>YES</v>
      </c>
      <c r="F781" s="33">
        <f>IFERROR(LoanData[[#This Row],[EMI]]/LoanData[[#This Row],[Monthly_Income]]*100," ")</f>
        <v>2.2954368905420348</v>
      </c>
      <c r="G781" t="str" cm="1">
        <f t="array" ref="G781">_xlfn.IFS(F781&gt;40, "High DTI Risk",F781&gt;=25, "Moderate DTI",F781&lt;25, "Low DTI")</f>
        <v>Low DTI</v>
      </c>
      <c r="H781" t="str" cm="1">
        <f t="array" ref="H7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81" t="str">
        <f>_xlfn.XLOOKUP(H781,Reference_Tables!$B$2:$B$7,Reference_Tables!$C$2:$C$7,,0,1)</f>
        <v>MR</v>
      </c>
      <c r="J781" t="str">
        <f>INDEX(Reference_Tables!$D$11:$D$36,MATCH(LoanData[[#This Row],[Branch]],Reference_Tables!$A$11:$A$36,0))</f>
        <v>Nilesh Shah</v>
      </c>
      <c r="L781" s="35"/>
    </row>
    <row r="782" spans="2:12" ht="15.6" x14ac:dyDescent="0.3">
      <c r="B782" s="15">
        <f>DATEDIF(Loan_Data!K:K,Loan_Data!L:L,"D")</f>
        <v>25</v>
      </c>
      <c r="C782" s="15">
        <f ca="1">DATEDIF(LoanData[[#This Row],[Approval_Date]],TODAY(),"M")</f>
        <v>54</v>
      </c>
      <c r="D782" s="31">
        <f>EDATE(LoanData[[#This Row],[Approval_Date]],LoanData[[#This Row],[Loan_Term_Months]])</f>
        <v>46041</v>
      </c>
      <c r="E782" t="str">
        <f t="shared" ca="1" si="12"/>
        <v>YES</v>
      </c>
      <c r="F782" s="33">
        <f>IFERROR(LoanData[[#This Row],[EMI]]/LoanData[[#This Row],[Monthly_Income]]*100," ")</f>
        <v>5.4456774655450149</v>
      </c>
      <c r="G782" t="str" cm="1">
        <f t="array" ref="G782">_xlfn.IFS(F782&gt;40, "High DTI Risk",F782&gt;=25, "Moderate DTI",F782&lt;25, "Low DTI")</f>
        <v>Low DTI</v>
      </c>
      <c r="H782" t="str" cm="1">
        <f t="array" ref="H7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82" t="str">
        <f>_xlfn.XLOOKUP(H782,Reference_Tables!$B$2:$B$7,Reference_Tables!$C$2:$C$7,,0,1)</f>
        <v>LR</v>
      </c>
      <c r="J782" t="str">
        <f>INDEX(Reference_Tables!$D$11:$D$36,MATCH(LoanData[[#This Row],[Branch]],Reference_Tables!$A$11:$A$36,0))</f>
        <v>Amit Kumar</v>
      </c>
      <c r="L782" s="35"/>
    </row>
    <row r="783" spans="2:12" ht="15.6" x14ac:dyDescent="0.3">
      <c r="B783" s="15">
        <f>DATEDIF(Loan_Data!K:K,Loan_Data!L:L,"D")</f>
        <v>21</v>
      </c>
      <c r="C783" s="15">
        <f ca="1">DATEDIF(LoanData[[#This Row],[Approval_Date]],TODAY(),"M")</f>
        <v>56</v>
      </c>
      <c r="D783" s="31">
        <f>EDATE(LoanData[[#This Row],[Approval_Date]],LoanData[[#This Row],[Loan_Term_Months]])</f>
        <v>44902</v>
      </c>
      <c r="E783" t="str">
        <f t="shared" ca="1" si="12"/>
        <v>YES</v>
      </c>
      <c r="F783" s="33">
        <f>IFERROR(LoanData[[#This Row],[EMI]]/LoanData[[#This Row],[Monthly_Income]]*100," ")</f>
        <v>9.3735304708847877</v>
      </c>
      <c r="G783" t="str" cm="1">
        <f t="array" ref="G783">_xlfn.IFS(F783&gt;40, "High DTI Risk",F783&gt;=25, "Moderate DTI",F783&lt;25, "Low DTI")</f>
        <v>Low DTI</v>
      </c>
      <c r="H783" t="str" cm="1">
        <f t="array" ref="H7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83" t="str">
        <f>_xlfn.XLOOKUP(H783,Reference_Tables!$B$2:$B$7,Reference_Tables!$C$2:$C$7,,0,1)</f>
        <v>LR</v>
      </c>
      <c r="J783" t="str">
        <f>INDEX(Reference_Tables!$D$11:$D$36,MATCH(LoanData[[#This Row],[Branch]],Reference_Tables!$A$11:$A$36,0))</f>
        <v>Suman Tiwari</v>
      </c>
      <c r="L783" s="35"/>
    </row>
    <row r="784" spans="2:12" ht="15.6" x14ac:dyDescent="0.3">
      <c r="B784" s="15">
        <f>DATEDIF(Loan_Data!K:K,Loan_Data!L:L,"D")</f>
        <v>17</v>
      </c>
      <c r="C784" s="15">
        <f ca="1">DATEDIF(LoanData[[#This Row],[Approval_Date]],TODAY(),"M")</f>
        <v>65</v>
      </c>
      <c r="D784" s="31">
        <f>EDATE(LoanData[[#This Row],[Approval_Date]],LoanData[[#This Row],[Loan_Term_Months]])</f>
        <v>44628</v>
      </c>
      <c r="E784" t="str">
        <f t="shared" ca="1" si="12"/>
        <v>YES</v>
      </c>
      <c r="F784" s="33">
        <f>IFERROR(LoanData[[#This Row],[EMI]]/LoanData[[#This Row],[Monthly_Income]]*100," ")</f>
        <v>3.6532629049541603</v>
      </c>
      <c r="G784" t="str" cm="1">
        <f t="array" ref="G784">_xlfn.IFS(F784&gt;40, "High DTI Risk",F784&gt;=25, "Moderate DTI",F784&lt;25, "Low DTI")</f>
        <v>Low DTI</v>
      </c>
      <c r="H784" t="str" cm="1">
        <f t="array" ref="H7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84" t="str">
        <f>_xlfn.XLOOKUP(H784,Reference_Tables!$B$2:$B$7,Reference_Tables!$C$2:$C$7,,0,1)</f>
        <v>VHR</v>
      </c>
      <c r="J784" t="str">
        <f>INDEX(Reference_Tables!$D$11:$D$36,MATCH(LoanData[[#This Row],[Branch]],Reference_Tables!$A$11:$A$36,0))</f>
        <v>Jigar Mehta</v>
      </c>
      <c r="L784" s="35"/>
    </row>
    <row r="785" spans="2:12" ht="15.6" x14ac:dyDescent="0.3">
      <c r="B785" s="15">
        <f>DATEDIF(Loan_Data!K:K,Loan_Data!L:L,"D")</f>
        <v>17</v>
      </c>
      <c r="C785" s="15">
        <f ca="1">DATEDIF(LoanData[[#This Row],[Approval_Date]],TODAY(),"M")</f>
        <v>62</v>
      </c>
      <c r="D785" s="31">
        <f>EDATE(LoanData[[#This Row],[Approval_Date]],LoanData[[#This Row],[Loan_Term_Months]])</f>
        <v>46912</v>
      </c>
      <c r="E785" t="str">
        <f t="shared" ca="1" si="12"/>
        <v>NO</v>
      </c>
      <c r="F785" s="33">
        <f>IFERROR(LoanData[[#This Row],[EMI]]/LoanData[[#This Row],[Monthly_Income]]*100," ")</f>
        <v>1.4115413202025364</v>
      </c>
      <c r="G785" t="str" cm="1">
        <f t="array" ref="G785">_xlfn.IFS(F785&gt;40, "High DTI Risk",F785&gt;=25, "Moderate DTI",F785&lt;25, "Low DTI")</f>
        <v>Low DTI</v>
      </c>
      <c r="H785" t="str" cm="1">
        <f t="array" ref="H7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85" t="str">
        <f>_xlfn.XLOOKUP(H785,Reference_Tables!$B$2:$B$7,Reference_Tables!$C$2:$C$7,,0,1)</f>
        <v>VHR</v>
      </c>
      <c r="J785" t="str">
        <f>INDEX(Reference_Tables!$D$11:$D$36,MATCH(LoanData[[#This Row],[Branch]],Reference_Tables!$A$11:$A$36,0))</f>
        <v>Suresh Menon</v>
      </c>
      <c r="L785" s="35"/>
    </row>
    <row r="786" spans="2:12" ht="15.6" x14ac:dyDescent="0.3">
      <c r="B786" s="15">
        <f>DATEDIF(Loan_Data!K:K,Loan_Data!L:L,"D")</f>
        <v>9</v>
      </c>
      <c r="C786" s="15">
        <f ca="1">DATEDIF(LoanData[[#This Row],[Approval_Date]],TODAY(),"M")</f>
        <v>47</v>
      </c>
      <c r="D786" s="31">
        <f>EDATE(LoanData[[#This Row],[Approval_Date]],LoanData[[#This Row],[Loan_Term_Months]])</f>
        <v>47374</v>
      </c>
      <c r="E786" t="str">
        <f t="shared" ca="1" si="12"/>
        <v>NO</v>
      </c>
      <c r="F786" s="33">
        <f>IFERROR(LoanData[[#This Row],[EMI]]/LoanData[[#This Row],[Monthly_Income]]*100," ")</f>
        <v>1.7040271437129459</v>
      </c>
      <c r="G786" t="str" cm="1">
        <f t="array" ref="G786">_xlfn.IFS(F786&gt;40, "High DTI Risk",F786&gt;=25, "Moderate DTI",F786&lt;25, "Low DTI")</f>
        <v>Low DTI</v>
      </c>
      <c r="H786" t="str" cm="1">
        <f t="array" ref="H7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86" t="str">
        <f>_xlfn.XLOOKUP(H786,Reference_Tables!$B$2:$B$7,Reference_Tables!$C$2:$C$7,,0,1)</f>
        <v>LR</v>
      </c>
      <c r="J786" t="str">
        <f>INDEX(Reference_Tables!$D$11:$D$36,MATCH(LoanData[[#This Row],[Branch]],Reference_Tables!$A$11:$A$36,0))</f>
        <v>Ravi Verma</v>
      </c>
      <c r="L786" s="35"/>
    </row>
    <row r="787" spans="2:12" ht="15.6" x14ac:dyDescent="0.3">
      <c r="B787" s="15">
        <f>DATEDIF(Loan_Data!K:K,Loan_Data!L:L,"D")</f>
        <v>10</v>
      </c>
      <c r="C787" s="15">
        <f ca="1">DATEDIF(LoanData[[#This Row],[Approval_Date]],TODAY(),"M")</f>
        <v>65</v>
      </c>
      <c r="D787" s="31">
        <f>EDATE(LoanData[[#This Row],[Approval_Date]],LoanData[[#This Row],[Loan_Term_Months]])</f>
        <v>51561</v>
      </c>
      <c r="E787" t="str">
        <f t="shared" ca="1" si="12"/>
        <v>NO</v>
      </c>
      <c r="F787" s="33">
        <f>IFERROR(LoanData[[#This Row],[EMI]]/LoanData[[#This Row],[Monthly_Income]]*100," ")</f>
        <v>0.18996948926207965</v>
      </c>
      <c r="G787" t="str" cm="1">
        <f t="array" ref="G787">_xlfn.IFS(F787&gt;40, "High DTI Risk",F787&gt;=25, "Moderate DTI",F787&lt;25, "Low DTI")</f>
        <v>Low DTI</v>
      </c>
      <c r="H787" t="str" cm="1">
        <f t="array" ref="H7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87" t="str">
        <f>_xlfn.XLOOKUP(H787,Reference_Tables!$B$2:$B$7,Reference_Tables!$C$2:$C$7,,0,1)</f>
        <v>LR</v>
      </c>
      <c r="J787" t="str">
        <f>INDEX(Reference_Tables!$D$11:$D$36,MATCH(LoanData[[#This Row],[Branch]],Reference_Tables!$A$11:$A$36,0))</f>
        <v>Vikram Malhotra</v>
      </c>
      <c r="L787" s="35"/>
    </row>
    <row r="788" spans="2:12" ht="15.6" x14ac:dyDescent="0.3">
      <c r="B788" s="15">
        <f>DATEDIF(Loan_Data!K:K,Loan_Data!L:L,"D")</f>
        <v>16</v>
      </c>
      <c r="C788" s="15">
        <f ca="1">DATEDIF(LoanData[[#This Row],[Approval_Date]],TODAY(),"M")</f>
        <v>42</v>
      </c>
      <c r="D788" s="31">
        <f>EDATE(LoanData[[#This Row],[Approval_Date]],LoanData[[#This Row],[Loan_Term_Months]])</f>
        <v>46055</v>
      </c>
      <c r="E788" t="str">
        <f t="shared" ca="1" si="12"/>
        <v>YES</v>
      </c>
      <c r="F788" s="33">
        <f>IFERROR(LoanData[[#This Row],[EMI]]/LoanData[[#This Row],[Monthly_Income]]*100," ")</f>
        <v>1.2777155184489957</v>
      </c>
      <c r="G788" t="str" cm="1">
        <f t="array" ref="G788">_xlfn.IFS(F788&gt;40, "High DTI Risk",F788&gt;=25, "Moderate DTI",F788&lt;25, "Low DTI")</f>
        <v>Low DTI</v>
      </c>
      <c r="H788" t="str" cm="1">
        <f t="array" ref="H7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88" t="str">
        <f>_xlfn.XLOOKUP(H788,Reference_Tables!$B$2:$B$7,Reference_Tables!$C$2:$C$7,,0,1)</f>
        <v>VHR</v>
      </c>
      <c r="J788" t="str">
        <f>INDEX(Reference_Tables!$D$11:$D$36,MATCH(LoanData[[#This Row],[Branch]],Reference_Tables!$A$11:$A$36,0))</f>
        <v>Hetal Patel</v>
      </c>
      <c r="L788" s="35"/>
    </row>
    <row r="789" spans="2:12" ht="15.6" x14ac:dyDescent="0.3">
      <c r="B789" s="15">
        <f>DATEDIF(Loan_Data!K:K,Loan_Data!L:L,"D")</f>
        <v>27</v>
      </c>
      <c r="C789" s="15">
        <f ca="1">DATEDIF(LoanData[[#This Row],[Approval_Date]],TODAY(),"M")</f>
        <v>34</v>
      </c>
      <c r="D789" s="31">
        <f>EDATE(LoanData[[#This Row],[Approval_Date]],LoanData[[#This Row],[Loan_Term_Months]])</f>
        <v>45924</v>
      </c>
      <c r="E789" t="str">
        <f t="shared" ca="1" si="12"/>
        <v>YES</v>
      </c>
      <c r="F789" s="33">
        <f>IFERROR(LoanData[[#This Row],[EMI]]/LoanData[[#This Row],[Monthly_Income]]*100," ")</f>
        <v>1.0456723077269758</v>
      </c>
      <c r="G789" t="str" cm="1">
        <f t="array" ref="G789">_xlfn.IFS(F789&gt;40, "High DTI Risk",F789&gt;=25, "Moderate DTI",F789&lt;25, "Low DTI")</f>
        <v>Low DTI</v>
      </c>
      <c r="H789" t="str" cm="1">
        <f t="array" ref="H7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89" t="str">
        <f>_xlfn.XLOOKUP(H789,Reference_Tables!$B$2:$B$7,Reference_Tables!$C$2:$C$7,,0,1)</f>
        <v>MR</v>
      </c>
      <c r="J789" t="str">
        <f>INDEX(Reference_Tables!$D$11:$D$36,MATCH(LoanData[[#This Row],[Branch]],Reference_Tables!$A$11:$A$36,0))</f>
        <v>Sandeep Saxena</v>
      </c>
      <c r="L789" s="35"/>
    </row>
    <row r="790" spans="2:12" ht="15.6" x14ac:dyDescent="0.3">
      <c r="B790" s="15">
        <f>DATEDIF(Loan_Data!K:K,Loan_Data!L:L,"D")</f>
        <v>19</v>
      </c>
      <c r="C790" s="15">
        <f ca="1">DATEDIF(LoanData[[#This Row],[Approval_Date]],TODAY(),"M")</f>
        <v>34</v>
      </c>
      <c r="D790" s="31">
        <f>EDATE(LoanData[[#This Row],[Approval_Date]],LoanData[[#This Row],[Loan_Term_Months]])</f>
        <v>45555</v>
      </c>
      <c r="E790" t="str">
        <f t="shared" ca="1" si="12"/>
        <v>YES</v>
      </c>
      <c r="F790" s="33">
        <f>IFERROR(LoanData[[#This Row],[EMI]]/LoanData[[#This Row],[Monthly_Income]]*100," ")</f>
        <v>4.4287852490346733</v>
      </c>
      <c r="G790" t="str" cm="1">
        <f t="array" ref="G790">_xlfn.IFS(F790&gt;40, "High DTI Risk",F790&gt;=25, "Moderate DTI",F790&lt;25, "Low DTI")</f>
        <v>Low DTI</v>
      </c>
      <c r="H790" t="str" cm="1">
        <f t="array" ref="H7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90" t="str">
        <f>_xlfn.XLOOKUP(H790,Reference_Tables!$B$2:$B$7,Reference_Tables!$C$2:$C$7,,0,1)</f>
        <v>HR</v>
      </c>
      <c r="J790" t="str">
        <f>INDEX(Reference_Tables!$D$11:$D$36,MATCH(LoanData[[#This Row],[Branch]],Reference_Tables!$A$11:$A$36,0))</f>
        <v>Amit Kumar</v>
      </c>
      <c r="L790" s="35"/>
    </row>
    <row r="791" spans="2:12" ht="15.6" x14ac:dyDescent="0.3">
      <c r="B791" s="15">
        <f>DATEDIF(Loan_Data!K:K,Loan_Data!L:L,"D")</f>
        <v>26</v>
      </c>
      <c r="C791" s="15">
        <f ca="1">DATEDIF(LoanData[[#This Row],[Approval_Date]],TODAY(),"M")</f>
        <v>39</v>
      </c>
      <c r="D791" s="31">
        <f>EDATE(LoanData[[#This Row],[Approval_Date]],LoanData[[#This Row],[Loan_Term_Months]])</f>
        <v>46503</v>
      </c>
      <c r="E791" t="str">
        <f t="shared" ca="1" si="12"/>
        <v>NO</v>
      </c>
      <c r="F791" s="33">
        <f>IFERROR(LoanData[[#This Row],[EMI]]/LoanData[[#This Row],[Monthly_Income]]*100," ")</f>
        <v>1.6069480615203184</v>
      </c>
      <c r="G791" t="str" cm="1">
        <f t="array" ref="G791">_xlfn.IFS(F791&gt;40, "High DTI Risk",F791&gt;=25, "Moderate DTI",F791&lt;25, "Low DTI")</f>
        <v>Low DTI</v>
      </c>
      <c r="H791" t="str" cm="1">
        <f t="array" ref="H7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91" t="str">
        <f>_xlfn.XLOOKUP(H791,Reference_Tables!$B$2:$B$7,Reference_Tables!$C$2:$C$7,,0,1)</f>
        <v>HR</v>
      </c>
      <c r="J791" t="str">
        <f>INDEX(Reference_Tables!$D$11:$D$36,MATCH(LoanData[[#This Row],[Branch]],Reference_Tables!$A$11:$A$36,0))</f>
        <v>Debashis Das</v>
      </c>
      <c r="L791" s="35"/>
    </row>
    <row r="792" spans="2:12" ht="15.6" x14ac:dyDescent="0.3">
      <c r="B792" s="15">
        <f>DATEDIF(Loan_Data!K:K,Loan_Data!L:L,"D")</f>
        <v>21</v>
      </c>
      <c r="C792" s="15">
        <f ca="1">DATEDIF(LoanData[[#This Row],[Approval_Date]],TODAY(),"M")</f>
        <v>63</v>
      </c>
      <c r="D792" s="31">
        <f>EDATE(LoanData[[#This Row],[Approval_Date]],LoanData[[#This Row],[Loan_Term_Months]])</f>
        <v>49790</v>
      </c>
      <c r="E792" t="str">
        <f t="shared" ca="1" si="12"/>
        <v>NO</v>
      </c>
      <c r="F792" s="33">
        <f>IFERROR(LoanData[[#This Row],[EMI]]/LoanData[[#This Row],[Monthly_Income]]*100," ")</f>
        <v>2.7038767056367154</v>
      </c>
      <c r="G792" t="str" cm="1">
        <f t="array" ref="G792">_xlfn.IFS(F792&gt;40, "High DTI Risk",F792&gt;=25, "Moderate DTI",F792&lt;25, "Low DTI")</f>
        <v>Low DTI</v>
      </c>
      <c r="H792" t="str" cm="1">
        <f t="array" ref="H7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792" t="str">
        <f>_xlfn.XLOOKUP(H792,Reference_Tables!$B$2:$B$7,Reference_Tables!$C$2:$C$7,,0,1)</f>
        <v>UC</v>
      </c>
      <c r="J792" t="str">
        <f>INDEX(Reference_Tables!$D$11:$D$36,MATCH(LoanData[[#This Row],[Branch]],Reference_Tables!$A$11:$A$36,0))</f>
        <v>Arvind Pillai</v>
      </c>
      <c r="L792" s="35"/>
    </row>
    <row r="793" spans="2:12" ht="15.6" x14ac:dyDescent="0.3">
      <c r="B793" s="15">
        <f>DATEDIF(Loan_Data!K:K,Loan_Data!L:L,"D")</f>
        <v>27</v>
      </c>
      <c r="C793" s="15">
        <f ca="1">DATEDIF(LoanData[[#This Row],[Approval_Date]],TODAY(),"M")</f>
        <v>41</v>
      </c>
      <c r="D793" s="31">
        <f>EDATE(LoanData[[#This Row],[Approval_Date]],LoanData[[#This Row],[Loan_Term_Months]])</f>
        <v>45362</v>
      </c>
      <c r="E793" t="str">
        <f t="shared" ca="1" si="12"/>
        <v>YES</v>
      </c>
      <c r="F793" s="33">
        <f>IFERROR(LoanData[[#This Row],[EMI]]/LoanData[[#This Row],[Monthly_Income]]*100," ")</f>
        <v>4.4870672703621164</v>
      </c>
      <c r="G793" t="str" cm="1">
        <f t="array" ref="G793">_xlfn.IFS(F793&gt;40, "High DTI Risk",F793&gt;=25, "Moderate DTI",F793&lt;25, "Low DTI")</f>
        <v>Low DTI</v>
      </c>
      <c r="H793" t="str" cm="1">
        <f t="array" ref="H7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93" t="str">
        <f>_xlfn.XLOOKUP(H793,Reference_Tables!$B$2:$B$7,Reference_Tables!$C$2:$C$7,,0,1)</f>
        <v>VHR</v>
      </c>
      <c r="J793" t="str">
        <f>INDEX(Reference_Tables!$D$11:$D$36,MATCH(LoanData[[#This Row],[Branch]],Reference_Tables!$A$11:$A$36,0))</f>
        <v>Lakshmi Reddy</v>
      </c>
      <c r="L793" s="35"/>
    </row>
    <row r="794" spans="2:12" ht="15.6" x14ac:dyDescent="0.3">
      <c r="B794" s="15">
        <f>DATEDIF(Loan_Data!K:K,Loan_Data!L:L,"D")</f>
        <v>25</v>
      </c>
      <c r="C794" s="15">
        <f ca="1">DATEDIF(LoanData[[#This Row],[Approval_Date]],TODAY(),"M")</f>
        <v>65</v>
      </c>
      <c r="D794" s="31">
        <f>EDATE(LoanData[[#This Row],[Approval_Date]],LoanData[[#This Row],[Loan_Term_Months]])</f>
        <v>45731</v>
      </c>
      <c r="E794" t="str">
        <f t="shared" ca="1" si="12"/>
        <v>YES</v>
      </c>
      <c r="F794" s="33">
        <f>IFERROR(LoanData[[#This Row],[EMI]]/LoanData[[#This Row],[Monthly_Income]]*100," ")</f>
        <v>1.0434432758424501</v>
      </c>
      <c r="G794" t="str" cm="1">
        <f t="array" ref="G794">_xlfn.IFS(F794&gt;40, "High DTI Risk",F794&gt;=25, "Moderate DTI",F794&lt;25, "Low DTI")</f>
        <v>Low DTI</v>
      </c>
      <c r="H794" t="str" cm="1">
        <f t="array" ref="H7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94" t="str">
        <f>_xlfn.XLOOKUP(H794,Reference_Tables!$B$2:$B$7,Reference_Tables!$C$2:$C$7,,0,1)</f>
        <v>MR</v>
      </c>
      <c r="J794" t="str">
        <f>INDEX(Reference_Tables!$D$11:$D$36,MATCH(LoanData[[#This Row],[Branch]],Reference_Tables!$A$11:$A$36,0))</f>
        <v>Priya Yadav</v>
      </c>
      <c r="L794" s="35"/>
    </row>
    <row r="795" spans="2:12" ht="15.6" x14ac:dyDescent="0.3">
      <c r="B795" s="15">
        <f>DATEDIF(Loan_Data!K:K,Loan_Data!L:L,"D")</f>
        <v>29</v>
      </c>
      <c r="C795" s="15">
        <f ca="1">DATEDIF(LoanData[[#This Row],[Approval_Date]],TODAY(),"M")</f>
        <v>39</v>
      </c>
      <c r="D795" s="31">
        <f>EDATE(LoanData[[#This Row],[Approval_Date]],LoanData[[#This Row],[Loan_Term_Months]])</f>
        <v>45422</v>
      </c>
      <c r="E795" t="str">
        <f t="shared" ca="1" si="12"/>
        <v>YES</v>
      </c>
      <c r="F795" s="33">
        <f>IFERROR(LoanData[[#This Row],[EMI]]/LoanData[[#This Row],[Monthly_Income]]*100," ")</f>
        <v>4.5121204075210448</v>
      </c>
      <c r="G795" t="str" cm="1">
        <f t="array" ref="G795">_xlfn.IFS(F795&gt;40, "High DTI Risk",F795&gt;=25, "Moderate DTI",F795&lt;25, "Low DTI")</f>
        <v>Low DTI</v>
      </c>
      <c r="H795" t="str" cm="1">
        <f t="array" ref="H7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795" t="str">
        <f>_xlfn.XLOOKUP(H795,Reference_Tables!$B$2:$B$7,Reference_Tables!$C$2:$C$7,,0,1)</f>
        <v>LR</v>
      </c>
      <c r="J795" t="str">
        <f>INDEX(Reference_Tables!$D$11:$D$36,MATCH(LoanData[[#This Row],[Branch]],Reference_Tables!$A$11:$A$36,0))</f>
        <v>Meena Iyer</v>
      </c>
      <c r="L795" s="35"/>
    </row>
    <row r="796" spans="2:12" ht="15.6" x14ac:dyDescent="0.3">
      <c r="B796" s="15">
        <f>DATEDIF(Loan_Data!K:K,Loan_Data!L:L,"D")</f>
        <v>7</v>
      </c>
      <c r="C796" s="15">
        <f ca="1">DATEDIF(LoanData[[#This Row],[Approval_Date]],TODAY(),"M")</f>
        <v>63</v>
      </c>
      <c r="D796" s="31">
        <f>EDATE(LoanData[[#This Row],[Approval_Date]],LoanData[[#This Row],[Loan_Term_Months]])</f>
        <v>45043</v>
      </c>
      <c r="E796" t="str">
        <f t="shared" ca="1" si="12"/>
        <v>YES</v>
      </c>
      <c r="F796" s="33">
        <f>IFERROR(LoanData[[#This Row],[EMI]]/LoanData[[#This Row],[Monthly_Income]]*100," ")</f>
        <v>24.937069655724581</v>
      </c>
      <c r="G796" t="str" cm="1">
        <f t="array" ref="G796">_xlfn.IFS(F796&gt;40, "High DTI Risk",F796&gt;=25, "Moderate DTI",F796&lt;25, "Low DTI")</f>
        <v>Low DTI</v>
      </c>
      <c r="H796" t="str" cm="1">
        <f t="array" ref="H7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796" t="str">
        <f>_xlfn.XLOOKUP(H796,Reference_Tables!$B$2:$B$7,Reference_Tables!$C$2:$C$7,,0,1)</f>
        <v>UC</v>
      </c>
      <c r="J796" t="str">
        <f>INDEX(Reference_Tables!$D$11:$D$36,MATCH(LoanData[[#This Row],[Branch]],Reference_Tables!$A$11:$A$36,0))</f>
        <v>Deepak Nair</v>
      </c>
      <c r="L796" s="35"/>
    </row>
    <row r="797" spans="2:12" ht="15.6" x14ac:dyDescent="0.3">
      <c r="B797" s="15">
        <f>DATEDIF(Loan_Data!K:K,Loan_Data!L:L,"D")</f>
        <v>7</v>
      </c>
      <c r="C797" s="15">
        <f ca="1">DATEDIF(LoanData[[#This Row],[Approval_Date]],TODAY(),"M")</f>
        <v>48</v>
      </c>
      <c r="D797" s="31">
        <f>EDATE(LoanData[[#This Row],[Approval_Date]],LoanData[[#This Row],[Loan_Term_Months]])</f>
        <v>45129</v>
      </c>
      <c r="E797" t="str">
        <f t="shared" ca="1" si="12"/>
        <v>YES</v>
      </c>
      <c r="F797" s="33">
        <f>IFERROR(LoanData[[#This Row],[EMI]]/LoanData[[#This Row],[Monthly_Income]]*100," ")</f>
        <v>3.9121897266829735</v>
      </c>
      <c r="G797" t="str" cm="1">
        <f t="array" ref="G797">_xlfn.IFS(F797&gt;40, "High DTI Risk",F797&gt;=25, "Moderate DTI",F797&lt;25, "Low DTI")</f>
        <v>Low DTI</v>
      </c>
      <c r="H797" t="str" cm="1">
        <f t="array" ref="H7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797" t="str">
        <f>_xlfn.XLOOKUP(H797,Reference_Tables!$B$2:$B$7,Reference_Tables!$C$2:$C$7,,0,1)</f>
        <v>MR</v>
      </c>
      <c r="J797" t="str">
        <f>INDEX(Reference_Tables!$D$11:$D$36,MATCH(LoanData[[#This Row],[Branch]],Reference_Tables!$A$11:$A$36,0))</f>
        <v>Amit Kumar</v>
      </c>
      <c r="L797" s="35"/>
    </row>
    <row r="798" spans="2:12" ht="15.6" x14ac:dyDescent="0.3">
      <c r="B798" s="15">
        <f>DATEDIF(Loan_Data!K:K,Loan_Data!L:L,"D")</f>
        <v>5</v>
      </c>
      <c r="C798" s="15">
        <f ca="1">DATEDIF(LoanData[[#This Row],[Approval_Date]],TODAY(),"M")</f>
        <v>50</v>
      </c>
      <c r="D798" s="31">
        <f>EDATE(LoanData[[#This Row],[Approval_Date]],LoanData[[#This Row],[Loan_Term_Months]])</f>
        <v>47270</v>
      </c>
      <c r="E798" t="str">
        <f t="shared" ca="1" si="12"/>
        <v>NO</v>
      </c>
      <c r="F798" s="33" t="str">
        <f>IFERROR(LoanData[[#This Row],[EMI]]/LoanData[[#This Row],[Monthly_Income]]*100," ")</f>
        <v xml:space="preserve"> </v>
      </c>
      <c r="G798" t="str" cm="1">
        <f t="array" ref="G798">_xlfn.IFS(F798&gt;40, "High DTI Risk",F798&gt;=25, "Moderate DTI",F798&lt;25, "Low DTI")</f>
        <v>High DTI Risk</v>
      </c>
      <c r="H798" t="str" cm="1">
        <f t="array" ref="H7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798" t="str">
        <f>_xlfn.XLOOKUP(H798,Reference_Tables!$B$2:$B$7,Reference_Tables!$C$2:$C$7,,0,1)</f>
        <v>VHR</v>
      </c>
      <c r="J798" t="str">
        <f>INDEX(Reference_Tables!$D$11:$D$36,MATCH(LoanData[[#This Row],[Branch]],Reference_Tables!$A$11:$A$36,0))</f>
        <v>Suman Tiwari</v>
      </c>
      <c r="L798" s="35"/>
    </row>
    <row r="799" spans="2:12" ht="15.6" x14ac:dyDescent="0.3">
      <c r="B799" s="15">
        <f>DATEDIF(Loan_Data!K:K,Loan_Data!L:L,"D")</f>
        <v>24</v>
      </c>
      <c r="C799" s="15">
        <f ca="1">DATEDIF(LoanData[[#This Row],[Approval_Date]],TODAY(),"M")</f>
        <v>52</v>
      </c>
      <c r="D799" s="31">
        <f>EDATE(LoanData[[#This Row],[Approval_Date]],LoanData[[#This Row],[Loan_Term_Months]])</f>
        <v>46114</v>
      </c>
      <c r="E799" t="str">
        <f t="shared" ca="1" si="12"/>
        <v>YES</v>
      </c>
      <c r="F799" s="33">
        <f>IFERROR(LoanData[[#This Row],[EMI]]/LoanData[[#This Row],[Monthly_Income]]*100," ")</f>
        <v>0.56226956334837885</v>
      </c>
      <c r="G799" t="str" cm="1">
        <f t="array" ref="G799">_xlfn.IFS(F799&gt;40, "High DTI Risk",F799&gt;=25, "Moderate DTI",F799&lt;25, "Low DTI")</f>
        <v>Low DTI</v>
      </c>
      <c r="H799" t="str" cm="1">
        <f t="array" ref="H7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799" t="str">
        <f>_xlfn.XLOOKUP(H799,Reference_Tables!$B$2:$B$7,Reference_Tables!$C$2:$C$7,,0,1)</f>
        <v>HR</v>
      </c>
      <c r="J799" t="str">
        <f>INDEX(Reference_Tables!$D$11:$D$36,MATCH(LoanData[[#This Row],[Branch]],Reference_Tables!$A$11:$A$36,0))</f>
        <v>Hetal Patel</v>
      </c>
      <c r="L799" s="35"/>
    </row>
    <row r="800" spans="2:12" ht="15.6" x14ac:dyDescent="0.3">
      <c r="B800" s="15">
        <f>DATEDIF(Loan_Data!K:K,Loan_Data!L:L,"D")</f>
        <v>12</v>
      </c>
      <c r="C800" s="15">
        <f ca="1">DATEDIF(LoanData[[#This Row],[Approval_Date]],TODAY(),"M")</f>
        <v>47</v>
      </c>
      <c r="D800" s="31">
        <f>EDATE(LoanData[[#This Row],[Approval_Date]],LoanData[[#This Row],[Loan_Term_Months]])</f>
        <v>45901</v>
      </c>
      <c r="E800" t="str">
        <f t="shared" ca="1" si="12"/>
        <v>YES</v>
      </c>
      <c r="F800" s="33">
        <f>IFERROR(LoanData[[#This Row],[EMI]]/LoanData[[#This Row],[Monthly_Income]]*100," ")</f>
        <v>0.93965169032635742</v>
      </c>
      <c r="G800" t="str" cm="1">
        <f t="array" ref="G800">_xlfn.IFS(F800&gt;40, "High DTI Risk",F800&gt;=25, "Moderate DTI",F800&lt;25, "Low DTI")</f>
        <v>Low DTI</v>
      </c>
      <c r="H800" t="str" cm="1">
        <f t="array" ref="H8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00" t="str">
        <f>_xlfn.XLOOKUP(H800,Reference_Tables!$B$2:$B$7,Reference_Tables!$C$2:$C$7,,0,1)</f>
        <v>VHR</v>
      </c>
      <c r="J800" t="str">
        <f>INDEX(Reference_Tables!$D$11:$D$36,MATCH(LoanData[[#This Row],[Branch]],Reference_Tables!$A$11:$A$36,0))</f>
        <v>Arvind Pillai</v>
      </c>
      <c r="L800" s="35"/>
    </row>
    <row r="801" spans="2:12" ht="15.6" x14ac:dyDescent="0.3">
      <c r="B801" s="15">
        <f>DATEDIF(Loan_Data!K:K,Loan_Data!L:L,"D")</f>
        <v>5</v>
      </c>
      <c r="C801" s="15">
        <f ca="1">DATEDIF(LoanData[[#This Row],[Approval_Date]],TODAY(),"M")</f>
        <v>56</v>
      </c>
      <c r="D801" s="31">
        <f>EDATE(LoanData[[#This Row],[Approval_Date]],LoanData[[#This Row],[Loan_Term_Months]])</f>
        <v>45642</v>
      </c>
      <c r="E801" t="str">
        <f t="shared" ca="1" si="12"/>
        <v>YES</v>
      </c>
      <c r="F801" s="33">
        <f>IFERROR(LoanData[[#This Row],[EMI]]/LoanData[[#This Row],[Monthly_Income]]*100," ")</f>
        <v>1.5699927846865585</v>
      </c>
      <c r="G801" t="str" cm="1">
        <f t="array" ref="G801">_xlfn.IFS(F801&gt;40, "High DTI Risk",F801&gt;=25, "Moderate DTI",F801&lt;25, "Low DTI")</f>
        <v>Low DTI</v>
      </c>
      <c r="H801" t="str" cm="1">
        <f t="array" ref="H8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01" t="str">
        <f>_xlfn.XLOOKUP(H801,Reference_Tables!$B$2:$B$7,Reference_Tables!$C$2:$C$7,,0,1)</f>
        <v>VHR</v>
      </c>
      <c r="J801" t="str">
        <f>INDEX(Reference_Tables!$D$11:$D$36,MATCH(LoanData[[#This Row],[Branch]],Reference_Tables!$A$11:$A$36,0))</f>
        <v>Debashis Das</v>
      </c>
      <c r="L801" s="35"/>
    </row>
    <row r="802" spans="2:12" ht="15.6" x14ac:dyDescent="0.3">
      <c r="B802" s="15">
        <f>DATEDIF(Loan_Data!K:K,Loan_Data!L:L,"D")</f>
        <v>30</v>
      </c>
      <c r="C802" s="15">
        <f ca="1">DATEDIF(LoanData[[#This Row],[Approval_Date]],TODAY(),"M")</f>
        <v>42</v>
      </c>
      <c r="D802" s="31">
        <f>EDATE(LoanData[[#This Row],[Approval_Date]],LoanData[[#This Row],[Loan_Term_Months]])</f>
        <v>46790</v>
      </c>
      <c r="E802" t="str">
        <f t="shared" ca="1" si="12"/>
        <v>NO</v>
      </c>
      <c r="F802" s="33">
        <f>IFERROR(LoanData[[#This Row],[EMI]]/LoanData[[#This Row],[Monthly_Income]]*100," ")</f>
        <v>60.362544556359175</v>
      </c>
      <c r="G802" t="str" cm="1">
        <f t="array" ref="G802">_xlfn.IFS(F802&gt;40, "High DTI Risk",F802&gt;=25, "Moderate DTI",F802&lt;25, "Low DTI")</f>
        <v>High DTI Risk</v>
      </c>
      <c r="H802" t="str" cm="1">
        <f t="array" ref="H8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02" t="str">
        <f>_xlfn.XLOOKUP(H802,Reference_Tables!$B$2:$B$7,Reference_Tables!$C$2:$C$7,,0,1)</f>
        <v>VHR</v>
      </c>
      <c r="J802" t="str">
        <f>INDEX(Reference_Tables!$D$11:$D$36,MATCH(LoanData[[#This Row],[Branch]],Reference_Tables!$A$11:$A$36,0))</f>
        <v>Sachin Deshpande</v>
      </c>
      <c r="L802" s="35"/>
    </row>
    <row r="803" spans="2:12" ht="15.6" x14ac:dyDescent="0.3">
      <c r="B803" s="15">
        <f>DATEDIF(Loan_Data!K:K,Loan_Data!L:L,"D")</f>
        <v>3</v>
      </c>
      <c r="C803" s="15">
        <f ca="1">DATEDIF(LoanData[[#This Row],[Approval_Date]],TODAY(),"M")</f>
        <v>47</v>
      </c>
      <c r="D803" s="31">
        <f>EDATE(LoanData[[#This Row],[Approval_Date]],LoanData[[#This Row],[Loan_Term_Months]])</f>
        <v>46640</v>
      </c>
      <c r="E803" t="str">
        <f t="shared" ca="1" si="12"/>
        <v>NO</v>
      </c>
      <c r="F803" s="33">
        <f>IFERROR(LoanData[[#This Row],[EMI]]/LoanData[[#This Row],[Monthly_Income]]*100," ")</f>
        <v>24.61713751707282</v>
      </c>
      <c r="G803" t="str" cm="1">
        <f t="array" ref="G803">_xlfn.IFS(F803&gt;40, "High DTI Risk",F803&gt;=25, "Moderate DTI",F803&lt;25, "Low DTI")</f>
        <v>Low DTI</v>
      </c>
      <c r="H803" t="str" cm="1">
        <f t="array" ref="H8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03" t="str">
        <f>_xlfn.XLOOKUP(H803,Reference_Tables!$B$2:$B$7,Reference_Tables!$C$2:$C$7,,0,1)</f>
        <v>LR</v>
      </c>
      <c r="J803" t="str">
        <f>INDEX(Reference_Tables!$D$11:$D$36,MATCH(LoanData[[#This Row],[Branch]],Reference_Tables!$A$11:$A$36,0))</f>
        <v>Sachin Deshpande</v>
      </c>
      <c r="L803" s="35"/>
    </row>
    <row r="804" spans="2:12" ht="15.6" x14ac:dyDescent="0.3">
      <c r="B804" s="15">
        <f>DATEDIF(Loan_Data!K:K,Loan_Data!L:L,"D")</f>
        <v>5</v>
      </c>
      <c r="C804" s="15">
        <f ca="1">DATEDIF(LoanData[[#This Row],[Approval_Date]],TODAY(),"M")</f>
        <v>56</v>
      </c>
      <c r="D804" s="31">
        <f>EDATE(LoanData[[#This Row],[Approval_Date]],LoanData[[#This Row],[Loan_Term_Months]])</f>
        <v>45988</v>
      </c>
      <c r="E804" t="str">
        <f t="shared" ca="1" si="12"/>
        <v>YES</v>
      </c>
      <c r="F804" s="33">
        <f>IFERROR(LoanData[[#This Row],[EMI]]/LoanData[[#This Row],[Monthly_Income]]*100," ")</f>
        <v>1.110433810278568</v>
      </c>
      <c r="G804" t="str" cm="1">
        <f t="array" ref="G804">_xlfn.IFS(F804&gt;40, "High DTI Risk",F804&gt;=25, "Moderate DTI",F804&lt;25, "Low DTI")</f>
        <v>Low DTI</v>
      </c>
      <c r="H804" t="str" cm="1">
        <f t="array" ref="H8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04" t="str">
        <f>_xlfn.XLOOKUP(H804,Reference_Tables!$B$2:$B$7,Reference_Tables!$C$2:$C$7,,0,1)</f>
        <v>LR</v>
      </c>
      <c r="J804" t="str">
        <f>INDEX(Reference_Tables!$D$11:$D$36,MATCH(LoanData[[#This Row],[Branch]],Reference_Tables!$A$11:$A$36,0))</f>
        <v>Anil Mishra</v>
      </c>
      <c r="L804" s="35"/>
    </row>
    <row r="805" spans="2:12" ht="15.6" x14ac:dyDescent="0.3">
      <c r="B805" s="15">
        <f>DATEDIF(Loan_Data!K:K,Loan_Data!L:L,"D")</f>
        <v>25</v>
      </c>
      <c r="C805" s="15">
        <f ca="1">DATEDIF(LoanData[[#This Row],[Approval_Date]],TODAY(),"M")</f>
        <v>66</v>
      </c>
      <c r="D805" s="31">
        <f>EDATE(LoanData[[#This Row],[Approval_Date]],LoanData[[#This Row],[Loan_Term_Months]])</f>
        <v>44606</v>
      </c>
      <c r="E805" t="str">
        <f t="shared" ca="1" si="12"/>
        <v>YES</v>
      </c>
      <c r="F805" s="33">
        <f>IFERROR(LoanData[[#This Row],[EMI]]/LoanData[[#This Row],[Monthly_Income]]*100," ")</f>
        <v>3.3728340803944068</v>
      </c>
      <c r="G805" t="str" cm="1">
        <f t="array" ref="G805">_xlfn.IFS(F805&gt;40, "High DTI Risk",F805&gt;=25, "Moderate DTI",F805&lt;25, "Low DTI")</f>
        <v>Low DTI</v>
      </c>
      <c r="H805" t="str" cm="1">
        <f t="array" ref="H8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05" t="str">
        <f>_xlfn.XLOOKUP(H805,Reference_Tables!$B$2:$B$7,Reference_Tables!$C$2:$C$7,,0,1)</f>
        <v>MR</v>
      </c>
      <c r="J805" t="str">
        <f>INDEX(Reference_Tables!$D$11:$D$36,MATCH(LoanData[[#This Row],[Branch]],Reference_Tables!$A$11:$A$36,0))</f>
        <v>Priya Yadav</v>
      </c>
      <c r="L805" s="35"/>
    </row>
    <row r="806" spans="2:12" ht="15.6" x14ac:dyDescent="0.3">
      <c r="B806" s="15">
        <f>DATEDIF(Loan_Data!K:K,Loan_Data!L:L,"D")</f>
        <v>10</v>
      </c>
      <c r="C806" s="15">
        <f ca="1">DATEDIF(LoanData[[#This Row],[Approval_Date]],TODAY(),"M")</f>
        <v>37</v>
      </c>
      <c r="D806" s="31">
        <f>EDATE(LoanData[[#This Row],[Approval_Date]],LoanData[[#This Row],[Loan_Term_Months]])</f>
        <v>52417</v>
      </c>
      <c r="E806" t="str">
        <f t="shared" ca="1" si="12"/>
        <v>NO</v>
      </c>
      <c r="F806" s="33">
        <f>IFERROR(LoanData[[#This Row],[EMI]]/LoanData[[#This Row],[Monthly_Income]]*100," ")</f>
        <v>0.89463491870166256</v>
      </c>
      <c r="G806" t="str" cm="1">
        <f t="array" ref="G806">_xlfn.IFS(F806&gt;40, "High DTI Risk",F806&gt;=25, "Moderate DTI",F806&lt;25, "Low DTI")</f>
        <v>Low DTI</v>
      </c>
      <c r="H806" t="str" cm="1">
        <f t="array" ref="H8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06" t="str">
        <f>_xlfn.XLOOKUP(H806,Reference_Tables!$B$2:$B$7,Reference_Tables!$C$2:$C$7,,0,1)</f>
        <v>MR</v>
      </c>
      <c r="J806" t="str">
        <f>INDEX(Reference_Tables!$D$11:$D$36,MATCH(LoanData[[#This Row],[Branch]],Reference_Tables!$A$11:$A$36,0))</f>
        <v>Rituparna Bora</v>
      </c>
      <c r="L806" s="35"/>
    </row>
    <row r="807" spans="2:12" ht="15.6" x14ac:dyDescent="0.3">
      <c r="B807" s="15">
        <f>DATEDIF(Loan_Data!K:K,Loan_Data!L:L,"D")</f>
        <v>23</v>
      </c>
      <c r="C807" s="15">
        <f ca="1">DATEDIF(LoanData[[#This Row],[Approval_Date]],TODAY(),"M")</f>
        <v>60</v>
      </c>
      <c r="D807" s="31">
        <f>EDATE(LoanData[[#This Row],[Approval_Date]],LoanData[[#This Row],[Loan_Term_Months]])</f>
        <v>49890</v>
      </c>
      <c r="E807" t="str">
        <f t="shared" ca="1" si="12"/>
        <v>NO</v>
      </c>
      <c r="F807" s="33">
        <f>IFERROR(LoanData[[#This Row],[EMI]]/LoanData[[#This Row],[Monthly_Income]]*100," ")</f>
        <v>0.55865453575062118</v>
      </c>
      <c r="G807" t="str" cm="1">
        <f t="array" ref="G807">_xlfn.IFS(F807&gt;40, "High DTI Risk",F807&gt;=25, "Moderate DTI",F807&lt;25, "Low DTI")</f>
        <v>Low DTI</v>
      </c>
      <c r="H807" t="str" cm="1">
        <f t="array" ref="H8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07" t="str">
        <f>_xlfn.XLOOKUP(H807,Reference_Tables!$B$2:$B$7,Reference_Tables!$C$2:$C$7,,0,1)</f>
        <v>VHR</v>
      </c>
      <c r="J807" t="str">
        <f>INDEX(Reference_Tables!$D$11:$D$36,MATCH(LoanData[[#This Row],[Branch]],Reference_Tables!$A$11:$A$36,0))</f>
        <v>Arvind Pillai</v>
      </c>
      <c r="L807" s="35"/>
    </row>
    <row r="808" spans="2:12" ht="15.6" x14ac:dyDescent="0.3">
      <c r="B808" s="15">
        <f>DATEDIF(Loan_Data!K:K,Loan_Data!L:L,"D")</f>
        <v>21</v>
      </c>
      <c r="C808" s="15">
        <f ca="1">DATEDIF(LoanData[[#This Row],[Approval_Date]],TODAY(),"M")</f>
        <v>63</v>
      </c>
      <c r="D808" s="31">
        <f>EDATE(LoanData[[#This Row],[Approval_Date]],LoanData[[#This Row],[Loan_Term_Months]])</f>
        <v>46135</v>
      </c>
      <c r="E808" t="str">
        <f t="shared" ca="1" si="12"/>
        <v>YES</v>
      </c>
      <c r="F808" s="33">
        <f>IFERROR(LoanData[[#This Row],[EMI]]/LoanData[[#This Row],[Monthly_Income]]*100," ")</f>
        <v>0.62250115140879969</v>
      </c>
      <c r="G808" t="str" cm="1">
        <f t="array" ref="G808">_xlfn.IFS(F808&gt;40, "High DTI Risk",F808&gt;=25, "Moderate DTI",F808&lt;25, "Low DTI")</f>
        <v>Low DTI</v>
      </c>
      <c r="H808" t="str" cm="1">
        <f t="array" ref="H8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08" t="str">
        <f>_xlfn.XLOOKUP(H808,Reference_Tables!$B$2:$B$7,Reference_Tables!$C$2:$C$7,,0,1)</f>
        <v>VHR</v>
      </c>
      <c r="J808" t="str">
        <f>INDEX(Reference_Tables!$D$11:$D$36,MATCH(LoanData[[#This Row],[Branch]],Reference_Tables!$A$11:$A$36,0))</f>
        <v>Arvind Pillai</v>
      </c>
      <c r="L808" s="35"/>
    </row>
    <row r="809" spans="2:12" ht="15.6" x14ac:dyDescent="0.3">
      <c r="B809" s="15">
        <f>DATEDIF(Loan_Data!K:K,Loan_Data!L:L,"D")</f>
        <v>20</v>
      </c>
      <c r="C809" s="15">
        <f ca="1">DATEDIF(LoanData[[#This Row],[Approval_Date]],TODAY(),"M")</f>
        <v>40</v>
      </c>
      <c r="D809" s="31">
        <f>EDATE(LoanData[[#This Row],[Approval_Date]],LoanData[[#This Row],[Loan_Term_Months]])</f>
        <v>45756</v>
      </c>
      <c r="E809" t="str">
        <f t="shared" ca="1" si="12"/>
        <v>YES</v>
      </c>
      <c r="F809" s="33">
        <f>IFERROR(LoanData[[#This Row],[EMI]]/LoanData[[#This Row],[Monthly_Income]]*100," ")</f>
        <v>1.216094665657852</v>
      </c>
      <c r="G809" t="str" cm="1">
        <f t="array" ref="G809">_xlfn.IFS(F809&gt;40, "High DTI Risk",F809&gt;=25, "Moderate DTI",F809&lt;25, "Low DTI")</f>
        <v>Low DTI</v>
      </c>
      <c r="H809" t="str" cm="1">
        <f t="array" ref="H8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09" t="str">
        <f>_xlfn.XLOOKUP(H809,Reference_Tables!$B$2:$B$7,Reference_Tables!$C$2:$C$7,,0,1)</f>
        <v>VHR</v>
      </c>
      <c r="J809" t="str">
        <f>INDEX(Reference_Tables!$D$11:$D$36,MATCH(LoanData[[#This Row],[Branch]],Reference_Tables!$A$11:$A$36,0))</f>
        <v>Amit Kumar</v>
      </c>
      <c r="L809" s="35"/>
    </row>
    <row r="810" spans="2:12" ht="15.6" x14ac:dyDescent="0.3">
      <c r="B810" s="15">
        <f>DATEDIF(Loan_Data!K:K,Loan_Data!L:L,"D")</f>
        <v>16</v>
      </c>
      <c r="C810" s="15">
        <f ca="1">DATEDIF(LoanData[[#This Row],[Approval_Date]],TODAY(),"M")</f>
        <v>60</v>
      </c>
      <c r="D810" s="31">
        <f>EDATE(LoanData[[#This Row],[Approval_Date]],LoanData[[#This Row],[Loan_Term_Months]])</f>
        <v>44784</v>
      </c>
      <c r="E810" t="str">
        <f t="shared" ca="1" si="12"/>
        <v>YES</v>
      </c>
      <c r="F810" s="33">
        <f>IFERROR(LoanData[[#This Row],[EMI]]/LoanData[[#This Row],[Monthly_Income]]*100," ")</f>
        <v>6.9525580652885308</v>
      </c>
      <c r="G810" t="str" cm="1">
        <f t="array" ref="G810">_xlfn.IFS(F810&gt;40, "High DTI Risk",F810&gt;=25, "Moderate DTI",F810&lt;25, "Low DTI")</f>
        <v>Low DTI</v>
      </c>
      <c r="H810" t="str" cm="1">
        <f t="array" ref="H8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10" t="str">
        <f>_xlfn.XLOOKUP(H810,Reference_Tables!$B$2:$B$7,Reference_Tables!$C$2:$C$7,,0,1)</f>
        <v>VHR</v>
      </c>
      <c r="J810" t="str">
        <f>INDEX(Reference_Tables!$D$11:$D$36,MATCH(LoanData[[#This Row],[Branch]],Reference_Tables!$A$11:$A$36,0))</f>
        <v>Amit Kumar</v>
      </c>
      <c r="L810" s="35"/>
    </row>
    <row r="811" spans="2:12" ht="15.6" x14ac:dyDescent="0.3">
      <c r="B811" s="15">
        <f>DATEDIF(Loan_Data!K:K,Loan_Data!L:L,"D")</f>
        <v>21</v>
      </c>
      <c r="C811" s="15">
        <f ca="1">DATEDIF(LoanData[[#This Row],[Approval_Date]],TODAY(),"M")</f>
        <v>52</v>
      </c>
      <c r="D811" s="31">
        <f>EDATE(LoanData[[#This Row],[Approval_Date]],LoanData[[#This Row],[Loan_Term_Months]])</f>
        <v>48317</v>
      </c>
      <c r="E811" t="str">
        <f t="shared" ca="1" si="12"/>
        <v>NO</v>
      </c>
      <c r="F811" s="33">
        <f>IFERROR(LoanData[[#This Row],[EMI]]/LoanData[[#This Row],[Monthly_Income]]*100," ")</f>
        <v>18.60758363854606</v>
      </c>
      <c r="G811" t="str" cm="1">
        <f t="array" ref="G811">_xlfn.IFS(F811&gt;40, "High DTI Risk",F811&gt;=25, "Moderate DTI",F811&lt;25, "Low DTI")</f>
        <v>Low DTI</v>
      </c>
      <c r="H811" t="str" cm="1">
        <f t="array" ref="H8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11" t="str">
        <f>_xlfn.XLOOKUP(H811,Reference_Tables!$B$2:$B$7,Reference_Tables!$C$2:$C$7,,0,1)</f>
        <v>VHR</v>
      </c>
      <c r="J811" t="str">
        <f>INDEX(Reference_Tables!$D$11:$D$36,MATCH(LoanData[[#This Row],[Branch]],Reference_Tables!$A$11:$A$36,0))</f>
        <v>Santhosh Rao</v>
      </c>
      <c r="L811" s="35"/>
    </row>
    <row r="812" spans="2:12" ht="15.6" x14ac:dyDescent="0.3">
      <c r="B812" s="15">
        <f>DATEDIF(Loan_Data!K:K,Loan_Data!L:L,"D")</f>
        <v>28</v>
      </c>
      <c r="C812" s="15">
        <f ca="1">DATEDIF(LoanData[[#This Row],[Approval_Date]],TODAY(),"M")</f>
        <v>63</v>
      </c>
      <c r="D812" s="31">
        <f>EDATE(LoanData[[#This Row],[Approval_Date]],LoanData[[#This Row],[Loan_Term_Months]])</f>
        <v>44683</v>
      </c>
      <c r="E812" t="str">
        <f t="shared" ca="1" si="12"/>
        <v>YES</v>
      </c>
      <c r="F812" s="33">
        <f>IFERROR(LoanData[[#This Row],[EMI]]/LoanData[[#This Row],[Monthly_Income]]*100," ")</f>
        <v>25.257746693600641</v>
      </c>
      <c r="G812" t="str" cm="1">
        <f t="array" ref="G812">_xlfn.IFS(F812&gt;40, "High DTI Risk",F812&gt;=25, "Moderate DTI",F812&lt;25, "Low DTI")</f>
        <v>Moderate DTI</v>
      </c>
      <c r="H812" t="str" cm="1">
        <f t="array" ref="H8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12" t="str">
        <f>_xlfn.XLOOKUP(H812,Reference_Tables!$B$2:$B$7,Reference_Tables!$C$2:$C$7,,0,1)</f>
        <v>VHR</v>
      </c>
      <c r="J812" t="str">
        <f>INDEX(Reference_Tables!$D$11:$D$36,MATCH(LoanData[[#This Row],[Branch]],Reference_Tables!$A$11:$A$36,0))</f>
        <v>Lakshmi Reddy</v>
      </c>
      <c r="L812" s="35"/>
    </row>
    <row r="813" spans="2:12" ht="15.6" x14ac:dyDescent="0.3">
      <c r="B813" s="15">
        <f>DATEDIF(Loan_Data!K:K,Loan_Data!L:L,"D")</f>
        <v>17</v>
      </c>
      <c r="C813" s="15">
        <f ca="1">DATEDIF(LoanData[[#This Row],[Approval_Date]],TODAY(),"M")</f>
        <v>51</v>
      </c>
      <c r="D813" s="31">
        <f>EDATE(LoanData[[#This Row],[Approval_Date]],LoanData[[#This Row],[Loan_Term_Months]])</f>
        <v>45792</v>
      </c>
      <c r="E813" t="str">
        <f t="shared" ca="1" si="12"/>
        <v>YES</v>
      </c>
      <c r="F813" s="33">
        <f>IFERROR(LoanData[[#This Row],[EMI]]/LoanData[[#This Row],[Monthly_Income]]*100," ")</f>
        <v>1.4985323538523743</v>
      </c>
      <c r="G813" t="str" cm="1">
        <f t="array" ref="G813">_xlfn.IFS(F813&gt;40, "High DTI Risk",F813&gt;=25, "Moderate DTI",F813&lt;25, "Low DTI")</f>
        <v>Low DTI</v>
      </c>
      <c r="H813" t="str" cm="1">
        <f t="array" ref="H8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13" t="str">
        <f>_xlfn.XLOOKUP(H813,Reference_Tables!$B$2:$B$7,Reference_Tables!$C$2:$C$7,,0,1)</f>
        <v>HR</v>
      </c>
      <c r="J813" t="str">
        <f>INDEX(Reference_Tables!$D$11:$D$36,MATCH(LoanData[[#This Row],[Branch]],Reference_Tables!$A$11:$A$36,0))</f>
        <v>Santhosh Rao</v>
      </c>
      <c r="L813" s="35"/>
    </row>
    <row r="814" spans="2:12" ht="15.6" x14ac:dyDescent="0.3">
      <c r="B814" s="15">
        <f>DATEDIF(Loan_Data!K:K,Loan_Data!L:L,"D")</f>
        <v>3</v>
      </c>
      <c r="C814" s="15">
        <f ca="1">DATEDIF(LoanData[[#This Row],[Approval_Date]],TODAY(),"M")</f>
        <v>32</v>
      </c>
      <c r="D814" s="31">
        <f>EDATE(LoanData[[#This Row],[Approval_Date]],LoanData[[#This Row],[Loan_Term_Months]])</f>
        <v>45638</v>
      </c>
      <c r="E814" t="str">
        <f t="shared" ca="1" si="12"/>
        <v>YES</v>
      </c>
      <c r="F814" s="33">
        <f>IFERROR(LoanData[[#This Row],[EMI]]/LoanData[[#This Row],[Monthly_Income]]*100," ")</f>
        <v>6.5077320327069286</v>
      </c>
      <c r="G814" t="str" cm="1">
        <f t="array" ref="G814">_xlfn.IFS(F814&gt;40, "High DTI Risk",F814&gt;=25, "Moderate DTI",F814&lt;25, "Low DTI")</f>
        <v>Low DTI</v>
      </c>
      <c r="H814" t="str" cm="1">
        <f t="array" ref="H8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14" t="str">
        <f>_xlfn.XLOOKUP(H814,Reference_Tables!$B$2:$B$7,Reference_Tables!$C$2:$C$7,,0,1)</f>
        <v>MR</v>
      </c>
      <c r="J814" t="str">
        <f>INDEX(Reference_Tables!$D$11:$D$36,MATCH(LoanData[[#This Row],[Branch]],Reference_Tables!$A$11:$A$36,0))</f>
        <v>Deepak Nair</v>
      </c>
      <c r="L814" s="35"/>
    </row>
    <row r="815" spans="2:12" ht="15.6" x14ac:dyDescent="0.3">
      <c r="B815" s="15">
        <f>DATEDIF(Loan_Data!K:K,Loan_Data!L:L,"D")</f>
        <v>13</v>
      </c>
      <c r="C815" s="15">
        <f ca="1">DATEDIF(LoanData[[#This Row],[Approval_Date]],TODAY(),"M")</f>
        <v>58</v>
      </c>
      <c r="D815" s="31">
        <f>EDATE(LoanData[[#This Row],[Approval_Date]],LoanData[[#This Row],[Loan_Term_Months]])</f>
        <v>45931</v>
      </c>
      <c r="E815" t="str">
        <f t="shared" ca="1" si="12"/>
        <v>YES</v>
      </c>
      <c r="F815" s="33">
        <f>IFERROR(LoanData[[#This Row],[EMI]]/LoanData[[#This Row],[Monthly_Income]]*100," ")</f>
        <v>13.356366759716556</v>
      </c>
      <c r="G815" t="str" cm="1">
        <f t="array" ref="G815">_xlfn.IFS(F815&gt;40, "High DTI Risk",F815&gt;=25, "Moderate DTI",F815&lt;25, "Low DTI")</f>
        <v>Low DTI</v>
      </c>
      <c r="H815" t="str" cm="1">
        <f t="array" ref="H8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15" t="str">
        <f>_xlfn.XLOOKUP(H815,Reference_Tables!$B$2:$B$7,Reference_Tables!$C$2:$C$7,,0,1)</f>
        <v>VHR</v>
      </c>
      <c r="J815" t="str">
        <f>INDEX(Reference_Tables!$D$11:$D$36,MATCH(LoanData[[#This Row],[Branch]],Reference_Tables!$A$11:$A$36,0))</f>
        <v>Hetal Patel</v>
      </c>
      <c r="L815" s="35"/>
    </row>
    <row r="816" spans="2:12" ht="15.6" x14ac:dyDescent="0.3">
      <c r="B816" s="15">
        <f>DATEDIF(Loan_Data!K:K,Loan_Data!L:L,"D")</f>
        <v>14</v>
      </c>
      <c r="C816" s="15">
        <f ca="1">DATEDIF(LoanData[[#This Row],[Approval_Date]],TODAY(),"M")</f>
        <v>36</v>
      </c>
      <c r="D816" s="31">
        <f>EDATE(LoanData[[#This Row],[Approval_Date]],LoanData[[#This Row],[Loan_Term_Months]])</f>
        <v>48797</v>
      </c>
      <c r="E816" t="str">
        <f t="shared" ca="1" si="12"/>
        <v>NO</v>
      </c>
      <c r="F816" s="33">
        <f>IFERROR(LoanData[[#This Row],[EMI]]/LoanData[[#This Row],[Monthly_Income]]*100," ")</f>
        <v>0.30028416741732677</v>
      </c>
      <c r="G816" t="str" cm="1">
        <f t="array" ref="G816">_xlfn.IFS(F816&gt;40, "High DTI Risk",F816&gt;=25, "Moderate DTI",F816&lt;25, "Low DTI")</f>
        <v>Low DTI</v>
      </c>
      <c r="H816" t="str" cm="1">
        <f t="array" ref="H8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16" t="str">
        <f>_xlfn.XLOOKUP(H816,Reference_Tables!$B$2:$B$7,Reference_Tables!$C$2:$C$7,,0,1)</f>
        <v>VHR</v>
      </c>
      <c r="J816" t="str">
        <f>INDEX(Reference_Tables!$D$11:$D$36,MATCH(LoanData[[#This Row],[Branch]],Reference_Tables!$A$11:$A$36,0))</f>
        <v>Santhosh Rao</v>
      </c>
      <c r="L816" s="35"/>
    </row>
    <row r="817" spans="2:12" ht="15.6" x14ac:dyDescent="0.3">
      <c r="B817" s="15">
        <f>DATEDIF(Loan_Data!K:K,Loan_Data!L:L,"D")</f>
        <v>24</v>
      </c>
      <c r="C817" s="15">
        <f ca="1">DATEDIF(LoanData[[#This Row],[Approval_Date]],TODAY(),"M")</f>
        <v>45</v>
      </c>
      <c r="D817" s="31">
        <f>EDATE(LoanData[[#This Row],[Approval_Date]],LoanData[[#This Row],[Loan_Term_Months]])</f>
        <v>46336</v>
      </c>
      <c r="E817" t="str">
        <f t="shared" ca="1" si="12"/>
        <v>NO</v>
      </c>
      <c r="F817" s="33">
        <f>IFERROR(LoanData[[#This Row],[EMI]]/LoanData[[#This Row],[Monthly_Income]]*100," ")</f>
        <v>5.0818496663653629</v>
      </c>
      <c r="G817" t="str" cm="1">
        <f t="array" ref="G817">_xlfn.IFS(F817&gt;40, "High DTI Risk",F817&gt;=25, "Moderate DTI",F817&lt;25, "Low DTI")</f>
        <v>Low DTI</v>
      </c>
      <c r="H817" t="str" cm="1">
        <f t="array" ref="H8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17" t="str">
        <f>_xlfn.XLOOKUP(H817,Reference_Tables!$B$2:$B$7,Reference_Tables!$C$2:$C$7,,0,1)</f>
        <v>LR</v>
      </c>
      <c r="J817" t="str">
        <f>INDEX(Reference_Tables!$D$11:$D$36,MATCH(LoanData[[#This Row],[Branch]],Reference_Tables!$A$11:$A$36,0))</f>
        <v>Lakshmi Reddy</v>
      </c>
      <c r="L817" s="35"/>
    </row>
    <row r="818" spans="2:12" ht="15.6" x14ac:dyDescent="0.3">
      <c r="B818" s="15">
        <f>DATEDIF(Loan_Data!K:K,Loan_Data!L:L,"D")</f>
        <v>6</v>
      </c>
      <c r="C818" s="15">
        <f ca="1">DATEDIF(LoanData[[#This Row],[Approval_Date]],TODAY(),"M")</f>
        <v>57</v>
      </c>
      <c r="D818" s="31">
        <f>EDATE(LoanData[[#This Row],[Approval_Date]],LoanData[[#This Row],[Loan_Term_Months]])</f>
        <v>45220</v>
      </c>
      <c r="E818" t="str">
        <f t="shared" ca="1" si="12"/>
        <v>YES</v>
      </c>
      <c r="F818" s="33">
        <f>IFERROR(LoanData[[#This Row],[EMI]]/LoanData[[#This Row],[Monthly_Income]]*100," ")</f>
        <v>3.2186504139065155</v>
      </c>
      <c r="G818" t="str" cm="1">
        <f t="array" ref="G818">_xlfn.IFS(F818&gt;40, "High DTI Risk",F818&gt;=25, "Moderate DTI",F818&lt;25, "Low DTI")</f>
        <v>Low DTI</v>
      </c>
      <c r="H818" t="str" cm="1">
        <f t="array" ref="H8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18" t="str">
        <f>_xlfn.XLOOKUP(H818,Reference_Tables!$B$2:$B$7,Reference_Tables!$C$2:$C$7,,0,1)</f>
        <v>HR</v>
      </c>
      <c r="J818" t="str">
        <f>INDEX(Reference_Tables!$D$11:$D$36,MATCH(LoanData[[#This Row],[Branch]],Reference_Tables!$A$11:$A$36,0))</f>
        <v>Sachin Deshpande</v>
      </c>
      <c r="L818" s="35"/>
    </row>
    <row r="819" spans="2:12" ht="15.6" x14ac:dyDescent="0.3">
      <c r="B819" s="15">
        <f>DATEDIF(Loan_Data!K:K,Loan_Data!L:L,"D")</f>
        <v>30</v>
      </c>
      <c r="C819" s="15">
        <f ca="1">DATEDIF(LoanData[[#This Row],[Approval_Date]],TODAY(),"M")</f>
        <v>36</v>
      </c>
      <c r="D819" s="31">
        <f>EDATE(LoanData[[#This Row],[Approval_Date]],LoanData[[#This Row],[Loan_Term_Months]])</f>
        <v>50624</v>
      </c>
      <c r="E819" t="str">
        <f t="shared" ca="1" si="12"/>
        <v>NO</v>
      </c>
      <c r="F819" s="33">
        <f>IFERROR(LoanData[[#This Row],[EMI]]/LoanData[[#This Row],[Monthly_Income]]*100," ")</f>
        <v>2.3218379607079074</v>
      </c>
      <c r="G819" t="str" cm="1">
        <f t="array" ref="G819">_xlfn.IFS(F819&gt;40, "High DTI Risk",F819&gt;=25, "Moderate DTI",F819&lt;25, "Low DTI")</f>
        <v>Low DTI</v>
      </c>
      <c r="H819" t="str" cm="1">
        <f t="array" ref="H8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19" t="str">
        <f>_xlfn.XLOOKUP(H819,Reference_Tables!$B$2:$B$7,Reference_Tables!$C$2:$C$7,,0,1)</f>
        <v>VHR</v>
      </c>
      <c r="J819" t="str">
        <f>INDEX(Reference_Tables!$D$11:$D$36,MATCH(LoanData[[#This Row],[Branch]],Reference_Tables!$A$11:$A$36,0))</f>
        <v>Lakshmi Reddy</v>
      </c>
      <c r="L819" s="35"/>
    </row>
    <row r="820" spans="2:12" ht="15.6" x14ac:dyDescent="0.3">
      <c r="B820" s="15">
        <f>DATEDIF(Loan_Data!K:K,Loan_Data!L:L,"D")</f>
        <v>30</v>
      </c>
      <c r="C820" s="15">
        <f ca="1">DATEDIF(LoanData[[#This Row],[Approval_Date]],TODAY(),"M")</f>
        <v>32</v>
      </c>
      <c r="D820" s="31">
        <f>EDATE(LoanData[[#This Row],[Approval_Date]],LoanData[[#This Row],[Loan_Term_Months]])</f>
        <v>47821</v>
      </c>
      <c r="E820" t="str">
        <f t="shared" ca="1" si="12"/>
        <v>NO</v>
      </c>
      <c r="F820" s="33">
        <f>IFERROR(LoanData[[#This Row],[EMI]]/LoanData[[#This Row],[Monthly_Income]]*100," ")</f>
        <v>0.92158728744578566</v>
      </c>
      <c r="G820" t="str" cm="1">
        <f t="array" ref="G820">_xlfn.IFS(F820&gt;40, "High DTI Risk",F820&gt;=25, "Moderate DTI",F820&lt;25, "Low DTI")</f>
        <v>Low DTI</v>
      </c>
      <c r="H820" t="str" cm="1">
        <f t="array" ref="H8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20" t="str">
        <f>_xlfn.XLOOKUP(H820,Reference_Tables!$B$2:$B$7,Reference_Tables!$C$2:$C$7,,0,1)</f>
        <v>LR</v>
      </c>
      <c r="J820" t="str">
        <f>INDEX(Reference_Tables!$D$11:$D$36,MATCH(LoanData[[#This Row],[Branch]],Reference_Tables!$A$11:$A$36,0))</f>
        <v>Suman Tiwari</v>
      </c>
      <c r="L820" s="35"/>
    </row>
    <row r="821" spans="2:12" ht="15.6" x14ac:dyDescent="0.3">
      <c r="B821" s="15">
        <f>DATEDIF(Loan_Data!K:K,Loan_Data!L:L,"D")</f>
        <v>18</v>
      </c>
      <c r="C821" s="15">
        <f ca="1">DATEDIF(LoanData[[#This Row],[Approval_Date]],TODAY(),"M")</f>
        <v>46</v>
      </c>
      <c r="D821" s="31">
        <f>EDATE(LoanData[[#This Row],[Approval_Date]],LoanData[[#This Row],[Loan_Term_Months]])</f>
        <v>50320</v>
      </c>
      <c r="E821" t="str">
        <f t="shared" ca="1" si="12"/>
        <v>NO</v>
      </c>
      <c r="F821" s="33">
        <f>IFERROR(LoanData[[#This Row],[EMI]]/LoanData[[#This Row],[Monthly_Income]]*100," ")</f>
        <v>0.62388335016908958</v>
      </c>
      <c r="G821" t="str" cm="1">
        <f t="array" ref="G821">_xlfn.IFS(F821&gt;40, "High DTI Risk",F821&gt;=25, "Moderate DTI",F821&lt;25, "Low DTI")</f>
        <v>Low DTI</v>
      </c>
      <c r="H821" t="str" cm="1">
        <f t="array" ref="H8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21" t="str">
        <f>_xlfn.XLOOKUP(H821,Reference_Tables!$B$2:$B$7,Reference_Tables!$C$2:$C$7,,0,1)</f>
        <v>HR</v>
      </c>
      <c r="J821" t="str">
        <f>INDEX(Reference_Tables!$D$11:$D$36,MATCH(LoanData[[#This Row],[Branch]],Reference_Tables!$A$11:$A$36,0))</f>
        <v>Priya Yadav</v>
      </c>
      <c r="L821" s="35"/>
    </row>
    <row r="822" spans="2:12" ht="15.6" x14ac:dyDescent="0.3">
      <c r="B822" s="15">
        <f>DATEDIF(Loan_Data!K:K,Loan_Data!L:L,"D")</f>
        <v>27</v>
      </c>
      <c r="C822" s="15">
        <f ca="1">DATEDIF(LoanData[[#This Row],[Approval_Date]],TODAY(),"M")</f>
        <v>50</v>
      </c>
      <c r="D822" s="31">
        <f>EDATE(LoanData[[#This Row],[Approval_Date]],LoanData[[#This Row],[Loan_Term_Months]])</f>
        <v>45452</v>
      </c>
      <c r="E822" t="str">
        <f t="shared" ca="1" si="12"/>
        <v>YES</v>
      </c>
      <c r="F822" s="33">
        <f>IFERROR(LoanData[[#This Row],[EMI]]/LoanData[[#This Row],[Monthly_Income]]*100," ")</f>
        <v>21.213433861222189</v>
      </c>
      <c r="G822" t="str" cm="1">
        <f t="array" ref="G822">_xlfn.IFS(F822&gt;40, "High DTI Risk",F822&gt;=25, "Moderate DTI",F822&lt;25, "Low DTI")</f>
        <v>Low DTI</v>
      </c>
      <c r="H822" t="str" cm="1">
        <f t="array" ref="H8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22" t="str">
        <f>_xlfn.XLOOKUP(H822,Reference_Tables!$B$2:$B$7,Reference_Tables!$C$2:$C$7,,0,1)</f>
        <v>VHR</v>
      </c>
      <c r="J822" t="str">
        <f>INDEX(Reference_Tables!$D$11:$D$36,MATCH(LoanData[[#This Row],[Branch]],Reference_Tables!$A$11:$A$36,0))</f>
        <v>Hetal Patel</v>
      </c>
      <c r="L822" s="35"/>
    </row>
    <row r="823" spans="2:12" ht="15.6" x14ac:dyDescent="0.3">
      <c r="B823" s="15">
        <f>DATEDIF(Loan_Data!K:K,Loan_Data!L:L,"D")</f>
        <v>19</v>
      </c>
      <c r="C823" s="15">
        <f ca="1">DATEDIF(LoanData[[#This Row],[Approval_Date]],TODAY(),"M")</f>
        <v>55</v>
      </c>
      <c r="D823" s="31">
        <f>EDATE(LoanData[[#This Row],[Approval_Date]],LoanData[[#This Row],[Loan_Term_Months]])</f>
        <v>51882</v>
      </c>
      <c r="E823" t="str">
        <f t="shared" ca="1" si="12"/>
        <v>NO</v>
      </c>
      <c r="F823" s="33">
        <f>IFERROR(LoanData[[#This Row],[EMI]]/LoanData[[#This Row],[Monthly_Income]]*100," ")</f>
        <v>0.42513279972209761</v>
      </c>
      <c r="G823" t="str" cm="1">
        <f t="array" ref="G823">_xlfn.IFS(F823&gt;40, "High DTI Risk",F823&gt;=25, "Moderate DTI",F823&lt;25, "Low DTI")</f>
        <v>Low DTI</v>
      </c>
      <c r="H823" t="str" cm="1">
        <f t="array" ref="H8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23" t="str">
        <f>_xlfn.XLOOKUP(H823,Reference_Tables!$B$2:$B$7,Reference_Tables!$C$2:$C$7,,0,1)</f>
        <v>MR</v>
      </c>
      <c r="J823" t="str">
        <f>INDEX(Reference_Tables!$D$11:$D$36,MATCH(LoanData[[#This Row],[Branch]],Reference_Tables!$A$11:$A$36,0))</f>
        <v>Hetal Patel</v>
      </c>
      <c r="L823" s="35"/>
    </row>
    <row r="824" spans="2:12" ht="15.6" x14ac:dyDescent="0.3">
      <c r="B824" s="15">
        <f>DATEDIF(Loan_Data!K:K,Loan_Data!L:L,"D")</f>
        <v>15</v>
      </c>
      <c r="C824" s="15">
        <f ca="1">DATEDIF(LoanData[[#This Row],[Approval_Date]],TODAY(),"M")</f>
        <v>42</v>
      </c>
      <c r="D824" s="31">
        <f>EDATE(LoanData[[#This Row],[Approval_Date]],LoanData[[#This Row],[Loan_Term_Months]])</f>
        <v>47526</v>
      </c>
      <c r="E824" t="str">
        <f t="shared" ca="1" si="12"/>
        <v>NO</v>
      </c>
      <c r="F824" s="33">
        <f>IFERROR(LoanData[[#This Row],[EMI]]/LoanData[[#This Row],[Monthly_Income]]*100," ")</f>
        <v>12.129037636608917</v>
      </c>
      <c r="G824" t="str" cm="1">
        <f t="array" ref="G824">_xlfn.IFS(F824&gt;40, "High DTI Risk",F824&gt;=25, "Moderate DTI",F824&lt;25, "Low DTI")</f>
        <v>Low DTI</v>
      </c>
      <c r="H824" t="str" cm="1">
        <f t="array" ref="H8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24" t="str">
        <f>_xlfn.XLOOKUP(H824,Reference_Tables!$B$2:$B$7,Reference_Tables!$C$2:$C$7,,0,1)</f>
        <v>MR</v>
      </c>
      <c r="J824" t="str">
        <f>INDEX(Reference_Tables!$D$11:$D$36,MATCH(LoanData[[#This Row],[Branch]],Reference_Tables!$A$11:$A$36,0))</f>
        <v>Kavita Joshi</v>
      </c>
      <c r="L824" s="35"/>
    </row>
    <row r="825" spans="2:12" ht="15.6" x14ac:dyDescent="0.3">
      <c r="B825" s="15">
        <f>DATEDIF(Loan_Data!K:K,Loan_Data!L:L,"D")</f>
        <v>26</v>
      </c>
      <c r="C825" s="15">
        <f ca="1">DATEDIF(LoanData[[#This Row],[Approval_Date]],TODAY(),"M")</f>
        <v>42</v>
      </c>
      <c r="D825" s="31">
        <f>EDATE(LoanData[[#This Row],[Approval_Date]],LoanData[[#This Row],[Loan_Term_Months]])</f>
        <v>45694</v>
      </c>
      <c r="E825" t="str">
        <f t="shared" ca="1" si="12"/>
        <v>YES</v>
      </c>
      <c r="F825" s="33">
        <f>IFERROR(LoanData[[#This Row],[EMI]]/LoanData[[#This Row],[Monthly_Income]]*100," ")</f>
        <v>8.8938614440222157</v>
      </c>
      <c r="G825" t="str" cm="1">
        <f t="array" ref="G825">_xlfn.IFS(F825&gt;40, "High DTI Risk",F825&gt;=25, "Moderate DTI",F825&lt;25, "Low DTI")</f>
        <v>Low DTI</v>
      </c>
      <c r="H825" t="str" cm="1">
        <f t="array" ref="H8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25" t="str">
        <f>_xlfn.XLOOKUP(H825,Reference_Tables!$B$2:$B$7,Reference_Tables!$C$2:$C$7,,0,1)</f>
        <v>LR</v>
      </c>
      <c r="J825" t="str">
        <f>INDEX(Reference_Tables!$D$11:$D$36,MATCH(LoanData[[#This Row],[Branch]],Reference_Tables!$A$11:$A$36,0))</f>
        <v>Arvind Pillai</v>
      </c>
      <c r="L825" s="35"/>
    </row>
    <row r="826" spans="2:12" ht="15.6" x14ac:dyDescent="0.3">
      <c r="B826" s="15">
        <f>DATEDIF(Loan_Data!K:K,Loan_Data!L:L,"D")</f>
        <v>17</v>
      </c>
      <c r="C826" s="15">
        <f ca="1">DATEDIF(LoanData[[#This Row],[Approval_Date]],TODAY(),"M")</f>
        <v>39</v>
      </c>
      <c r="D826" s="31">
        <f>EDATE(LoanData[[#This Row],[Approval_Date]],LoanData[[#This Row],[Loan_Term_Months]])</f>
        <v>46874</v>
      </c>
      <c r="E826" t="str">
        <f t="shared" ca="1" si="12"/>
        <v>NO</v>
      </c>
      <c r="F826" s="33">
        <f>IFERROR(LoanData[[#This Row],[EMI]]/LoanData[[#This Row],[Monthly_Income]]*100," ")</f>
        <v>0.4866356651839871</v>
      </c>
      <c r="G826" t="str" cm="1">
        <f t="array" ref="G826">_xlfn.IFS(F826&gt;40, "High DTI Risk",F826&gt;=25, "Moderate DTI",F826&lt;25, "Low DTI")</f>
        <v>Low DTI</v>
      </c>
      <c r="H826" t="str" cm="1">
        <f t="array" ref="H8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26" t="str">
        <f>_xlfn.XLOOKUP(H826,Reference_Tables!$B$2:$B$7,Reference_Tables!$C$2:$C$7,,0,1)</f>
        <v>HR</v>
      </c>
      <c r="J826" t="str">
        <f>INDEX(Reference_Tables!$D$11:$D$36,MATCH(LoanData[[#This Row],[Branch]],Reference_Tables!$A$11:$A$36,0))</f>
        <v>Suman Tiwari</v>
      </c>
      <c r="L826" s="35"/>
    </row>
    <row r="827" spans="2:12" ht="15.6" x14ac:dyDescent="0.3">
      <c r="B827" s="15">
        <f>DATEDIF(Loan_Data!K:K,Loan_Data!L:L,"D")</f>
        <v>3</v>
      </c>
      <c r="C827" s="15">
        <f ca="1">DATEDIF(LoanData[[#This Row],[Approval_Date]],TODAY(),"M")</f>
        <v>52</v>
      </c>
      <c r="D827" s="31">
        <f>EDATE(LoanData[[#This Row],[Approval_Date]],LoanData[[#This Row],[Loan_Term_Months]])</f>
        <v>46112</v>
      </c>
      <c r="E827" t="str">
        <f t="shared" ca="1" si="12"/>
        <v>YES</v>
      </c>
      <c r="F827" s="33">
        <f>IFERROR(LoanData[[#This Row],[EMI]]/LoanData[[#This Row],[Monthly_Income]]*100," ")</f>
        <v>1.4470357094650328</v>
      </c>
      <c r="G827" t="str" cm="1">
        <f t="array" ref="G827">_xlfn.IFS(F827&gt;40, "High DTI Risk",F827&gt;=25, "Moderate DTI",F827&lt;25, "Low DTI")</f>
        <v>Low DTI</v>
      </c>
      <c r="H827" t="str" cm="1">
        <f t="array" ref="H8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27" t="str">
        <f>_xlfn.XLOOKUP(H827,Reference_Tables!$B$2:$B$7,Reference_Tables!$C$2:$C$7,,0,1)</f>
        <v>VHR</v>
      </c>
      <c r="J827" t="str">
        <f>INDEX(Reference_Tables!$D$11:$D$36,MATCH(LoanData[[#This Row],[Branch]],Reference_Tables!$A$11:$A$36,0))</f>
        <v>Sandeep Saxena</v>
      </c>
      <c r="L827" s="35"/>
    </row>
    <row r="828" spans="2:12" ht="15.6" x14ac:dyDescent="0.3">
      <c r="B828" s="15">
        <f>DATEDIF(Loan_Data!K:K,Loan_Data!L:L,"D")</f>
        <v>13</v>
      </c>
      <c r="C828" s="15">
        <f ca="1">DATEDIF(LoanData[[#This Row],[Approval_Date]],TODAY(),"M")</f>
        <v>59</v>
      </c>
      <c r="D828" s="31">
        <f>EDATE(LoanData[[#This Row],[Approval_Date]],LoanData[[#This Row],[Loan_Term_Months]])</f>
        <v>45898</v>
      </c>
      <c r="E828" t="str">
        <f t="shared" ca="1" si="12"/>
        <v>YES</v>
      </c>
      <c r="F828" s="33">
        <f>IFERROR(LoanData[[#This Row],[EMI]]/LoanData[[#This Row],[Monthly_Income]]*100," ")</f>
        <v>3.0604443997080955</v>
      </c>
      <c r="G828" t="str" cm="1">
        <f t="array" ref="G828">_xlfn.IFS(F828&gt;40, "High DTI Risk",F828&gt;=25, "Moderate DTI",F828&lt;25, "Low DTI")</f>
        <v>Low DTI</v>
      </c>
      <c r="H828" t="str" cm="1">
        <f t="array" ref="H8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28" t="str">
        <f>_xlfn.XLOOKUP(H828,Reference_Tables!$B$2:$B$7,Reference_Tables!$C$2:$C$7,,0,1)</f>
        <v>VHR</v>
      </c>
      <c r="J828" t="str">
        <f>INDEX(Reference_Tables!$D$11:$D$36,MATCH(LoanData[[#This Row],[Branch]],Reference_Tables!$A$11:$A$36,0))</f>
        <v>Vikram Malhotra</v>
      </c>
      <c r="L828" s="35"/>
    </row>
    <row r="829" spans="2:12" ht="15.6" x14ac:dyDescent="0.3">
      <c r="B829" s="15">
        <f>DATEDIF(Loan_Data!K:K,Loan_Data!L:L,"D")</f>
        <v>13</v>
      </c>
      <c r="C829" s="15">
        <f ca="1">DATEDIF(LoanData[[#This Row],[Approval_Date]],TODAY(),"M")</f>
        <v>61</v>
      </c>
      <c r="D829" s="31">
        <f>EDATE(LoanData[[#This Row],[Approval_Date]],LoanData[[#This Row],[Loan_Term_Months]])</f>
        <v>45486</v>
      </c>
      <c r="E829" t="str">
        <f t="shared" ca="1" si="12"/>
        <v>YES</v>
      </c>
      <c r="F829" s="33">
        <f>IFERROR(LoanData[[#This Row],[EMI]]/LoanData[[#This Row],[Monthly_Income]]*100," ")</f>
        <v>1.3117464113577837</v>
      </c>
      <c r="G829" t="str" cm="1">
        <f t="array" ref="G829">_xlfn.IFS(F829&gt;40, "High DTI Risk",F829&gt;=25, "Moderate DTI",F829&lt;25, "Low DTI")</f>
        <v>Low DTI</v>
      </c>
      <c r="H829" t="str" cm="1">
        <f t="array" ref="H8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29" t="str">
        <f>_xlfn.XLOOKUP(H829,Reference_Tables!$B$2:$B$7,Reference_Tables!$C$2:$C$7,,0,1)</f>
        <v>HR</v>
      </c>
      <c r="J829" t="str">
        <f>INDEX(Reference_Tables!$D$11:$D$36,MATCH(LoanData[[#This Row],[Branch]],Reference_Tables!$A$11:$A$36,0))</f>
        <v>Jigar Mehta</v>
      </c>
      <c r="L829" s="35"/>
    </row>
    <row r="830" spans="2:12" ht="15.6" x14ac:dyDescent="0.3">
      <c r="B830" s="15">
        <f>DATEDIF(Loan_Data!K:K,Loan_Data!L:L,"D")</f>
        <v>22</v>
      </c>
      <c r="C830" s="15">
        <f ca="1">DATEDIF(LoanData[[#This Row],[Approval_Date]],TODAY(),"M")</f>
        <v>65</v>
      </c>
      <c r="D830" s="31">
        <f>EDATE(LoanData[[#This Row],[Approval_Date]],LoanData[[#This Row],[Loan_Term_Months]])</f>
        <v>45712</v>
      </c>
      <c r="E830" t="str">
        <f t="shared" ca="1" si="12"/>
        <v>YES</v>
      </c>
      <c r="F830" s="33">
        <f>IFERROR(LoanData[[#This Row],[EMI]]/LoanData[[#This Row],[Monthly_Income]]*100," ")</f>
        <v>4.3188461964345031</v>
      </c>
      <c r="G830" t="str" cm="1">
        <f t="array" ref="G830">_xlfn.IFS(F830&gt;40, "High DTI Risk",F830&gt;=25, "Moderate DTI",F830&lt;25, "Low DTI")</f>
        <v>Low DTI</v>
      </c>
      <c r="H830" t="str" cm="1">
        <f t="array" ref="H8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30" t="str">
        <f>_xlfn.XLOOKUP(H830,Reference_Tables!$B$2:$B$7,Reference_Tables!$C$2:$C$7,,0,1)</f>
        <v>HR</v>
      </c>
      <c r="J830" t="str">
        <f>INDEX(Reference_Tables!$D$11:$D$36,MATCH(LoanData[[#This Row],[Branch]],Reference_Tables!$A$11:$A$36,0))</f>
        <v>Priyanka Gupta</v>
      </c>
      <c r="L830" s="35"/>
    </row>
    <row r="831" spans="2:12" ht="15.6" x14ac:dyDescent="0.3">
      <c r="B831" s="15">
        <f>DATEDIF(Loan_Data!K:K,Loan_Data!L:L,"D")</f>
        <v>8</v>
      </c>
      <c r="C831" s="15">
        <f ca="1">DATEDIF(LoanData[[#This Row],[Approval_Date]],TODAY(),"M")</f>
        <v>51</v>
      </c>
      <c r="D831" s="31">
        <f>EDATE(LoanData[[#This Row],[Approval_Date]],LoanData[[#This Row],[Loan_Term_Months]])</f>
        <v>47238</v>
      </c>
      <c r="E831" t="str">
        <f t="shared" ca="1" si="12"/>
        <v>NO</v>
      </c>
      <c r="F831" s="33">
        <f>IFERROR(LoanData[[#This Row],[EMI]]/LoanData[[#This Row],[Monthly_Income]]*100," ")</f>
        <v>1.6055812157007903</v>
      </c>
      <c r="G831" t="str" cm="1">
        <f t="array" ref="G831">_xlfn.IFS(F831&gt;40, "High DTI Risk",F831&gt;=25, "Moderate DTI",F831&lt;25, "Low DTI")</f>
        <v>Low DTI</v>
      </c>
      <c r="H831" t="str" cm="1">
        <f t="array" ref="H8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31" t="str">
        <f>_xlfn.XLOOKUP(H831,Reference_Tables!$B$2:$B$7,Reference_Tables!$C$2:$C$7,,0,1)</f>
        <v>HR</v>
      </c>
      <c r="J831" t="str">
        <f>INDEX(Reference_Tables!$D$11:$D$36,MATCH(LoanData[[#This Row],[Branch]],Reference_Tables!$A$11:$A$36,0))</f>
        <v>Rahul Kapoor</v>
      </c>
      <c r="L831" s="35"/>
    </row>
    <row r="832" spans="2:12" ht="15.6" x14ac:dyDescent="0.3">
      <c r="B832" s="15">
        <f>DATEDIF(Loan_Data!K:K,Loan_Data!L:L,"D")</f>
        <v>25</v>
      </c>
      <c r="C832" s="15">
        <f ca="1">DATEDIF(LoanData[[#This Row],[Approval_Date]],TODAY(),"M")</f>
        <v>63</v>
      </c>
      <c r="D832" s="31">
        <f>EDATE(LoanData[[#This Row],[Approval_Date]],LoanData[[#This Row],[Loan_Term_Months]])</f>
        <v>44680</v>
      </c>
      <c r="E832" t="str">
        <f t="shared" ca="1" si="12"/>
        <v>YES</v>
      </c>
      <c r="F832" s="33">
        <f>IFERROR(LoanData[[#This Row],[EMI]]/LoanData[[#This Row],[Monthly_Income]]*100," ")</f>
        <v>17.38870473255832</v>
      </c>
      <c r="G832" t="str" cm="1">
        <f t="array" ref="G832">_xlfn.IFS(F832&gt;40, "High DTI Risk",F832&gt;=25, "Moderate DTI",F832&lt;25, "Low DTI")</f>
        <v>Low DTI</v>
      </c>
      <c r="H832" t="str" cm="1">
        <f t="array" ref="H8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32" t="str">
        <f>_xlfn.XLOOKUP(H832,Reference_Tables!$B$2:$B$7,Reference_Tables!$C$2:$C$7,,0,1)</f>
        <v>LR</v>
      </c>
      <c r="J832" t="str">
        <f>INDEX(Reference_Tables!$D$11:$D$36,MATCH(LoanData[[#This Row],[Branch]],Reference_Tables!$A$11:$A$36,0))</f>
        <v>Deepak Nair</v>
      </c>
      <c r="L832" s="35"/>
    </row>
    <row r="833" spans="2:12" ht="15.6" x14ac:dyDescent="0.3">
      <c r="B833" s="15">
        <f>DATEDIF(Loan_Data!K:K,Loan_Data!L:L,"D")</f>
        <v>29</v>
      </c>
      <c r="C833" s="15">
        <f ca="1">DATEDIF(LoanData[[#This Row],[Approval_Date]],TODAY(),"M")</f>
        <v>45</v>
      </c>
      <c r="D833" s="31">
        <f>EDATE(LoanData[[#This Row],[Approval_Date]],LoanData[[#This Row],[Loan_Term_Months]])</f>
        <v>50353</v>
      </c>
      <c r="E833" t="str">
        <f t="shared" ca="1" si="12"/>
        <v>NO</v>
      </c>
      <c r="F833" s="33">
        <f>IFERROR(LoanData[[#This Row],[EMI]]/LoanData[[#This Row],[Monthly_Income]]*100," ")</f>
        <v>0.79662397713515931</v>
      </c>
      <c r="G833" t="str" cm="1">
        <f t="array" ref="G833">_xlfn.IFS(F833&gt;40, "High DTI Risk",F833&gt;=25, "Moderate DTI",F833&lt;25, "Low DTI")</f>
        <v>Low DTI</v>
      </c>
      <c r="H833" t="str" cm="1">
        <f t="array" ref="H8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33" t="str">
        <f>_xlfn.XLOOKUP(H833,Reference_Tables!$B$2:$B$7,Reference_Tables!$C$2:$C$7,,0,1)</f>
        <v>MR</v>
      </c>
      <c r="J833" t="str">
        <f>INDEX(Reference_Tables!$D$11:$D$36,MATCH(LoanData[[#This Row],[Branch]],Reference_Tables!$A$11:$A$36,0))</f>
        <v>Sandeep Saxena</v>
      </c>
      <c r="L833" s="35"/>
    </row>
    <row r="834" spans="2:12" ht="15.6" x14ac:dyDescent="0.3">
      <c r="B834" s="15">
        <f>DATEDIF(Loan_Data!K:K,Loan_Data!L:L,"D")</f>
        <v>9</v>
      </c>
      <c r="C834" s="15">
        <f ca="1">DATEDIF(LoanData[[#This Row],[Approval_Date]],TODAY(),"M")</f>
        <v>62</v>
      </c>
      <c r="D834" s="31">
        <f>EDATE(LoanData[[#This Row],[Approval_Date]],LoanData[[#This Row],[Loan_Term_Months]])</f>
        <v>46187</v>
      </c>
      <c r="E834" t="str">
        <f t="shared" ref="E834:E897" ca="1" si="13">IF(D834&lt;TODAY(),"YES","NO")</f>
        <v>YES</v>
      </c>
      <c r="F834" s="33">
        <f>IFERROR(LoanData[[#This Row],[EMI]]/LoanData[[#This Row],[Monthly_Income]]*100," ")</f>
        <v>9.1152793795084008</v>
      </c>
      <c r="G834" t="str" cm="1">
        <f t="array" ref="G834">_xlfn.IFS(F834&gt;40, "High DTI Risk",F834&gt;=25, "Moderate DTI",F834&lt;25, "Low DTI")</f>
        <v>Low DTI</v>
      </c>
      <c r="H834" t="str" cm="1">
        <f t="array" ref="H8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34" t="str">
        <f>_xlfn.XLOOKUP(H834,Reference_Tables!$B$2:$B$7,Reference_Tables!$C$2:$C$7,,0,1)</f>
        <v>LR</v>
      </c>
      <c r="J834" t="str">
        <f>INDEX(Reference_Tables!$D$11:$D$36,MATCH(LoanData[[#This Row],[Branch]],Reference_Tables!$A$11:$A$36,0))</f>
        <v>Suman Tiwari</v>
      </c>
      <c r="L834" s="35"/>
    </row>
    <row r="835" spans="2:12" ht="15.6" x14ac:dyDescent="0.3">
      <c r="B835" s="15">
        <f>DATEDIF(Loan_Data!K:K,Loan_Data!L:L,"D")</f>
        <v>19</v>
      </c>
      <c r="C835" s="15">
        <f ca="1">DATEDIF(LoanData[[#This Row],[Approval_Date]],TODAY(),"M")</f>
        <v>63</v>
      </c>
      <c r="D835" s="31">
        <f>EDATE(LoanData[[#This Row],[Approval_Date]],LoanData[[#This Row],[Loan_Term_Months]])</f>
        <v>44681</v>
      </c>
      <c r="E835" t="str">
        <f t="shared" ca="1" si="13"/>
        <v>YES</v>
      </c>
      <c r="F835" s="33">
        <f>IFERROR(LoanData[[#This Row],[EMI]]/LoanData[[#This Row],[Monthly_Income]]*100," ")</f>
        <v>2.9463564563950517</v>
      </c>
      <c r="G835" t="str" cm="1">
        <f t="array" ref="G835">_xlfn.IFS(F835&gt;40, "High DTI Risk",F835&gt;=25, "Moderate DTI",F835&lt;25, "Low DTI")</f>
        <v>Low DTI</v>
      </c>
      <c r="H835" t="str" cm="1">
        <f t="array" ref="H8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35" t="str">
        <f>_xlfn.XLOOKUP(H835,Reference_Tables!$B$2:$B$7,Reference_Tables!$C$2:$C$7,,0,1)</f>
        <v>HR</v>
      </c>
      <c r="J835" t="str">
        <f>INDEX(Reference_Tables!$D$11:$D$36,MATCH(LoanData[[#This Row],[Branch]],Reference_Tables!$A$11:$A$36,0))</f>
        <v>Rituparna Bora</v>
      </c>
      <c r="L835" s="35"/>
    </row>
    <row r="836" spans="2:12" ht="15.6" x14ac:dyDescent="0.3">
      <c r="B836" s="15">
        <f>DATEDIF(Loan_Data!K:K,Loan_Data!L:L,"D")</f>
        <v>7</v>
      </c>
      <c r="C836" s="15">
        <f ca="1">DATEDIF(LoanData[[#This Row],[Approval_Date]],TODAY(),"M")</f>
        <v>50</v>
      </c>
      <c r="D836" s="31">
        <f>EDATE(LoanData[[#This Row],[Approval_Date]],LoanData[[#This Row],[Loan_Term_Months]])</f>
        <v>46531</v>
      </c>
      <c r="E836" t="str">
        <f t="shared" ca="1" si="13"/>
        <v>NO</v>
      </c>
      <c r="F836" s="33">
        <f>IFERROR(LoanData[[#This Row],[EMI]]/LoanData[[#This Row],[Monthly_Income]]*100," ")</f>
        <v>3.2907677500555268</v>
      </c>
      <c r="G836" t="str" cm="1">
        <f t="array" ref="G836">_xlfn.IFS(F836&gt;40, "High DTI Risk",F836&gt;=25, "Moderate DTI",F836&lt;25, "Low DTI")</f>
        <v>Low DTI</v>
      </c>
      <c r="H836" t="str" cm="1">
        <f t="array" ref="H8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36" t="str">
        <f>_xlfn.XLOOKUP(H836,Reference_Tables!$B$2:$B$7,Reference_Tables!$C$2:$C$7,,0,1)</f>
        <v>VHR</v>
      </c>
      <c r="J836" t="str">
        <f>INDEX(Reference_Tables!$D$11:$D$36,MATCH(LoanData[[#This Row],[Branch]],Reference_Tables!$A$11:$A$36,0))</f>
        <v>Lakshmi Reddy</v>
      </c>
      <c r="L836" s="35"/>
    </row>
    <row r="837" spans="2:12" ht="15.6" x14ac:dyDescent="0.3">
      <c r="B837" s="15">
        <f>DATEDIF(Loan_Data!K:K,Loan_Data!L:L,"D")</f>
        <v>14</v>
      </c>
      <c r="C837" s="15">
        <f ca="1">DATEDIF(LoanData[[#This Row],[Approval_Date]],TODAY(),"M")</f>
        <v>55</v>
      </c>
      <c r="D837" s="31">
        <f>EDATE(LoanData[[#This Row],[Approval_Date]],LoanData[[#This Row],[Loan_Term_Months]])</f>
        <v>48216</v>
      </c>
      <c r="E837" t="str">
        <f t="shared" ca="1" si="13"/>
        <v>NO</v>
      </c>
      <c r="F837" s="33">
        <f>IFERROR(LoanData[[#This Row],[EMI]]/LoanData[[#This Row],[Monthly_Income]]*100," ")</f>
        <v>6.697319091745066</v>
      </c>
      <c r="G837" t="str" cm="1">
        <f t="array" ref="G837">_xlfn.IFS(F837&gt;40, "High DTI Risk",F837&gt;=25, "Moderate DTI",F837&lt;25, "Low DTI")</f>
        <v>Low DTI</v>
      </c>
      <c r="H837" t="str" cm="1">
        <f t="array" ref="H8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37" t="str">
        <f>_xlfn.XLOOKUP(H837,Reference_Tables!$B$2:$B$7,Reference_Tables!$C$2:$C$7,,0,1)</f>
        <v>LR</v>
      </c>
      <c r="J837" t="str">
        <f>INDEX(Reference_Tables!$D$11:$D$36,MATCH(LoanData[[#This Row],[Branch]],Reference_Tables!$A$11:$A$36,0))</f>
        <v>Rahul Kapoor</v>
      </c>
      <c r="L837" s="35"/>
    </row>
    <row r="838" spans="2:12" ht="15.6" x14ac:dyDescent="0.3">
      <c r="B838" s="15">
        <f>DATEDIF(Loan_Data!K:K,Loan_Data!L:L,"D")</f>
        <v>7</v>
      </c>
      <c r="C838" s="15">
        <f ca="1">DATEDIF(LoanData[[#This Row],[Approval_Date]],TODAY(),"M")</f>
        <v>60</v>
      </c>
      <c r="D838" s="31">
        <f>EDATE(LoanData[[#This Row],[Approval_Date]],LoanData[[#This Row],[Loan_Term_Months]])</f>
        <v>46980</v>
      </c>
      <c r="E838" t="str">
        <f t="shared" ca="1" si="13"/>
        <v>NO</v>
      </c>
      <c r="F838" s="33">
        <f>IFERROR(LoanData[[#This Row],[EMI]]/LoanData[[#This Row],[Monthly_Income]]*100," ")</f>
        <v>0.5859581870455236</v>
      </c>
      <c r="G838" t="str" cm="1">
        <f t="array" ref="G838">_xlfn.IFS(F838&gt;40, "High DTI Risk",F838&gt;=25, "Moderate DTI",F838&lt;25, "Low DTI")</f>
        <v>Low DTI</v>
      </c>
      <c r="H838" t="str" cm="1">
        <f t="array" ref="H8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38" t="str">
        <f>_xlfn.XLOOKUP(H838,Reference_Tables!$B$2:$B$7,Reference_Tables!$C$2:$C$7,,0,1)</f>
        <v>LR</v>
      </c>
      <c r="J838" t="str">
        <f>INDEX(Reference_Tables!$D$11:$D$36,MATCH(LoanData[[#This Row],[Branch]],Reference_Tables!$A$11:$A$36,0))</f>
        <v>Sandeep Saxena</v>
      </c>
      <c r="L838" s="35"/>
    </row>
    <row r="839" spans="2:12" ht="15.6" x14ac:dyDescent="0.3">
      <c r="B839" s="15">
        <f>DATEDIF(Loan_Data!K:K,Loan_Data!L:L,"D")</f>
        <v>14</v>
      </c>
      <c r="C839" s="15">
        <f ca="1">DATEDIF(LoanData[[#This Row],[Approval_Date]],TODAY(),"M")</f>
        <v>39</v>
      </c>
      <c r="D839" s="31">
        <f>EDATE(LoanData[[#This Row],[Approval_Date]],LoanData[[#This Row],[Loan_Term_Months]])</f>
        <v>48699</v>
      </c>
      <c r="E839" t="str">
        <f t="shared" ca="1" si="13"/>
        <v>NO</v>
      </c>
      <c r="F839" s="33">
        <f>IFERROR(LoanData[[#This Row],[EMI]]/LoanData[[#This Row],[Monthly_Income]]*100," ")</f>
        <v>1.2220998742737874</v>
      </c>
      <c r="G839" t="str" cm="1">
        <f t="array" ref="G839">_xlfn.IFS(F839&gt;40, "High DTI Risk",F839&gt;=25, "Moderate DTI",F839&lt;25, "Low DTI")</f>
        <v>Low DTI</v>
      </c>
      <c r="H839" t="str" cm="1">
        <f t="array" ref="H8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39" t="str">
        <f>_xlfn.XLOOKUP(H839,Reference_Tables!$B$2:$B$7,Reference_Tables!$C$2:$C$7,,0,1)</f>
        <v>HR</v>
      </c>
      <c r="J839" t="str">
        <f>INDEX(Reference_Tables!$D$11:$D$36,MATCH(LoanData[[#This Row],[Branch]],Reference_Tables!$A$11:$A$36,0))</f>
        <v>Lakshmi Reddy</v>
      </c>
      <c r="L839" s="35"/>
    </row>
    <row r="840" spans="2:12" ht="15.6" x14ac:dyDescent="0.3">
      <c r="B840" s="15">
        <f>DATEDIF(Loan_Data!K:K,Loan_Data!L:L,"D")</f>
        <v>9</v>
      </c>
      <c r="C840" s="15">
        <f ca="1">DATEDIF(LoanData[[#This Row],[Approval_Date]],TODAY(),"M")</f>
        <v>41</v>
      </c>
      <c r="D840" s="31">
        <f>EDATE(LoanData[[#This Row],[Approval_Date]],LoanData[[#This Row],[Loan_Term_Months]])</f>
        <v>46082</v>
      </c>
      <c r="E840" t="str">
        <f t="shared" ca="1" si="13"/>
        <v>YES</v>
      </c>
      <c r="F840" s="33">
        <f>IFERROR(LoanData[[#This Row],[EMI]]/LoanData[[#This Row],[Monthly_Income]]*100," ")</f>
        <v>2.8564755360294392</v>
      </c>
      <c r="G840" t="str" cm="1">
        <f t="array" ref="G840">_xlfn.IFS(F840&gt;40, "High DTI Risk",F840&gt;=25, "Moderate DTI",F840&lt;25, "Low DTI")</f>
        <v>Low DTI</v>
      </c>
      <c r="H840" t="str" cm="1">
        <f t="array" ref="H8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40" t="str">
        <f>_xlfn.XLOOKUP(H840,Reference_Tables!$B$2:$B$7,Reference_Tables!$C$2:$C$7,,0,1)</f>
        <v>VHR</v>
      </c>
      <c r="J840" t="str">
        <f>INDEX(Reference_Tables!$D$11:$D$36,MATCH(LoanData[[#This Row],[Branch]],Reference_Tables!$A$11:$A$36,0))</f>
        <v>Puja Chatterjee</v>
      </c>
      <c r="L840" s="35"/>
    </row>
    <row r="841" spans="2:12" ht="15.6" x14ac:dyDescent="0.3">
      <c r="B841" s="15">
        <f>DATEDIF(Loan_Data!K:K,Loan_Data!L:L,"D")</f>
        <v>13</v>
      </c>
      <c r="C841" s="15">
        <f ca="1">DATEDIF(LoanData[[#This Row],[Approval_Date]],TODAY(),"M")</f>
        <v>37</v>
      </c>
      <c r="D841" s="31">
        <f>EDATE(LoanData[[#This Row],[Approval_Date]],LoanData[[#This Row],[Loan_Term_Months]])</f>
        <v>46926</v>
      </c>
      <c r="E841" t="str">
        <f t="shared" ca="1" si="13"/>
        <v>NO</v>
      </c>
      <c r="F841" s="33">
        <f>IFERROR(LoanData[[#This Row],[EMI]]/LoanData[[#This Row],[Monthly_Income]]*100," ")</f>
        <v>0.61425372225293506</v>
      </c>
      <c r="G841" t="str" cm="1">
        <f t="array" ref="G841">_xlfn.IFS(F841&gt;40, "High DTI Risk",F841&gt;=25, "Moderate DTI",F841&lt;25, "Low DTI")</f>
        <v>Low DTI</v>
      </c>
      <c r="H841" t="str" cm="1">
        <f t="array" ref="H8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41" t="str">
        <f>_xlfn.XLOOKUP(H841,Reference_Tables!$B$2:$B$7,Reference_Tables!$C$2:$C$7,,0,1)</f>
        <v>MR</v>
      </c>
      <c r="J841" t="str">
        <f>INDEX(Reference_Tables!$D$11:$D$36,MATCH(LoanData[[#This Row],[Branch]],Reference_Tables!$A$11:$A$36,0))</f>
        <v>Vikram Malhotra</v>
      </c>
      <c r="L841" s="35"/>
    </row>
    <row r="842" spans="2:12" ht="15.6" x14ac:dyDescent="0.3">
      <c r="B842" s="15">
        <f>DATEDIF(Loan_Data!K:K,Loan_Data!L:L,"D")</f>
        <v>29</v>
      </c>
      <c r="C842" s="15">
        <f ca="1">DATEDIF(LoanData[[#This Row],[Approval_Date]],TODAY(),"M")</f>
        <v>45</v>
      </c>
      <c r="D842" s="31">
        <f>EDATE(LoanData[[#This Row],[Approval_Date]],LoanData[[#This Row],[Loan_Term_Months]])</f>
        <v>46709</v>
      </c>
      <c r="E842" t="str">
        <f t="shared" ca="1" si="13"/>
        <v>NO</v>
      </c>
      <c r="F842" s="33">
        <f>IFERROR(LoanData[[#This Row],[EMI]]/LoanData[[#This Row],[Monthly_Income]]*100," ")</f>
        <v>0.9549061988146097</v>
      </c>
      <c r="G842" t="str" cm="1">
        <f t="array" ref="G842">_xlfn.IFS(F842&gt;40, "High DTI Risk",F842&gt;=25, "Moderate DTI",F842&lt;25, "Low DTI")</f>
        <v>Low DTI</v>
      </c>
      <c r="H842" t="str" cm="1">
        <f t="array" ref="H8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42" t="str">
        <f>_xlfn.XLOOKUP(H842,Reference_Tables!$B$2:$B$7,Reference_Tables!$C$2:$C$7,,0,1)</f>
        <v>VHR</v>
      </c>
      <c r="J842" t="str">
        <f>INDEX(Reference_Tables!$D$11:$D$36,MATCH(LoanData[[#This Row],[Branch]],Reference_Tables!$A$11:$A$36,0))</f>
        <v>Priyanka Gupta</v>
      </c>
      <c r="L842" s="35"/>
    </row>
    <row r="843" spans="2:12" ht="15.6" x14ac:dyDescent="0.3">
      <c r="B843" s="15">
        <f>DATEDIF(Loan_Data!K:K,Loan_Data!L:L,"D")</f>
        <v>23</v>
      </c>
      <c r="C843" s="15">
        <f ca="1">DATEDIF(LoanData[[#This Row],[Approval_Date]],TODAY(),"M")</f>
        <v>42</v>
      </c>
      <c r="D843" s="31">
        <f>EDATE(LoanData[[#This Row],[Approval_Date]],LoanData[[#This Row],[Loan_Term_Months]])</f>
        <v>46421</v>
      </c>
      <c r="E843" t="str">
        <f t="shared" ca="1" si="13"/>
        <v>NO</v>
      </c>
      <c r="F843" s="33">
        <f>IFERROR(LoanData[[#This Row],[EMI]]/LoanData[[#This Row],[Monthly_Income]]*100," ")</f>
        <v>65.181366562138962</v>
      </c>
      <c r="G843" t="str" cm="1">
        <f t="array" ref="G843">_xlfn.IFS(F843&gt;40, "High DTI Risk",F843&gt;=25, "Moderate DTI",F843&lt;25, "Low DTI")</f>
        <v>High DTI Risk</v>
      </c>
      <c r="H843" t="str" cm="1">
        <f t="array" ref="H8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43" t="str">
        <f>_xlfn.XLOOKUP(H843,Reference_Tables!$B$2:$B$7,Reference_Tables!$C$2:$C$7,,0,1)</f>
        <v>LR</v>
      </c>
      <c r="J843" t="str">
        <f>INDEX(Reference_Tables!$D$11:$D$36,MATCH(LoanData[[#This Row],[Branch]],Reference_Tables!$A$11:$A$36,0))</f>
        <v>Suman Tiwari</v>
      </c>
      <c r="L843" s="35"/>
    </row>
    <row r="844" spans="2:12" ht="15.6" x14ac:dyDescent="0.3">
      <c r="B844" s="15">
        <f>DATEDIF(Loan_Data!K:K,Loan_Data!L:L,"D")</f>
        <v>16</v>
      </c>
      <c r="C844" s="15">
        <f ca="1">DATEDIF(LoanData[[#This Row],[Approval_Date]],TODAY(),"M")</f>
        <v>48</v>
      </c>
      <c r="D844" s="31">
        <f>EDATE(LoanData[[#This Row],[Approval_Date]],LoanData[[#This Row],[Loan_Term_Months]])</f>
        <v>45503</v>
      </c>
      <c r="E844" t="str">
        <f t="shared" ca="1" si="13"/>
        <v>YES</v>
      </c>
      <c r="F844" s="33">
        <f>IFERROR(LoanData[[#This Row],[EMI]]/LoanData[[#This Row],[Monthly_Income]]*100," ")</f>
        <v>18.297408327838919</v>
      </c>
      <c r="G844" t="str" cm="1">
        <f t="array" ref="G844">_xlfn.IFS(F844&gt;40, "High DTI Risk",F844&gt;=25, "Moderate DTI",F844&lt;25, "Low DTI")</f>
        <v>Low DTI</v>
      </c>
      <c r="H844" t="str" cm="1">
        <f t="array" ref="H8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44" t="str">
        <f>_xlfn.XLOOKUP(H844,Reference_Tables!$B$2:$B$7,Reference_Tables!$C$2:$C$7,,0,1)</f>
        <v>VHR</v>
      </c>
      <c r="J844" t="str">
        <f>INDEX(Reference_Tables!$D$11:$D$36,MATCH(LoanData[[#This Row],[Branch]],Reference_Tables!$A$11:$A$36,0))</f>
        <v>Sachin Deshpande</v>
      </c>
      <c r="L844" s="35"/>
    </row>
    <row r="845" spans="2:12" ht="15.6" x14ac:dyDescent="0.3">
      <c r="B845" s="15">
        <f>DATEDIF(Loan_Data!K:K,Loan_Data!L:L,"D")</f>
        <v>13</v>
      </c>
      <c r="C845" s="15">
        <f ca="1">DATEDIF(LoanData[[#This Row],[Approval_Date]],TODAY(),"M")</f>
        <v>62</v>
      </c>
      <c r="D845" s="31">
        <f>EDATE(LoanData[[#This Row],[Approval_Date]],LoanData[[#This Row],[Loan_Term_Months]])</f>
        <v>46915</v>
      </c>
      <c r="E845" t="str">
        <f t="shared" ca="1" si="13"/>
        <v>NO</v>
      </c>
      <c r="F845" s="33">
        <f>IFERROR(LoanData[[#This Row],[EMI]]/LoanData[[#This Row],[Monthly_Income]]*100," ")</f>
        <v>1.8112192995204186</v>
      </c>
      <c r="G845" t="str" cm="1">
        <f t="array" ref="G845">_xlfn.IFS(F845&gt;40, "High DTI Risk",F845&gt;=25, "Moderate DTI",F845&lt;25, "Low DTI")</f>
        <v>Low DTI</v>
      </c>
      <c r="H845" t="str" cm="1">
        <f t="array" ref="H8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45" t="str">
        <f>_xlfn.XLOOKUP(H845,Reference_Tables!$B$2:$B$7,Reference_Tables!$C$2:$C$7,,0,1)</f>
        <v>VHR</v>
      </c>
      <c r="J845" t="str">
        <f>INDEX(Reference_Tables!$D$11:$D$36,MATCH(LoanData[[#This Row],[Branch]],Reference_Tables!$A$11:$A$36,0))</f>
        <v>Kavita Joshi</v>
      </c>
      <c r="L845" s="35"/>
    </row>
    <row r="846" spans="2:12" ht="15.6" x14ac:dyDescent="0.3">
      <c r="B846" s="15">
        <f>DATEDIF(Loan_Data!K:K,Loan_Data!L:L,"D")</f>
        <v>4</v>
      </c>
      <c r="C846" s="15">
        <f ca="1">DATEDIF(LoanData[[#This Row],[Approval_Date]],TODAY(),"M")</f>
        <v>41</v>
      </c>
      <c r="D846" s="31">
        <f>EDATE(LoanData[[#This Row],[Approval_Date]],LoanData[[#This Row],[Loan_Term_Months]])</f>
        <v>52306</v>
      </c>
      <c r="E846" t="str">
        <f t="shared" ca="1" si="13"/>
        <v>NO</v>
      </c>
      <c r="F846" s="33">
        <f>IFERROR(LoanData[[#This Row],[EMI]]/LoanData[[#This Row],[Monthly_Income]]*100," ")</f>
        <v>0.27272653260604085</v>
      </c>
      <c r="G846" t="str" cm="1">
        <f t="array" ref="G846">_xlfn.IFS(F846&gt;40, "High DTI Risk",F846&gt;=25, "Moderate DTI",F846&lt;25, "Low DTI")</f>
        <v>Low DTI</v>
      </c>
      <c r="H846" t="str" cm="1">
        <f t="array" ref="H8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46" t="str">
        <f>_xlfn.XLOOKUP(H846,Reference_Tables!$B$2:$B$7,Reference_Tables!$C$2:$C$7,,0,1)</f>
        <v>VHR</v>
      </c>
      <c r="J846" t="str">
        <f>INDEX(Reference_Tables!$D$11:$D$36,MATCH(LoanData[[#This Row],[Branch]],Reference_Tables!$A$11:$A$36,0))</f>
        <v>Nilesh Shah</v>
      </c>
      <c r="L846" s="35"/>
    </row>
    <row r="847" spans="2:12" ht="15.6" x14ac:dyDescent="0.3">
      <c r="B847" s="15">
        <f>DATEDIF(Loan_Data!K:K,Loan_Data!L:L,"D")</f>
        <v>24</v>
      </c>
      <c r="C847" s="15">
        <f ca="1">DATEDIF(LoanData[[#This Row],[Approval_Date]],TODAY(),"M")</f>
        <v>36</v>
      </c>
      <c r="D847" s="31">
        <f>EDATE(LoanData[[#This Row],[Approval_Date]],LoanData[[#This Row],[Loan_Term_Months]])</f>
        <v>46594</v>
      </c>
      <c r="E847" t="str">
        <f t="shared" ca="1" si="13"/>
        <v>NO</v>
      </c>
      <c r="F847" s="33">
        <f>IFERROR(LoanData[[#This Row],[EMI]]/LoanData[[#This Row],[Monthly_Income]]*100," ")</f>
        <v>1.408174630799065</v>
      </c>
      <c r="G847" t="str" cm="1">
        <f t="array" ref="G847">_xlfn.IFS(F847&gt;40, "High DTI Risk",F847&gt;=25, "Moderate DTI",F847&lt;25, "Low DTI")</f>
        <v>Low DTI</v>
      </c>
      <c r="H847" t="str" cm="1">
        <f t="array" ref="H8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47" t="str">
        <f>_xlfn.XLOOKUP(H847,Reference_Tables!$B$2:$B$7,Reference_Tables!$C$2:$C$7,,0,1)</f>
        <v>HR</v>
      </c>
      <c r="J847" t="str">
        <f>INDEX(Reference_Tables!$D$11:$D$36,MATCH(LoanData[[#This Row],[Branch]],Reference_Tables!$A$11:$A$36,0))</f>
        <v>Santhosh Rao</v>
      </c>
      <c r="L847" s="35"/>
    </row>
    <row r="848" spans="2:12" ht="15.6" x14ac:dyDescent="0.3">
      <c r="B848" s="15">
        <f>DATEDIF(Loan_Data!K:K,Loan_Data!L:L,"D")</f>
        <v>8</v>
      </c>
      <c r="C848" s="15">
        <f ca="1">DATEDIF(LoanData[[#This Row],[Approval_Date]],TODAY(),"M")</f>
        <v>66</v>
      </c>
      <c r="D848" s="31">
        <f>EDATE(LoanData[[#This Row],[Approval_Date]],LoanData[[#This Row],[Loan_Term_Months]])</f>
        <v>45335</v>
      </c>
      <c r="E848" t="str">
        <f t="shared" ca="1" si="13"/>
        <v>YES</v>
      </c>
      <c r="F848" s="33">
        <f>IFERROR(LoanData[[#This Row],[EMI]]/LoanData[[#This Row],[Monthly_Income]]*100," ")</f>
        <v>1.9917842669136199</v>
      </c>
      <c r="G848" t="str" cm="1">
        <f t="array" ref="G848">_xlfn.IFS(F848&gt;40, "High DTI Risk",F848&gt;=25, "Moderate DTI",F848&lt;25, "Low DTI")</f>
        <v>Low DTI</v>
      </c>
      <c r="H848" t="str" cm="1">
        <f t="array" ref="H8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848" t="str">
        <f>_xlfn.XLOOKUP(H848,Reference_Tables!$B$2:$B$7,Reference_Tables!$C$2:$C$7,,0,1)</f>
        <v>UC</v>
      </c>
      <c r="J848" t="str">
        <f>INDEX(Reference_Tables!$D$11:$D$36,MATCH(LoanData[[#This Row],[Branch]],Reference_Tables!$A$11:$A$36,0))</f>
        <v>Lakshmi Reddy</v>
      </c>
      <c r="L848" s="35"/>
    </row>
    <row r="849" spans="2:12" ht="15.6" x14ac:dyDescent="0.3">
      <c r="B849" s="15">
        <f>DATEDIF(Loan_Data!K:K,Loan_Data!L:L,"D")</f>
        <v>24</v>
      </c>
      <c r="C849" s="15">
        <f ca="1">DATEDIF(LoanData[[#This Row],[Approval_Date]],TODAY(),"M")</f>
        <v>39</v>
      </c>
      <c r="D849" s="31">
        <f>EDATE(LoanData[[#This Row],[Approval_Date]],LoanData[[#This Row],[Loan_Term_Months]])</f>
        <v>46871</v>
      </c>
      <c r="E849" t="str">
        <f t="shared" ca="1" si="13"/>
        <v>NO</v>
      </c>
      <c r="F849" s="33">
        <f>IFERROR(LoanData[[#This Row],[EMI]]/LoanData[[#This Row],[Monthly_Income]]*100," ")</f>
        <v>2.9671387129979099</v>
      </c>
      <c r="G849" t="str" cm="1">
        <f t="array" ref="G849">_xlfn.IFS(F849&gt;40, "High DTI Risk",F849&gt;=25, "Moderate DTI",F849&lt;25, "Low DTI")</f>
        <v>Low DTI</v>
      </c>
      <c r="H849" t="str" cm="1">
        <f t="array" ref="H8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49" t="str">
        <f>_xlfn.XLOOKUP(H849,Reference_Tables!$B$2:$B$7,Reference_Tables!$C$2:$C$7,,0,1)</f>
        <v>HR</v>
      </c>
      <c r="J849" t="str">
        <f>INDEX(Reference_Tables!$D$11:$D$36,MATCH(LoanData[[#This Row],[Branch]],Reference_Tables!$A$11:$A$36,0))</f>
        <v>Rituparna Bora</v>
      </c>
      <c r="L849" s="35"/>
    </row>
    <row r="850" spans="2:12" ht="15.6" x14ac:dyDescent="0.3">
      <c r="B850" s="15">
        <f>DATEDIF(Loan_Data!K:K,Loan_Data!L:L,"D")</f>
        <v>20</v>
      </c>
      <c r="C850" s="15">
        <f ca="1">DATEDIF(LoanData[[#This Row],[Approval_Date]],TODAY(),"M")</f>
        <v>47</v>
      </c>
      <c r="D850" s="31">
        <f>EDATE(LoanData[[#This Row],[Approval_Date]],LoanData[[#This Row],[Loan_Term_Months]])</f>
        <v>45525</v>
      </c>
      <c r="E850" t="str">
        <f t="shared" ca="1" si="13"/>
        <v>YES</v>
      </c>
      <c r="F850" s="33">
        <f>IFERROR(LoanData[[#This Row],[EMI]]/LoanData[[#This Row],[Monthly_Income]]*100," ")</f>
        <v>3.0305629463660551</v>
      </c>
      <c r="G850" t="str" cm="1">
        <f t="array" ref="G850">_xlfn.IFS(F850&gt;40, "High DTI Risk",F850&gt;=25, "Moderate DTI",F850&lt;25, "Low DTI")</f>
        <v>Low DTI</v>
      </c>
      <c r="H850" t="str" cm="1">
        <f t="array" ref="H8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50" t="str">
        <f>_xlfn.XLOOKUP(H850,Reference_Tables!$B$2:$B$7,Reference_Tables!$C$2:$C$7,,0,1)</f>
        <v>LR</v>
      </c>
      <c r="J850" t="str">
        <f>INDEX(Reference_Tables!$D$11:$D$36,MATCH(LoanData[[#This Row],[Branch]],Reference_Tables!$A$11:$A$36,0))</f>
        <v>Deepak Nair</v>
      </c>
      <c r="L850" s="35"/>
    </row>
    <row r="851" spans="2:12" ht="15.6" x14ac:dyDescent="0.3">
      <c r="B851" s="15">
        <f>DATEDIF(Loan_Data!K:K,Loan_Data!L:L,"D")</f>
        <v>7</v>
      </c>
      <c r="C851" s="15">
        <f ca="1">DATEDIF(LoanData[[#This Row],[Approval_Date]],TODAY(),"M")</f>
        <v>64</v>
      </c>
      <c r="D851" s="31">
        <f>EDATE(LoanData[[#This Row],[Approval_Date]],LoanData[[#This Row],[Loan_Term_Months]])</f>
        <v>46126</v>
      </c>
      <c r="E851" t="str">
        <f t="shared" ca="1" si="13"/>
        <v>YES</v>
      </c>
      <c r="F851" s="33">
        <f>IFERROR(LoanData[[#This Row],[EMI]]/LoanData[[#This Row],[Monthly_Income]]*100," ")</f>
        <v>1.297615775102168</v>
      </c>
      <c r="G851" t="str" cm="1">
        <f t="array" ref="G851">_xlfn.IFS(F851&gt;40, "High DTI Risk",F851&gt;=25, "Moderate DTI",F851&lt;25, "Low DTI")</f>
        <v>Low DTI</v>
      </c>
      <c r="H851" t="str" cm="1">
        <f t="array" ref="H8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51" t="str">
        <f>_xlfn.XLOOKUP(H851,Reference_Tables!$B$2:$B$7,Reference_Tables!$C$2:$C$7,,0,1)</f>
        <v>VHR</v>
      </c>
      <c r="J851" t="str">
        <f>INDEX(Reference_Tables!$D$11:$D$36,MATCH(LoanData[[#This Row],[Branch]],Reference_Tables!$A$11:$A$36,0))</f>
        <v>Sachin Deshpande</v>
      </c>
      <c r="L851" s="35"/>
    </row>
    <row r="852" spans="2:12" ht="15.6" x14ac:dyDescent="0.3">
      <c r="B852" s="15">
        <f>DATEDIF(Loan_Data!K:K,Loan_Data!L:L,"D")</f>
        <v>16</v>
      </c>
      <c r="C852" s="15">
        <f ca="1">DATEDIF(LoanData[[#This Row],[Approval_Date]],TODAY(),"M")</f>
        <v>41</v>
      </c>
      <c r="D852" s="31">
        <f>EDATE(LoanData[[#This Row],[Approval_Date]],LoanData[[#This Row],[Loan_Term_Months]])</f>
        <v>47538</v>
      </c>
      <c r="E852" t="str">
        <f t="shared" ca="1" si="13"/>
        <v>NO</v>
      </c>
      <c r="F852" s="33">
        <f>IFERROR(LoanData[[#This Row],[EMI]]/LoanData[[#This Row],[Monthly_Income]]*100," ")</f>
        <v>2.7261577117480349</v>
      </c>
      <c r="G852" t="str" cm="1">
        <f t="array" ref="G852">_xlfn.IFS(F852&gt;40, "High DTI Risk",F852&gt;=25, "Moderate DTI",F852&lt;25, "Low DTI")</f>
        <v>Low DTI</v>
      </c>
      <c r="H852" t="str" cm="1">
        <f t="array" ref="H8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52" t="str">
        <f>_xlfn.XLOOKUP(H852,Reference_Tables!$B$2:$B$7,Reference_Tables!$C$2:$C$7,,0,1)</f>
        <v>LR</v>
      </c>
      <c r="J852" t="str">
        <f>INDEX(Reference_Tables!$D$11:$D$36,MATCH(LoanData[[#This Row],[Branch]],Reference_Tables!$A$11:$A$36,0))</f>
        <v>Kavita Joshi</v>
      </c>
      <c r="L852" s="35"/>
    </row>
    <row r="853" spans="2:12" ht="15.6" x14ac:dyDescent="0.3">
      <c r="B853" s="15">
        <f>DATEDIF(Loan_Data!K:K,Loan_Data!L:L,"D")</f>
        <v>12</v>
      </c>
      <c r="C853" s="15">
        <f ca="1">DATEDIF(LoanData[[#This Row],[Approval_Date]],TODAY(),"M")</f>
        <v>56</v>
      </c>
      <c r="D853" s="31">
        <f>EDATE(LoanData[[#This Row],[Approval_Date]],LoanData[[#This Row],[Loan_Term_Months]])</f>
        <v>46359</v>
      </c>
      <c r="E853" t="str">
        <f t="shared" ca="1" si="13"/>
        <v>NO</v>
      </c>
      <c r="F853" s="33">
        <f>IFERROR(LoanData[[#This Row],[EMI]]/LoanData[[#This Row],[Monthly_Income]]*100," ")</f>
        <v>1.4587668423767408</v>
      </c>
      <c r="G853" t="str" cm="1">
        <f t="array" ref="G853">_xlfn.IFS(F853&gt;40, "High DTI Risk",F853&gt;=25, "Moderate DTI",F853&lt;25, "Low DTI")</f>
        <v>Low DTI</v>
      </c>
      <c r="H853" t="str" cm="1">
        <f t="array" ref="H8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53" t="str">
        <f>_xlfn.XLOOKUP(H853,Reference_Tables!$B$2:$B$7,Reference_Tables!$C$2:$C$7,,0,1)</f>
        <v>VHR</v>
      </c>
      <c r="J853" t="str">
        <f>INDEX(Reference_Tables!$D$11:$D$36,MATCH(LoanData[[#This Row],[Branch]],Reference_Tables!$A$11:$A$36,0))</f>
        <v>Deepak Nair</v>
      </c>
      <c r="L853" s="35"/>
    </row>
    <row r="854" spans="2:12" ht="15.6" x14ac:dyDescent="0.3">
      <c r="B854" s="15">
        <f>DATEDIF(Loan_Data!K:K,Loan_Data!L:L,"D")</f>
        <v>14</v>
      </c>
      <c r="C854" s="15">
        <f ca="1">DATEDIF(LoanData[[#This Row],[Approval_Date]],TODAY(),"M")</f>
        <v>46</v>
      </c>
      <c r="D854" s="31">
        <f>EDATE(LoanData[[#This Row],[Approval_Date]],LoanData[[#This Row],[Loan_Term_Months]])</f>
        <v>45561</v>
      </c>
      <c r="E854" t="str">
        <f t="shared" ca="1" si="13"/>
        <v>YES</v>
      </c>
      <c r="F854" s="33">
        <f>IFERROR(LoanData[[#This Row],[EMI]]/LoanData[[#This Row],[Monthly_Income]]*100," ")</f>
        <v>1.8705115941022119</v>
      </c>
      <c r="G854" t="str" cm="1">
        <f t="array" ref="G854">_xlfn.IFS(F854&gt;40, "High DTI Risk",F854&gt;=25, "Moderate DTI",F854&lt;25, "Low DTI")</f>
        <v>Low DTI</v>
      </c>
      <c r="H854" t="str" cm="1">
        <f t="array" ref="H8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54" t="str">
        <f>_xlfn.XLOOKUP(H854,Reference_Tables!$B$2:$B$7,Reference_Tables!$C$2:$C$7,,0,1)</f>
        <v>LR</v>
      </c>
      <c r="J854" t="str">
        <f>INDEX(Reference_Tables!$D$11:$D$36,MATCH(LoanData[[#This Row],[Branch]],Reference_Tables!$A$11:$A$36,0))</f>
        <v>Puja Chatterjee</v>
      </c>
      <c r="L854" s="35"/>
    </row>
    <row r="855" spans="2:12" ht="15.6" x14ac:dyDescent="0.3">
      <c r="B855" s="15">
        <f>DATEDIF(Loan_Data!K:K,Loan_Data!L:L,"D")</f>
        <v>11</v>
      </c>
      <c r="C855" s="15">
        <f ca="1">DATEDIF(LoanData[[#This Row],[Approval_Date]],TODAY(),"M")</f>
        <v>31</v>
      </c>
      <c r="D855" s="31">
        <f>EDATE(LoanData[[#This Row],[Approval_Date]],LoanData[[#This Row],[Loan_Term_Months]])</f>
        <v>46387</v>
      </c>
      <c r="E855" t="str">
        <f t="shared" ca="1" si="13"/>
        <v>NO</v>
      </c>
      <c r="F855" s="33">
        <f>IFERROR(LoanData[[#This Row],[EMI]]/LoanData[[#This Row],[Monthly_Income]]*100," ")</f>
        <v>1.104568565874084</v>
      </c>
      <c r="G855" t="str" cm="1">
        <f t="array" ref="G855">_xlfn.IFS(F855&gt;40, "High DTI Risk",F855&gt;=25, "Moderate DTI",F855&lt;25, "Low DTI")</f>
        <v>Low DTI</v>
      </c>
      <c r="H855" t="str" cm="1">
        <f t="array" ref="H8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55" t="str">
        <f>_xlfn.XLOOKUP(H855,Reference_Tables!$B$2:$B$7,Reference_Tables!$C$2:$C$7,,0,1)</f>
        <v>VHR</v>
      </c>
      <c r="J855" t="str">
        <f>INDEX(Reference_Tables!$D$11:$D$36,MATCH(LoanData[[#This Row],[Branch]],Reference_Tables!$A$11:$A$36,0))</f>
        <v>Hetal Patel</v>
      </c>
      <c r="L855" s="35"/>
    </row>
    <row r="856" spans="2:12" ht="15.6" x14ac:dyDescent="0.3">
      <c r="B856" s="15">
        <f>DATEDIF(Loan_Data!K:K,Loan_Data!L:L,"D")</f>
        <v>19</v>
      </c>
      <c r="C856" s="15">
        <f ca="1">DATEDIF(LoanData[[#This Row],[Approval_Date]],TODAY(),"M")</f>
        <v>65</v>
      </c>
      <c r="D856" s="31">
        <f>EDATE(LoanData[[#This Row],[Approval_Date]],LoanData[[#This Row],[Loan_Term_Months]])</f>
        <v>51556</v>
      </c>
      <c r="E856" t="str">
        <f t="shared" ca="1" si="13"/>
        <v>NO</v>
      </c>
      <c r="F856" s="33">
        <f>IFERROR(LoanData[[#This Row],[EMI]]/LoanData[[#This Row],[Monthly_Income]]*100," ")</f>
        <v>3.5399257438686402</v>
      </c>
      <c r="G856" t="str" cm="1">
        <f t="array" ref="G856">_xlfn.IFS(F856&gt;40, "High DTI Risk",F856&gt;=25, "Moderate DTI",F856&lt;25, "Low DTI")</f>
        <v>Low DTI</v>
      </c>
      <c r="H856" t="str" cm="1">
        <f t="array" ref="H8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56" t="str">
        <f>_xlfn.XLOOKUP(H856,Reference_Tables!$B$2:$B$7,Reference_Tables!$C$2:$C$7,,0,1)</f>
        <v>VHR</v>
      </c>
      <c r="J856" t="str">
        <f>INDEX(Reference_Tables!$D$11:$D$36,MATCH(LoanData[[#This Row],[Branch]],Reference_Tables!$A$11:$A$36,0))</f>
        <v>Anil Mishra</v>
      </c>
      <c r="L856" s="35"/>
    </row>
    <row r="857" spans="2:12" ht="15.6" x14ac:dyDescent="0.3">
      <c r="B857" s="15">
        <f>DATEDIF(Loan_Data!K:K,Loan_Data!L:L,"D")</f>
        <v>21</v>
      </c>
      <c r="C857" s="15">
        <f ca="1">DATEDIF(LoanData[[#This Row],[Approval_Date]],TODAY(),"M")</f>
        <v>62</v>
      </c>
      <c r="D857" s="31">
        <f>EDATE(LoanData[[#This Row],[Approval_Date]],LoanData[[#This Row],[Loan_Term_Months]])</f>
        <v>51668</v>
      </c>
      <c r="E857" t="str">
        <f t="shared" ca="1" si="13"/>
        <v>NO</v>
      </c>
      <c r="F857" s="33">
        <f>IFERROR(LoanData[[#This Row],[EMI]]/LoanData[[#This Row],[Monthly_Income]]*100," ")</f>
        <v>2.7812106808332167</v>
      </c>
      <c r="G857" t="str" cm="1">
        <f t="array" ref="G857">_xlfn.IFS(F857&gt;40, "High DTI Risk",F857&gt;=25, "Moderate DTI",F857&lt;25, "Low DTI")</f>
        <v>Low DTI</v>
      </c>
      <c r="H857" t="str" cm="1">
        <f t="array" ref="H8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57" t="str">
        <f>_xlfn.XLOOKUP(H857,Reference_Tables!$B$2:$B$7,Reference_Tables!$C$2:$C$7,,0,1)</f>
        <v>VHR</v>
      </c>
      <c r="J857" t="str">
        <f>INDEX(Reference_Tables!$D$11:$D$36,MATCH(LoanData[[#This Row],[Branch]],Reference_Tables!$A$11:$A$36,0))</f>
        <v>Hetal Patel</v>
      </c>
      <c r="L857" s="35"/>
    </row>
    <row r="858" spans="2:12" ht="15.6" x14ac:dyDescent="0.3">
      <c r="B858" s="15">
        <f>DATEDIF(Loan_Data!K:K,Loan_Data!L:L,"D")</f>
        <v>30</v>
      </c>
      <c r="C858" s="15">
        <f ca="1">DATEDIF(LoanData[[#This Row],[Approval_Date]],TODAY(),"M")</f>
        <v>41</v>
      </c>
      <c r="D858" s="31">
        <f>EDATE(LoanData[[#This Row],[Approval_Date]],LoanData[[#This Row],[Loan_Term_Months]])</f>
        <v>48650</v>
      </c>
      <c r="E858" t="str">
        <f t="shared" ca="1" si="13"/>
        <v>NO</v>
      </c>
      <c r="F858" s="33">
        <f>IFERROR(LoanData[[#This Row],[EMI]]/LoanData[[#This Row],[Monthly_Income]]*100," ")</f>
        <v>1.1064439140811455</v>
      </c>
      <c r="G858" t="str" cm="1">
        <f t="array" ref="G858">_xlfn.IFS(F858&gt;40, "High DTI Risk",F858&gt;=25, "Moderate DTI",F858&lt;25, "Low DTI")</f>
        <v>Low DTI</v>
      </c>
      <c r="H858" t="str" cm="1">
        <f t="array" ref="H8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58" t="str">
        <f>_xlfn.XLOOKUP(H858,Reference_Tables!$B$2:$B$7,Reference_Tables!$C$2:$C$7,,0,1)</f>
        <v>VHR</v>
      </c>
      <c r="J858" t="str">
        <f>INDEX(Reference_Tables!$D$11:$D$36,MATCH(LoanData[[#This Row],[Branch]],Reference_Tables!$A$11:$A$36,0))</f>
        <v>Debashis Das</v>
      </c>
      <c r="L858" s="35"/>
    </row>
    <row r="859" spans="2:12" ht="15.6" x14ac:dyDescent="0.3">
      <c r="B859" s="15">
        <f>DATEDIF(Loan_Data!K:K,Loan_Data!L:L,"D")</f>
        <v>14</v>
      </c>
      <c r="C859" s="15">
        <f ca="1">DATEDIF(LoanData[[#This Row],[Approval_Date]],TODAY(),"M")</f>
        <v>50</v>
      </c>
      <c r="D859" s="31">
        <f>EDATE(LoanData[[#This Row],[Approval_Date]],LoanData[[#This Row],[Loan_Term_Months]])</f>
        <v>48372</v>
      </c>
      <c r="E859" t="str">
        <f t="shared" ca="1" si="13"/>
        <v>NO</v>
      </c>
      <c r="F859" s="33">
        <f>IFERROR(LoanData[[#This Row],[EMI]]/LoanData[[#This Row],[Monthly_Income]]*100," ")</f>
        <v>1.4969036274085126</v>
      </c>
      <c r="G859" t="str" cm="1">
        <f t="array" ref="G859">_xlfn.IFS(F859&gt;40, "High DTI Risk",F859&gt;=25, "Moderate DTI",F859&lt;25, "Low DTI")</f>
        <v>Low DTI</v>
      </c>
      <c r="H859" t="str" cm="1">
        <f t="array" ref="H8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59" t="str">
        <f>_xlfn.XLOOKUP(H859,Reference_Tables!$B$2:$B$7,Reference_Tables!$C$2:$C$7,,0,1)</f>
        <v>HR</v>
      </c>
      <c r="J859" t="str">
        <f>INDEX(Reference_Tables!$D$11:$D$36,MATCH(LoanData[[#This Row],[Branch]],Reference_Tables!$A$11:$A$36,0))</f>
        <v>Puja Chatterjee</v>
      </c>
      <c r="L859" s="35"/>
    </row>
    <row r="860" spans="2:12" ht="15.6" x14ac:dyDescent="0.3">
      <c r="B860" s="15">
        <f>DATEDIF(Loan_Data!K:K,Loan_Data!L:L,"D")</f>
        <v>15</v>
      </c>
      <c r="C860" s="15">
        <f ca="1">DATEDIF(LoanData[[#This Row],[Approval_Date]],TODAY(),"M")</f>
        <v>41</v>
      </c>
      <c r="D860" s="31">
        <f>EDATE(LoanData[[#This Row],[Approval_Date]],LoanData[[#This Row],[Loan_Term_Months]])</f>
        <v>45341</v>
      </c>
      <c r="E860" t="str">
        <f t="shared" ca="1" si="13"/>
        <v>YES</v>
      </c>
      <c r="F860" s="33">
        <f>IFERROR(LoanData[[#This Row],[EMI]]/LoanData[[#This Row],[Monthly_Income]]*100," ")</f>
        <v>7.1574124155836127</v>
      </c>
      <c r="G860" t="str" cm="1">
        <f t="array" ref="G860">_xlfn.IFS(F860&gt;40, "High DTI Risk",F860&gt;=25, "Moderate DTI",F860&lt;25, "Low DTI")</f>
        <v>Low DTI</v>
      </c>
      <c r="H860" t="str" cm="1">
        <f t="array" ref="H8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60" t="str">
        <f>_xlfn.XLOOKUP(H860,Reference_Tables!$B$2:$B$7,Reference_Tables!$C$2:$C$7,,0,1)</f>
        <v>LR</v>
      </c>
      <c r="J860" t="str">
        <f>INDEX(Reference_Tables!$D$11:$D$36,MATCH(LoanData[[#This Row],[Branch]],Reference_Tables!$A$11:$A$36,0))</f>
        <v>Hetal Patel</v>
      </c>
      <c r="L860" s="35"/>
    </row>
    <row r="861" spans="2:12" ht="15.6" x14ac:dyDescent="0.3">
      <c r="B861" s="15">
        <f>DATEDIF(Loan_Data!K:K,Loan_Data!L:L,"D")</f>
        <v>8</v>
      </c>
      <c r="C861" s="15">
        <f ca="1">DATEDIF(LoanData[[#This Row],[Approval_Date]],TODAY(),"M")</f>
        <v>45</v>
      </c>
      <c r="D861" s="31">
        <f>EDATE(LoanData[[#This Row],[Approval_Date]],LoanData[[#This Row],[Loan_Term_Months]])</f>
        <v>52172</v>
      </c>
      <c r="E861" t="str">
        <f t="shared" ca="1" si="13"/>
        <v>NO</v>
      </c>
      <c r="F861" s="33">
        <f>IFERROR(LoanData[[#This Row],[EMI]]/LoanData[[#This Row],[Monthly_Income]]*100," ")</f>
        <v>0.99690076865412802</v>
      </c>
      <c r="G861" t="str" cm="1">
        <f t="array" ref="G861">_xlfn.IFS(F861&gt;40, "High DTI Risk",F861&gt;=25, "Moderate DTI",F861&lt;25, "Low DTI")</f>
        <v>Low DTI</v>
      </c>
      <c r="H861" t="str" cm="1">
        <f t="array" ref="H8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61" t="str">
        <f>_xlfn.XLOOKUP(H861,Reference_Tables!$B$2:$B$7,Reference_Tables!$C$2:$C$7,,0,1)</f>
        <v>VHR</v>
      </c>
      <c r="J861" t="str">
        <f>INDEX(Reference_Tables!$D$11:$D$36,MATCH(LoanData[[#This Row],[Branch]],Reference_Tables!$A$11:$A$36,0))</f>
        <v>Meena Iyer</v>
      </c>
      <c r="L861" s="35"/>
    </row>
    <row r="862" spans="2:12" ht="15.6" x14ac:dyDescent="0.3">
      <c r="B862" s="15">
        <f>DATEDIF(Loan_Data!K:K,Loan_Data!L:L,"D")</f>
        <v>21</v>
      </c>
      <c r="C862" s="15">
        <f ca="1">DATEDIF(LoanData[[#This Row],[Approval_Date]],TODAY(),"M")</f>
        <v>65</v>
      </c>
      <c r="D862" s="31">
        <f>EDATE(LoanData[[#This Row],[Approval_Date]],LoanData[[#This Row],[Loan_Term_Months]])</f>
        <v>44623</v>
      </c>
      <c r="E862" t="str">
        <f t="shared" ca="1" si="13"/>
        <v>YES</v>
      </c>
      <c r="F862" s="33">
        <f>IFERROR(LoanData[[#This Row],[EMI]]/LoanData[[#This Row],[Monthly_Income]]*100," ")</f>
        <v>4.995304950314523</v>
      </c>
      <c r="G862" t="str" cm="1">
        <f t="array" ref="G862">_xlfn.IFS(F862&gt;40, "High DTI Risk",F862&gt;=25, "Moderate DTI",F862&lt;25, "Low DTI")</f>
        <v>Low DTI</v>
      </c>
      <c r="H862" t="str" cm="1">
        <f t="array" ref="H8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62" t="str">
        <f>_xlfn.XLOOKUP(H862,Reference_Tables!$B$2:$B$7,Reference_Tables!$C$2:$C$7,,0,1)</f>
        <v>LR</v>
      </c>
      <c r="J862" t="str">
        <f>INDEX(Reference_Tables!$D$11:$D$36,MATCH(LoanData[[#This Row],[Branch]],Reference_Tables!$A$11:$A$36,0))</f>
        <v>Hetal Patel</v>
      </c>
      <c r="L862" s="35"/>
    </row>
    <row r="863" spans="2:12" ht="15.6" x14ac:dyDescent="0.3">
      <c r="B863" s="15">
        <f>DATEDIF(Loan_Data!K:K,Loan_Data!L:L,"D")</f>
        <v>27</v>
      </c>
      <c r="C863" s="15">
        <f ca="1">DATEDIF(LoanData[[#This Row],[Approval_Date]],TODAY(),"M")</f>
        <v>31</v>
      </c>
      <c r="D863" s="31">
        <f>EDATE(LoanData[[#This Row],[Approval_Date]],LoanData[[#This Row],[Loan_Term_Months]])</f>
        <v>46391</v>
      </c>
      <c r="E863" t="str">
        <f t="shared" ca="1" si="13"/>
        <v>NO</v>
      </c>
      <c r="F863" s="33">
        <f>IFERROR(LoanData[[#This Row],[EMI]]/LoanData[[#This Row],[Monthly_Income]]*100," ")</f>
        <v>8.0549290547292092</v>
      </c>
      <c r="G863" t="str" cm="1">
        <f t="array" ref="G863">_xlfn.IFS(F863&gt;40, "High DTI Risk",F863&gt;=25, "Moderate DTI",F863&lt;25, "Low DTI")</f>
        <v>Low DTI</v>
      </c>
      <c r="H863" t="str" cm="1">
        <f t="array" ref="H8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63" t="str">
        <f>_xlfn.XLOOKUP(H863,Reference_Tables!$B$2:$B$7,Reference_Tables!$C$2:$C$7,,0,1)</f>
        <v>MR</v>
      </c>
      <c r="J863" t="str">
        <f>INDEX(Reference_Tables!$D$11:$D$36,MATCH(LoanData[[#This Row],[Branch]],Reference_Tables!$A$11:$A$36,0))</f>
        <v>Tapan Panda</v>
      </c>
      <c r="L863" s="35"/>
    </row>
    <row r="864" spans="2:12" ht="15.6" x14ac:dyDescent="0.3">
      <c r="B864" s="15">
        <f>DATEDIF(Loan_Data!K:K,Loan_Data!L:L,"D")</f>
        <v>10</v>
      </c>
      <c r="C864" s="15">
        <f ca="1">DATEDIF(LoanData[[#This Row],[Approval_Date]],TODAY(),"M")</f>
        <v>31</v>
      </c>
      <c r="D864" s="31">
        <f>EDATE(LoanData[[#This Row],[Approval_Date]],LoanData[[#This Row],[Loan_Term_Months]])</f>
        <v>45663</v>
      </c>
      <c r="E864" t="str">
        <f t="shared" ca="1" si="13"/>
        <v>YES</v>
      </c>
      <c r="F864" s="33">
        <f>IFERROR(LoanData[[#This Row],[EMI]]/LoanData[[#This Row],[Monthly_Income]]*100," ")</f>
        <v>3.0938299420310265</v>
      </c>
      <c r="G864" t="str" cm="1">
        <f t="array" ref="G864">_xlfn.IFS(F864&gt;40, "High DTI Risk",F864&gt;=25, "Moderate DTI",F864&lt;25, "Low DTI")</f>
        <v>Low DTI</v>
      </c>
      <c r="H864" t="str" cm="1">
        <f t="array" ref="H8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64" t="str">
        <f>_xlfn.XLOOKUP(H864,Reference_Tables!$B$2:$B$7,Reference_Tables!$C$2:$C$7,,0,1)</f>
        <v>LR</v>
      </c>
      <c r="J864" t="str">
        <f>INDEX(Reference_Tables!$D$11:$D$36,MATCH(LoanData[[#This Row],[Branch]],Reference_Tables!$A$11:$A$36,0))</f>
        <v>Amit Kumar</v>
      </c>
      <c r="L864" s="35"/>
    </row>
    <row r="865" spans="2:12" ht="15.6" x14ac:dyDescent="0.3">
      <c r="B865" s="15">
        <f>DATEDIF(Loan_Data!K:K,Loan_Data!L:L,"D")</f>
        <v>12</v>
      </c>
      <c r="C865" s="15">
        <f ca="1">DATEDIF(LoanData[[#This Row],[Approval_Date]],TODAY(),"M")</f>
        <v>44</v>
      </c>
      <c r="D865" s="31">
        <f>EDATE(LoanData[[#This Row],[Approval_Date]],LoanData[[#This Row],[Loan_Term_Months]])</f>
        <v>46004</v>
      </c>
      <c r="E865" t="str">
        <f t="shared" ca="1" si="13"/>
        <v>YES</v>
      </c>
      <c r="F865" s="33">
        <f>IFERROR(LoanData[[#This Row],[EMI]]/LoanData[[#This Row],[Monthly_Income]]*100," ")</f>
        <v>1.6877380702900604</v>
      </c>
      <c r="G865" t="str" cm="1">
        <f t="array" ref="G865">_xlfn.IFS(F865&gt;40, "High DTI Risk",F865&gt;=25, "Moderate DTI",F865&lt;25, "Low DTI")</f>
        <v>Low DTI</v>
      </c>
      <c r="H865" t="str" cm="1">
        <f t="array" ref="H8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65" t="str">
        <f>_xlfn.XLOOKUP(H865,Reference_Tables!$B$2:$B$7,Reference_Tables!$C$2:$C$7,,0,1)</f>
        <v>MR</v>
      </c>
      <c r="J865" t="str">
        <f>INDEX(Reference_Tables!$D$11:$D$36,MATCH(LoanData[[#This Row],[Branch]],Reference_Tables!$A$11:$A$36,0))</f>
        <v>Amit Kumar</v>
      </c>
      <c r="L865" s="35"/>
    </row>
    <row r="866" spans="2:12" ht="15.6" x14ac:dyDescent="0.3">
      <c r="B866" s="15">
        <f>DATEDIF(Loan_Data!K:K,Loan_Data!L:L,"D")</f>
        <v>14</v>
      </c>
      <c r="C866" s="15">
        <f ca="1">DATEDIF(LoanData[[#This Row],[Approval_Date]],TODAY(),"M")</f>
        <v>54</v>
      </c>
      <c r="D866" s="31">
        <f>EDATE(LoanData[[#This Row],[Approval_Date]],LoanData[[#This Row],[Loan_Term_Months]])</f>
        <v>44958</v>
      </c>
      <c r="E866" t="str">
        <f t="shared" ca="1" si="13"/>
        <v>YES</v>
      </c>
      <c r="F866" s="33">
        <f>IFERROR(LoanData[[#This Row],[EMI]]/LoanData[[#This Row],[Monthly_Income]]*100," ")</f>
        <v>21.522867621704648</v>
      </c>
      <c r="G866" t="str" cm="1">
        <f t="array" ref="G866">_xlfn.IFS(F866&gt;40, "High DTI Risk",F866&gt;=25, "Moderate DTI",F866&lt;25, "Low DTI")</f>
        <v>Low DTI</v>
      </c>
      <c r="H866" t="str" cm="1">
        <f t="array" ref="H8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66" t="str">
        <f>_xlfn.XLOOKUP(H866,Reference_Tables!$B$2:$B$7,Reference_Tables!$C$2:$C$7,,0,1)</f>
        <v>HR</v>
      </c>
      <c r="J866" t="str">
        <f>INDEX(Reference_Tables!$D$11:$D$36,MATCH(LoanData[[#This Row],[Branch]],Reference_Tables!$A$11:$A$36,0))</f>
        <v>Deepak Nair</v>
      </c>
      <c r="L866" s="35"/>
    </row>
    <row r="867" spans="2:12" ht="15.6" x14ac:dyDescent="0.3">
      <c r="B867" s="15">
        <f>DATEDIF(Loan_Data!K:K,Loan_Data!L:L,"D")</f>
        <v>9</v>
      </c>
      <c r="C867" s="15">
        <f ca="1">DATEDIF(LoanData[[#This Row],[Approval_Date]],TODAY(),"M")</f>
        <v>32</v>
      </c>
      <c r="D867" s="31">
        <f>EDATE(LoanData[[#This Row],[Approval_Date]],LoanData[[#This Row],[Loan_Term_Months]])</f>
        <v>46710</v>
      </c>
      <c r="E867" t="str">
        <f t="shared" ca="1" si="13"/>
        <v>NO</v>
      </c>
      <c r="F867" s="33">
        <f>IFERROR(LoanData[[#This Row],[EMI]]/LoanData[[#This Row],[Monthly_Income]]*100," ")</f>
        <v>1.1452851622160742</v>
      </c>
      <c r="G867" t="str" cm="1">
        <f t="array" ref="G867">_xlfn.IFS(F867&gt;40, "High DTI Risk",F867&gt;=25, "Moderate DTI",F867&lt;25, "Low DTI")</f>
        <v>Low DTI</v>
      </c>
      <c r="H867" t="str" cm="1">
        <f t="array" ref="H8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67" t="str">
        <f>_xlfn.XLOOKUP(H867,Reference_Tables!$B$2:$B$7,Reference_Tables!$C$2:$C$7,,0,1)</f>
        <v>VHR</v>
      </c>
      <c r="J867" t="str">
        <f>INDEX(Reference_Tables!$D$11:$D$36,MATCH(LoanData[[#This Row],[Branch]],Reference_Tables!$A$11:$A$36,0))</f>
        <v>Puja Chatterjee</v>
      </c>
      <c r="L867" s="35"/>
    </row>
    <row r="868" spans="2:12" ht="15.6" x14ac:dyDescent="0.3">
      <c r="B868" s="15">
        <f>DATEDIF(Loan_Data!K:K,Loan_Data!L:L,"D")</f>
        <v>16</v>
      </c>
      <c r="C868" s="15">
        <f ca="1">DATEDIF(LoanData[[#This Row],[Approval_Date]],TODAY(),"M")</f>
        <v>53</v>
      </c>
      <c r="D868" s="31">
        <f>EDATE(LoanData[[#This Row],[Approval_Date]],LoanData[[#This Row],[Loan_Term_Months]])</f>
        <v>46079</v>
      </c>
      <c r="E868" t="str">
        <f t="shared" ca="1" si="13"/>
        <v>YES</v>
      </c>
      <c r="F868" s="33">
        <f>IFERROR(LoanData[[#This Row],[EMI]]/LoanData[[#This Row],[Monthly_Income]]*100," ")</f>
        <v>1.4327703035544219</v>
      </c>
      <c r="G868" t="str" cm="1">
        <f t="array" ref="G868">_xlfn.IFS(F868&gt;40, "High DTI Risk",F868&gt;=25, "Moderate DTI",F868&lt;25, "Low DTI")</f>
        <v>Low DTI</v>
      </c>
      <c r="H868" t="str" cm="1">
        <f t="array" ref="H8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68" t="str">
        <f>_xlfn.XLOOKUP(H868,Reference_Tables!$B$2:$B$7,Reference_Tables!$C$2:$C$7,,0,1)</f>
        <v>LR</v>
      </c>
      <c r="J868" t="str">
        <f>INDEX(Reference_Tables!$D$11:$D$36,MATCH(LoanData[[#This Row],[Branch]],Reference_Tables!$A$11:$A$36,0))</f>
        <v>Vikram Malhotra</v>
      </c>
      <c r="L868" s="35"/>
    </row>
    <row r="869" spans="2:12" ht="15.6" x14ac:dyDescent="0.3">
      <c r="B869" s="15">
        <f>DATEDIF(Loan_Data!K:K,Loan_Data!L:L,"D")</f>
        <v>17</v>
      </c>
      <c r="C869" s="15">
        <f ca="1">DATEDIF(LoanData[[#This Row],[Approval_Date]],TODAY(),"M")</f>
        <v>43</v>
      </c>
      <c r="D869" s="31">
        <f>EDATE(LoanData[[#This Row],[Approval_Date]],LoanData[[#This Row],[Loan_Term_Months]])</f>
        <v>48577</v>
      </c>
      <c r="E869" t="str">
        <f t="shared" ca="1" si="13"/>
        <v>NO</v>
      </c>
      <c r="F869" s="33">
        <f>IFERROR(LoanData[[#This Row],[EMI]]/LoanData[[#This Row],[Monthly_Income]]*100," ")</f>
        <v>0.54283610872227872</v>
      </c>
      <c r="G869" t="str" cm="1">
        <f t="array" ref="G869">_xlfn.IFS(F869&gt;40, "High DTI Risk",F869&gt;=25, "Moderate DTI",F869&lt;25, "Low DTI")</f>
        <v>Low DTI</v>
      </c>
      <c r="H869" t="str" cm="1">
        <f t="array" ref="H8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69" t="str">
        <f>_xlfn.XLOOKUP(H869,Reference_Tables!$B$2:$B$7,Reference_Tables!$C$2:$C$7,,0,1)</f>
        <v>HR</v>
      </c>
      <c r="J869" t="str">
        <f>INDEX(Reference_Tables!$D$11:$D$36,MATCH(LoanData[[#This Row],[Branch]],Reference_Tables!$A$11:$A$36,0))</f>
        <v>Hetal Patel</v>
      </c>
      <c r="L869" s="35"/>
    </row>
    <row r="870" spans="2:12" ht="15.6" x14ac:dyDescent="0.3">
      <c r="B870" s="15">
        <f>DATEDIF(Loan_Data!K:K,Loan_Data!L:L,"D")</f>
        <v>29</v>
      </c>
      <c r="C870" s="15">
        <f ca="1">DATEDIF(LoanData[[#This Row],[Approval_Date]],TODAY(),"M")</f>
        <v>39</v>
      </c>
      <c r="D870" s="31">
        <f>EDATE(LoanData[[#This Row],[Approval_Date]],LoanData[[#This Row],[Loan_Term_Months]])</f>
        <v>48708</v>
      </c>
      <c r="E870" t="str">
        <f t="shared" ca="1" si="13"/>
        <v>NO</v>
      </c>
      <c r="F870" s="33">
        <f>IFERROR(LoanData[[#This Row],[EMI]]/LoanData[[#This Row],[Monthly_Income]]*100," ")</f>
        <v>6.7238788368880353</v>
      </c>
      <c r="G870" t="str" cm="1">
        <f t="array" ref="G870">_xlfn.IFS(F870&gt;40, "High DTI Risk",F870&gt;=25, "Moderate DTI",F870&lt;25, "Low DTI")</f>
        <v>Low DTI</v>
      </c>
      <c r="H870" t="str" cm="1">
        <f t="array" ref="H8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70" t="str">
        <f>_xlfn.XLOOKUP(H870,Reference_Tables!$B$2:$B$7,Reference_Tables!$C$2:$C$7,,0,1)</f>
        <v>LR</v>
      </c>
      <c r="J870" t="str">
        <f>INDEX(Reference_Tables!$D$11:$D$36,MATCH(LoanData[[#This Row],[Branch]],Reference_Tables!$A$11:$A$36,0))</f>
        <v>Sachin Deshpande</v>
      </c>
      <c r="L870" s="35"/>
    </row>
    <row r="871" spans="2:12" ht="15.6" x14ac:dyDescent="0.3">
      <c r="B871" s="15">
        <f>DATEDIF(Loan_Data!K:K,Loan_Data!L:L,"D")</f>
        <v>7</v>
      </c>
      <c r="C871" s="15">
        <f ca="1">DATEDIF(LoanData[[#This Row],[Approval_Date]],TODAY(),"M")</f>
        <v>60</v>
      </c>
      <c r="D871" s="31">
        <f>EDATE(LoanData[[#This Row],[Approval_Date]],LoanData[[#This Row],[Loan_Term_Months]])</f>
        <v>48065</v>
      </c>
      <c r="E871" t="str">
        <f t="shared" ca="1" si="13"/>
        <v>NO</v>
      </c>
      <c r="F871" s="33">
        <f>IFERROR(LoanData[[#This Row],[EMI]]/LoanData[[#This Row],[Monthly_Income]]*100," ")</f>
        <v>1.3378319663638611</v>
      </c>
      <c r="G871" t="str" cm="1">
        <f t="array" ref="G871">_xlfn.IFS(F871&gt;40, "High DTI Risk",F871&gt;=25, "Moderate DTI",F871&lt;25, "Low DTI")</f>
        <v>Low DTI</v>
      </c>
      <c r="H871" t="str" cm="1">
        <f t="array" ref="H8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71" t="str">
        <f>_xlfn.XLOOKUP(H871,Reference_Tables!$B$2:$B$7,Reference_Tables!$C$2:$C$7,,0,1)</f>
        <v>MR</v>
      </c>
      <c r="J871" t="str">
        <f>INDEX(Reference_Tables!$D$11:$D$36,MATCH(LoanData[[#This Row],[Branch]],Reference_Tables!$A$11:$A$36,0))</f>
        <v>Arvind Pillai</v>
      </c>
      <c r="L871" s="35"/>
    </row>
    <row r="872" spans="2:12" ht="15.6" x14ac:dyDescent="0.3">
      <c r="B872" s="15">
        <f>DATEDIF(Loan_Data!K:K,Loan_Data!L:L,"D")</f>
        <v>9</v>
      </c>
      <c r="C872" s="15">
        <f ca="1">DATEDIF(LoanData[[#This Row],[Approval_Date]],TODAY(),"M")</f>
        <v>39</v>
      </c>
      <c r="D872" s="31">
        <f>EDATE(LoanData[[#This Row],[Approval_Date]],LoanData[[#This Row],[Loan_Term_Months]])</f>
        <v>45769</v>
      </c>
      <c r="E872" t="str">
        <f t="shared" ca="1" si="13"/>
        <v>YES</v>
      </c>
      <c r="F872" s="33">
        <f>IFERROR(LoanData[[#This Row],[EMI]]/LoanData[[#This Row],[Monthly_Income]]*100," ")</f>
        <v>16.234531292241147</v>
      </c>
      <c r="G872" t="str" cm="1">
        <f t="array" ref="G872">_xlfn.IFS(F872&gt;40, "High DTI Risk",F872&gt;=25, "Moderate DTI",F872&lt;25, "Low DTI")</f>
        <v>Low DTI</v>
      </c>
      <c r="H872" t="str" cm="1">
        <f t="array" ref="H8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72" t="str">
        <f>_xlfn.XLOOKUP(H872,Reference_Tables!$B$2:$B$7,Reference_Tables!$C$2:$C$7,,0,1)</f>
        <v>VHR</v>
      </c>
      <c r="J872" t="str">
        <f>INDEX(Reference_Tables!$D$11:$D$36,MATCH(LoanData[[#This Row],[Branch]],Reference_Tables!$A$11:$A$36,0))</f>
        <v>Ravi Verma</v>
      </c>
      <c r="L872" s="35"/>
    </row>
    <row r="873" spans="2:12" ht="15.6" x14ac:dyDescent="0.3">
      <c r="B873" s="15">
        <f>DATEDIF(Loan_Data!K:K,Loan_Data!L:L,"D")</f>
        <v>18</v>
      </c>
      <c r="C873" s="15">
        <f ca="1">DATEDIF(LoanData[[#This Row],[Approval_Date]],TODAY(),"M")</f>
        <v>60</v>
      </c>
      <c r="D873" s="31">
        <f>EDATE(LoanData[[#This Row],[Approval_Date]],LoanData[[#This Row],[Loan_Term_Months]])</f>
        <v>45497</v>
      </c>
      <c r="E873" t="str">
        <f t="shared" ca="1" si="13"/>
        <v>YES</v>
      </c>
      <c r="F873" s="33">
        <f>IFERROR(LoanData[[#This Row],[EMI]]/LoanData[[#This Row],[Monthly_Income]]*100," ")</f>
        <v>1.0337651075822449</v>
      </c>
      <c r="G873" t="str" cm="1">
        <f t="array" ref="G873">_xlfn.IFS(F873&gt;40, "High DTI Risk",F873&gt;=25, "Moderate DTI",F873&lt;25, "Low DTI")</f>
        <v>Low DTI</v>
      </c>
      <c r="H873" t="str" cm="1">
        <f t="array" ref="H8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73" t="str">
        <f>_xlfn.XLOOKUP(H873,Reference_Tables!$B$2:$B$7,Reference_Tables!$C$2:$C$7,,0,1)</f>
        <v>HR</v>
      </c>
      <c r="J873" t="str">
        <f>INDEX(Reference_Tables!$D$11:$D$36,MATCH(LoanData[[#This Row],[Branch]],Reference_Tables!$A$11:$A$36,0))</f>
        <v>Suresh Menon</v>
      </c>
      <c r="L873" s="35"/>
    </row>
    <row r="874" spans="2:12" ht="15.6" x14ac:dyDescent="0.3">
      <c r="B874" s="15">
        <f>DATEDIF(Loan_Data!K:K,Loan_Data!L:L,"D")</f>
        <v>27</v>
      </c>
      <c r="C874" s="15">
        <f ca="1">DATEDIF(LoanData[[#This Row],[Approval_Date]],TODAY(),"M")</f>
        <v>41</v>
      </c>
      <c r="D874" s="31">
        <f>EDATE(LoanData[[#This Row],[Approval_Date]],LoanData[[#This Row],[Loan_Term_Months]])</f>
        <v>45723</v>
      </c>
      <c r="E874" t="str">
        <f t="shared" ca="1" si="13"/>
        <v>YES</v>
      </c>
      <c r="F874" s="33">
        <f>IFERROR(LoanData[[#This Row],[EMI]]/LoanData[[#This Row],[Monthly_Income]]*100," ")</f>
        <v>2.9411928053013567</v>
      </c>
      <c r="G874" t="str" cm="1">
        <f t="array" ref="G874">_xlfn.IFS(F874&gt;40, "High DTI Risk",F874&gt;=25, "Moderate DTI",F874&lt;25, "Low DTI")</f>
        <v>Low DTI</v>
      </c>
      <c r="H874" t="str" cm="1">
        <f t="array" ref="H8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74" t="str">
        <f>_xlfn.XLOOKUP(H874,Reference_Tables!$B$2:$B$7,Reference_Tables!$C$2:$C$7,,0,1)</f>
        <v>HR</v>
      </c>
      <c r="J874" t="str">
        <f>INDEX(Reference_Tables!$D$11:$D$36,MATCH(LoanData[[#This Row],[Branch]],Reference_Tables!$A$11:$A$36,0))</f>
        <v>Suman Tiwari</v>
      </c>
      <c r="L874" s="35"/>
    </row>
    <row r="875" spans="2:12" ht="15.6" x14ac:dyDescent="0.3">
      <c r="B875" s="15">
        <f>DATEDIF(Loan_Data!K:K,Loan_Data!L:L,"D")</f>
        <v>23</v>
      </c>
      <c r="C875" s="15">
        <f ca="1">DATEDIF(LoanData[[#This Row],[Approval_Date]],TODAY(),"M")</f>
        <v>64</v>
      </c>
      <c r="D875" s="31">
        <f>EDATE(LoanData[[#This Row],[Approval_Date]],LoanData[[#This Row],[Loan_Term_Months]])</f>
        <v>44657</v>
      </c>
      <c r="E875" t="str">
        <f t="shared" ca="1" si="13"/>
        <v>YES</v>
      </c>
      <c r="F875" s="33">
        <f>IFERROR(LoanData[[#This Row],[EMI]]/LoanData[[#This Row],[Monthly_Income]]*100," ")</f>
        <v>33.830841012025608</v>
      </c>
      <c r="G875" t="str" cm="1">
        <f t="array" ref="G875">_xlfn.IFS(F875&gt;40, "High DTI Risk",F875&gt;=25, "Moderate DTI",F875&lt;25, "Low DTI")</f>
        <v>Moderate DTI</v>
      </c>
      <c r="H875" t="str" cm="1">
        <f t="array" ref="H8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75" t="str">
        <f>_xlfn.XLOOKUP(H875,Reference_Tables!$B$2:$B$7,Reference_Tables!$C$2:$C$7,,0,1)</f>
        <v>HR</v>
      </c>
      <c r="J875" t="str">
        <f>INDEX(Reference_Tables!$D$11:$D$36,MATCH(LoanData[[#This Row],[Branch]],Reference_Tables!$A$11:$A$36,0))</f>
        <v>Amit Kumar</v>
      </c>
      <c r="L875" s="35"/>
    </row>
    <row r="876" spans="2:12" ht="15.6" x14ac:dyDescent="0.3">
      <c r="B876" s="15">
        <f>DATEDIF(Loan_Data!K:K,Loan_Data!L:L,"D")</f>
        <v>30</v>
      </c>
      <c r="C876" s="15">
        <f ca="1">DATEDIF(LoanData[[#This Row],[Approval_Date]],TODAY(),"M")</f>
        <v>43</v>
      </c>
      <c r="D876" s="31">
        <f>EDATE(LoanData[[#This Row],[Approval_Date]],LoanData[[#This Row],[Loan_Term_Months]])</f>
        <v>46746</v>
      </c>
      <c r="E876" t="str">
        <f t="shared" ca="1" si="13"/>
        <v>NO</v>
      </c>
      <c r="F876" s="33">
        <f>IFERROR(LoanData[[#This Row],[EMI]]/LoanData[[#This Row],[Monthly_Income]]*100," ")</f>
        <v>0.72745422605023036</v>
      </c>
      <c r="G876" t="str" cm="1">
        <f t="array" ref="G876">_xlfn.IFS(F876&gt;40, "High DTI Risk",F876&gt;=25, "Moderate DTI",F876&lt;25, "Low DTI")</f>
        <v>Low DTI</v>
      </c>
      <c r="H876" t="str" cm="1">
        <f t="array" ref="H8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76" t="str">
        <f>_xlfn.XLOOKUP(H876,Reference_Tables!$B$2:$B$7,Reference_Tables!$C$2:$C$7,,0,1)</f>
        <v>VHR</v>
      </c>
      <c r="J876" t="str">
        <f>INDEX(Reference_Tables!$D$11:$D$36,MATCH(LoanData[[#This Row],[Branch]],Reference_Tables!$A$11:$A$36,0))</f>
        <v>Deepak Nair</v>
      </c>
      <c r="L876" s="35"/>
    </row>
    <row r="877" spans="2:12" ht="15.6" x14ac:dyDescent="0.3">
      <c r="B877" s="15">
        <f>DATEDIF(Loan_Data!K:K,Loan_Data!L:L,"D")</f>
        <v>24</v>
      </c>
      <c r="C877" s="15">
        <f ca="1">DATEDIF(LoanData[[#This Row],[Approval_Date]],TODAY(),"M")</f>
        <v>45</v>
      </c>
      <c r="D877" s="31">
        <f>EDATE(LoanData[[#This Row],[Approval_Date]],LoanData[[#This Row],[Loan_Term_Months]])</f>
        <v>45590</v>
      </c>
      <c r="E877" t="str">
        <f t="shared" ca="1" si="13"/>
        <v>YES</v>
      </c>
      <c r="F877" s="33">
        <f>IFERROR(LoanData[[#This Row],[EMI]]/LoanData[[#This Row],[Monthly_Income]]*100," ")</f>
        <v>1.1550246447678203</v>
      </c>
      <c r="G877" t="str" cm="1">
        <f t="array" ref="G877">_xlfn.IFS(F877&gt;40, "High DTI Risk",F877&gt;=25, "Moderate DTI",F877&lt;25, "Low DTI")</f>
        <v>Low DTI</v>
      </c>
      <c r="H877" t="str" cm="1">
        <f t="array" ref="H8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77" t="str">
        <f>_xlfn.XLOOKUP(H877,Reference_Tables!$B$2:$B$7,Reference_Tables!$C$2:$C$7,,0,1)</f>
        <v>MR</v>
      </c>
      <c r="J877" t="str">
        <f>INDEX(Reference_Tables!$D$11:$D$36,MATCH(LoanData[[#This Row],[Branch]],Reference_Tables!$A$11:$A$36,0))</f>
        <v>Amit Kumar</v>
      </c>
      <c r="L877" s="35"/>
    </row>
    <row r="878" spans="2:12" ht="15.6" x14ac:dyDescent="0.3">
      <c r="B878" s="15">
        <f>DATEDIF(Loan_Data!K:K,Loan_Data!L:L,"D")</f>
        <v>27</v>
      </c>
      <c r="C878" s="15">
        <f ca="1">DATEDIF(LoanData[[#This Row],[Approval_Date]],TODAY(),"M")</f>
        <v>38</v>
      </c>
      <c r="D878" s="31">
        <f>EDATE(LoanData[[#This Row],[Approval_Date]],LoanData[[#This Row],[Loan_Term_Months]])</f>
        <v>45451</v>
      </c>
      <c r="E878" t="str">
        <f t="shared" ca="1" si="13"/>
        <v>YES</v>
      </c>
      <c r="F878" s="33">
        <f>IFERROR(LoanData[[#This Row],[EMI]]/LoanData[[#This Row],[Monthly_Income]]*100," ")</f>
        <v>5.5357870121394859</v>
      </c>
      <c r="G878" t="str" cm="1">
        <f t="array" ref="G878">_xlfn.IFS(F878&gt;40, "High DTI Risk",F878&gt;=25, "Moderate DTI",F878&lt;25, "Low DTI")</f>
        <v>Low DTI</v>
      </c>
      <c r="H878" t="str" cm="1">
        <f t="array" ref="H8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78" t="str">
        <f>_xlfn.XLOOKUP(H878,Reference_Tables!$B$2:$B$7,Reference_Tables!$C$2:$C$7,,0,1)</f>
        <v>HR</v>
      </c>
      <c r="J878" t="str">
        <f>INDEX(Reference_Tables!$D$11:$D$36,MATCH(LoanData[[#This Row],[Branch]],Reference_Tables!$A$11:$A$36,0))</f>
        <v>Suman Tiwari</v>
      </c>
      <c r="L878" s="35"/>
    </row>
    <row r="879" spans="2:12" ht="15.6" x14ac:dyDescent="0.3">
      <c r="B879" s="15">
        <f>DATEDIF(Loan_Data!K:K,Loan_Data!L:L,"D")</f>
        <v>18</v>
      </c>
      <c r="C879" s="15">
        <f ca="1">DATEDIF(LoanData[[#This Row],[Approval_Date]],TODAY(),"M")</f>
        <v>61</v>
      </c>
      <c r="D879" s="31">
        <f>EDATE(LoanData[[#This Row],[Approval_Date]],LoanData[[#This Row],[Loan_Term_Months]])</f>
        <v>48044</v>
      </c>
      <c r="E879" t="str">
        <f t="shared" ca="1" si="13"/>
        <v>NO</v>
      </c>
      <c r="F879" s="33">
        <f>IFERROR(LoanData[[#This Row],[EMI]]/LoanData[[#This Row],[Monthly_Income]]*100," ")</f>
        <v>0.61181300306741393</v>
      </c>
      <c r="G879" t="str" cm="1">
        <f t="array" ref="G879">_xlfn.IFS(F879&gt;40, "High DTI Risk",F879&gt;=25, "Moderate DTI",F879&lt;25, "Low DTI")</f>
        <v>Low DTI</v>
      </c>
      <c r="H879" t="str" cm="1">
        <f t="array" ref="H8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79" t="str">
        <f>_xlfn.XLOOKUP(H879,Reference_Tables!$B$2:$B$7,Reference_Tables!$C$2:$C$7,,0,1)</f>
        <v>LR</v>
      </c>
      <c r="J879" t="str">
        <f>INDEX(Reference_Tables!$D$11:$D$36,MATCH(LoanData[[#This Row],[Branch]],Reference_Tables!$A$11:$A$36,0))</f>
        <v>Rahul Kapoor</v>
      </c>
      <c r="L879" s="35"/>
    </row>
    <row r="880" spans="2:12" ht="15.6" x14ac:dyDescent="0.3">
      <c r="B880" s="15">
        <f>DATEDIF(Loan_Data!K:K,Loan_Data!L:L,"D")</f>
        <v>5</v>
      </c>
      <c r="C880" s="15">
        <f ca="1">DATEDIF(LoanData[[#This Row],[Approval_Date]],TODAY(),"M")</f>
        <v>44</v>
      </c>
      <c r="D880" s="31">
        <f>EDATE(LoanData[[#This Row],[Approval_Date]],LoanData[[#This Row],[Loan_Term_Months]])</f>
        <v>46005</v>
      </c>
      <c r="E880" t="str">
        <f t="shared" ca="1" si="13"/>
        <v>YES</v>
      </c>
      <c r="F880" s="33">
        <f>IFERROR(LoanData[[#This Row],[EMI]]/LoanData[[#This Row],[Monthly_Income]]*100," ")</f>
        <v>25.47976985630261</v>
      </c>
      <c r="G880" t="str" cm="1">
        <f t="array" ref="G880">_xlfn.IFS(F880&gt;40, "High DTI Risk",F880&gt;=25, "Moderate DTI",F880&lt;25, "Low DTI")</f>
        <v>Moderate DTI</v>
      </c>
      <c r="H880" t="str" cm="1">
        <f t="array" ref="H8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80" t="str">
        <f>_xlfn.XLOOKUP(H880,Reference_Tables!$B$2:$B$7,Reference_Tables!$C$2:$C$7,,0,1)</f>
        <v>MR</v>
      </c>
      <c r="J880" t="str">
        <f>INDEX(Reference_Tables!$D$11:$D$36,MATCH(LoanData[[#This Row],[Branch]],Reference_Tables!$A$11:$A$36,0))</f>
        <v>Deepak Nair</v>
      </c>
      <c r="L880" s="35"/>
    </row>
    <row r="881" spans="2:12" ht="15.6" x14ac:dyDescent="0.3">
      <c r="B881" s="15">
        <f>DATEDIF(Loan_Data!K:K,Loan_Data!L:L,"D")</f>
        <v>5</v>
      </c>
      <c r="C881" s="15">
        <f ca="1">DATEDIF(LoanData[[#This Row],[Approval_Date]],TODAY(),"M")</f>
        <v>40</v>
      </c>
      <c r="D881" s="31">
        <f>EDATE(LoanData[[#This Row],[Approval_Date]],LoanData[[#This Row],[Loan_Term_Months]])</f>
        <v>52323</v>
      </c>
      <c r="E881" t="str">
        <f t="shared" ca="1" si="13"/>
        <v>NO</v>
      </c>
      <c r="F881" s="33">
        <f>IFERROR(LoanData[[#This Row],[EMI]]/LoanData[[#This Row],[Monthly_Income]]*100," ")</f>
        <v>0.64341705479517286</v>
      </c>
      <c r="G881" t="str" cm="1">
        <f t="array" ref="G881">_xlfn.IFS(F881&gt;40, "High DTI Risk",F881&gt;=25, "Moderate DTI",F881&lt;25, "Low DTI")</f>
        <v>Low DTI</v>
      </c>
      <c r="H881" t="str" cm="1">
        <f t="array" ref="H8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81" t="str">
        <f>_xlfn.XLOOKUP(H881,Reference_Tables!$B$2:$B$7,Reference_Tables!$C$2:$C$7,,0,1)</f>
        <v>VHR</v>
      </c>
      <c r="J881" t="str">
        <f>INDEX(Reference_Tables!$D$11:$D$36,MATCH(LoanData[[#This Row],[Branch]],Reference_Tables!$A$11:$A$36,0))</f>
        <v>Sachin Deshpande</v>
      </c>
      <c r="L881" s="35"/>
    </row>
    <row r="882" spans="2:12" ht="15.6" x14ac:dyDescent="0.3">
      <c r="B882" s="15">
        <f>DATEDIF(Loan_Data!K:K,Loan_Data!L:L,"D")</f>
        <v>19</v>
      </c>
      <c r="C882" s="15">
        <f ca="1">DATEDIF(LoanData[[#This Row],[Approval_Date]],TODAY(),"M")</f>
        <v>65</v>
      </c>
      <c r="D882" s="31">
        <f>EDATE(LoanData[[#This Row],[Approval_Date]],LoanData[[#This Row],[Loan_Term_Months]])</f>
        <v>51568</v>
      </c>
      <c r="E882" t="str">
        <f t="shared" ca="1" si="13"/>
        <v>NO</v>
      </c>
      <c r="F882" s="33">
        <f>IFERROR(LoanData[[#This Row],[EMI]]/LoanData[[#This Row],[Monthly_Income]]*100," ")</f>
        <v>3.0588346379370579</v>
      </c>
      <c r="G882" t="str" cm="1">
        <f t="array" ref="G882">_xlfn.IFS(F882&gt;40, "High DTI Risk",F882&gt;=25, "Moderate DTI",F882&lt;25, "Low DTI")</f>
        <v>Low DTI</v>
      </c>
      <c r="H882" t="str" cm="1">
        <f t="array" ref="H8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82" t="str">
        <f>_xlfn.XLOOKUP(H882,Reference_Tables!$B$2:$B$7,Reference_Tables!$C$2:$C$7,,0,1)</f>
        <v>VHR</v>
      </c>
      <c r="J882" t="str">
        <f>INDEX(Reference_Tables!$D$11:$D$36,MATCH(LoanData[[#This Row],[Branch]],Reference_Tables!$A$11:$A$36,0))</f>
        <v>Suresh Menon</v>
      </c>
      <c r="L882" s="35"/>
    </row>
    <row r="883" spans="2:12" ht="15.6" x14ac:dyDescent="0.3">
      <c r="B883" s="15">
        <f>DATEDIF(Loan_Data!K:K,Loan_Data!L:L,"D")</f>
        <v>15</v>
      </c>
      <c r="C883" s="15">
        <f ca="1">DATEDIF(LoanData[[#This Row],[Approval_Date]],TODAY(),"M")</f>
        <v>39</v>
      </c>
      <c r="D883" s="31">
        <f>EDATE(LoanData[[#This Row],[Approval_Date]],LoanData[[#This Row],[Loan_Term_Months]])</f>
        <v>46501</v>
      </c>
      <c r="E883" t="str">
        <f t="shared" ca="1" si="13"/>
        <v>NO</v>
      </c>
      <c r="F883" s="33">
        <f>IFERROR(LoanData[[#This Row],[EMI]]/LoanData[[#This Row],[Monthly_Income]]*100," ")</f>
        <v>2.9705355473391517</v>
      </c>
      <c r="G883" t="str" cm="1">
        <f t="array" ref="G883">_xlfn.IFS(F883&gt;40, "High DTI Risk",F883&gt;=25, "Moderate DTI",F883&lt;25, "Low DTI")</f>
        <v>Low DTI</v>
      </c>
      <c r="H883" t="str" cm="1">
        <f t="array" ref="H8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83" t="str">
        <f>_xlfn.XLOOKUP(H883,Reference_Tables!$B$2:$B$7,Reference_Tables!$C$2:$C$7,,0,1)</f>
        <v>HR</v>
      </c>
      <c r="J883" t="str">
        <f>INDEX(Reference_Tables!$D$11:$D$36,MATCH(LoanData[[#This Row],[Branch]],Reference_Tables!$A$11:$A$36,0))</f>
        <v>Suresh Menon</v>
      </c>
      <c r="L883" s="35"/>
    </row>
    <row r="884" spans="2:12" ht="15.6" x14ac:dyDescent="0.3">
      <c r="B884" s="15">
        <f>DATEDIF(Loan_Data!K:K,Loan_Data!L:L,"D")</f>
        <v>22</v>
      </c>
      <c r="C884" s="15">
        <f ca="1">DATEDIF(LoanData[[#This Row],[Approval_Date]],TODAY(),"M")</f>
        <v>33</v>
      </c>
      <c r="D884" s="31">
        <f>EDATE(LoanData[[#This Row],[Approval_Date]],LoanData[[#This Row],[Loan_Term_Months]])</f>
        <v>50702</v>
      </c>
      <c r="E884" t="str">
        <f t="shared" ca="1" si="13"/>
        <v>NO</v>
      </c>
      <c r="F884" s="33">
        <f>IFERROR(LoanData[[#This Row],[EMI]]/LoanData[[#This Row],[Monthly_Income]]*100," ")</f>
        <v>2.672261329920298</v>
      </c>
      <c r="G884" t="str" cm="1">
        <f t="array" ref="G884">_xlfn.IFS(F884&gt;40, "High DTI Risk",F884&gt;=25, "Moderate DTI",F884&lt;25, "Low DTI")</f>
        <v>Low DTI</v>
      </c>
      <c r="H884" t="str" cm="1">
        <f t="array" ref="H8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84" t="str">
        <f>_xlfn.XLOOKUP(H884,Reference_Tables!$B$2:$B$7,Reference_Tables!$C$2:$C$7,,0,1)</f>
        <v>HR</v>
      </c>
      <c r="J884" t="str">
        <f>INDEX(Reference_Tables!$D$11:$D$36,MATCH(LoanData[[#This Row],[Branch]],Reference_Tables!$A$11:$A$36,0))</f>
        <v>Priya Yadav</v>
      </c>
      <c r="L884" s="35"/>
    </row>
    <row r="885" spans="2:12" ht="15.6" x14ac:dyDescent="0.3">
      <c r="B885" s="15">
        <f>DATEDIF(Loan_Data!K:K,Loan_Data!L:L,"D")</f>
        <v>3</v>
      </c>
      <c r="C885" s="15">
        <f ca="1">DATEDIF(LoanData[[#This Row],[Approval_Date]],TODAY(),"M")</f>
        <v>64</v>
      </c>
      <c r="D885" s="31">
        <f>EDATE(LoanData[[#This Row],[Approval_Date]],LoanData[[#This Row],[Loan_Term_Months]])</f>
        <v>44658</v>
      </c>
      <c r="E885" t="str">
        <f t="shared" ca="1" si="13"/>
        <v>YES</v>
      </c>
      <c r="F885" s="33">
        <f>IFERROR(LoanData[[#This Row],[EMI]]/LoanData[[#This Row],[Monthly_Income]]*100," ")</f>
        <v>22.487489068117771</v>
      </c>
      <c r="G885" t="str" cm="1">
        <f t="array" ref="G885">_xlfn.IFS(F885&gt;40, "High DTI Risk",F885&gt;=25, "Moderate DTI",F885&lt;25, "Low DTI")</f>
        <v>Low DTI</v>
      </c>
      <c r="H885" t="str" cm="1">
        <f t="array" ref="H8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85" t="str">
        <f>_xlfn.XLOOKUP(H885,Reference_Tables!$B$2:$B$7,Reference_Tables!$C$2:$C$7,,0,1)</f>
        <v>HR</v>
      </c>
      <c r="J885" t="str">
        <f>INDEX(Reference_Tables!$D$11:$D$36,MATCH(LoanData[[#This Row],[Branch]],Reference_Tables!$A$11:$A$36,0))</f>
        <v>Nilesh Shah</v>
      </c>
      <c r="L885" s="35"/>
    </row>
    <row r="886" spans="2:12" ht="15.6" x14ac:dyDescent="0.3">
      <c r="B886" s="15">
        <f>DATEDIF(Loan_Data!K:K,Loan_Data!L:L,"D")</f>
        <v>11</v>
      </c>
      <c r="C886" s="15">
        <f ca="1">DATEDIF(LoanData[[#This Row],[Approval_Date]],TODAY(),"M")</f>
        <v>44</v>
      </c>
      <c r="D886" s="31">
        <f>EDATE(LoanData[[#This Row],[Approval_Date]],LoanData[[#This Row],[Loan_Term_Months]])</f>
        <v>52209</v>
      </c>
      <c r="E886" t="str">
        <f t="shared" ca="1" si="13"/>
        <v>NO</v>
      </c>
      <c r="F886" s="33">
        <f>IFERROR(LoanData[[#This Row],[EMI]]/LoanData[[#This Row],[Monthly_Income]]*100," ")</f>
        <v>5.9848791317217565</v>
      </c>
      <c r="G886" t="str" cm="1">
        <f t="array" ref="G886">_xlfn.IFS(F886&gt;40, "High DTI Risk",F886&gt;=25, "Moderate DTI",F886&lt;25, "Low DTI")</f>
        <v>Low DTI</v>
      </c>
      <c r="H886" t="str" cm="1">
        <f t="array" ref="H8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86" t="str">
        <f>_xlfn.XLOOKUP(H886,Reference_Tables!$B$2:$B$7,Reference_Tables!$C$2:$C$7,,0,1)</f>
        <v>HR</v>
      </c>
      <c r="J886" t="str">
        <f>INDEX(Reference_Tables!$D$11:$D$36,MATCH(LoanData[[#This Row],[Branch]],Reference_Tables!$A$11:$A$36,0))</f>
        <v>Vikram Malhotra</v>
      </c>
      <c r="L886" s="35"/>
    </row>
    <row r="887" spans="2:12" ht="15.6" x14ac:dyDescent="0.3">
      <c r="B887" s="15">
        <f>DATEDIF(Loan_Data!K:K,Loan_Data!L:L,"D")</f>
        <v>3</v>
      </c>
      <c r="C887" s="15">
        <f ca="1">DATEDIF(LoanData[[#This Row],[Approval_Date]],TODAY(),"M")</f>
        <v>31</v>
      </c>
      <c r="D887" s="31">
        <f>EDATE(LoanData[[#This Row],[Approval_Date]],LoanData[[#This Row],[Loan_Term_Months]])</f>
        <v>47113</v>
      </c>
      <c r="E887" t="str">
        <f t="shared" ca="1" si="13"/>
        <v>NO</v>
      </c>
      <c r="F887" s="33">
        <f>IFERROR(LoanData[[#This Row],[EMI]]/LoanData[[#This Row],[Monthly_Income]]*100," ")</f>
        <v>1.3333828544417057</v>
      </c>
      <c r="G887" t="str" cm="1">
        <f t="array" ref="G887">_xlfn.IFS(F887&gt;40, "High DTI Risk",F887&gt;=25, "Moderate DTI",F887&lt;25, "Low DTI")</f>
        <v>Low DTI</v>
      </c>
      <c r="H887" t="str" cm="1">
        <f t="array" ref="H8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87" t="str">
        <f>_xlfn.XLOOKUP(H887,Reference_Tables!$B$2:$B$7,Reference_Tables!$C$2:$C$7,,0,1)</f>
        <v>VHR</v>
      </c>
      <c r="J887" t="str">
        <f>INDEX(Reference_Tables!$D$11:$D$36,MATCH(LoanData[[#This Row],[Branch]],Reference_Tables!$A$11:$A$36,0))</f>
        <v>Puja Chatterjee</v>
      </c>
      <c r="L887" s="35"/>
    </row>
    <row r="888" spans="2:12" ht="15.6" x14ac:dyDescent="0.3">
      <c r="B888" s="15">
        <f>DATEDIF(Loan_Data!K:K,Loan_Data!L:L,"D")</f>
        <v>10</v>
      </c>
      <c r="C888" s="15">
        <f ca="1">DATEDIF(LoanData[[#This Row],[Approval_Date]],TODAY(),"M")</f>
        <v>35</v>
      </c>
      <c r="D888" s="31">
        <f>EDATE(LoanData[[#This Row],[Approval_Date]],LoanData[[#This Row],[Loan_Term_Months]])</f>
        <v>45906</v>
      </c>
      <c r="E888" t="str">
        <f t="shared" ca="1" si="13"/>
        <v>YES</v>
      </c>
      <c r="F888" s="33">
        <f>IFERROR(LoanData[[#This Row],[EMI]]/LoanData[[#This Row],[Monthly_Income]]*100," ")</f>
        <v>52.151631230093834</v>
      </c>
      <c r="G888" t="str" cm="1">
        <f t="array" ref="G888">_xlfn.IFS(F888&gt;40, "High DTI Risk",F888&gt;=25, "Moderate DTI",F888&lt;25, "Low DTI")</f>
        <v>High DTI Risk</v>
      </c>
      <c r="H888" t="str" cm="1">
        <f t="array" ref="H8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88" t="str">
        <f>_xlfn.XLOOKUP(H888,Reference_Tables!$B$2:$B$7,Reference_Tables!$C$2:$C$7,,0,1)</f>
        <v>LR</v>
      </c>
      <c r="J888" t="str">
        <f>INDEX(Reference_Tables!$D$11:$D$36,MATCH(LoanData[[#This Row],[Branch]],Reference_Tables!$A$11:$A$36,0))</f>
        <v>Suresh Menon</v>
      </c>
      <c r="L888" s="35"/>
    </row>
    <row r="889" spans="2:12" ht="15.6" x14ac:dyDescent="0.3">
      <c r="B889" s="15">
        <f>DATEDIF(Loan_Data!K:K,Loan_Data!L:L,"D")</f>
        <v>4</v>
      </c>
      <c r="C889" s="15">
        <f ca="1">DATEDIF(LoanData[[#This Row],[Approval_Date]],TODAY(),"M")</f>
        <v>60</v>
      </c>
      <c r="D889" s="31">
        <f>EDATE(LoanData[[#This Row],[Approval_Date]],LoanData[[#This Row],[Loan_Term_Months]])</f>
        <v>45497</v>
      </c>
      <c r="E889" t="str">
        <f t="shared" ca="1" si="13"/>
        <v>YES</v>
      </c>
      <c r="F889" s="33">
        <f>IFERROR(LoanData[[#This Row],[EMI]]/LoanData[[#This Row],[Monthly_Income]]*100," ")</f>
        <v>8.7395490538872895</v>
      </c>
      <c r="G889" t="str" cm="1">
        <f t="array" ref="G889">_xlfn.IFS(F889&gt;40, "High DTI Risk",F889&gt;=25, "Moderate DTI",F889&lt;25, "Low DTI")</f>
        <v>Low DTI</v>
      </c>
      <c r="H889" t="str" cm="1">
        <f t="array" ref="H8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89" t="str">
        <f>_xlfn.XLOOKUP(H889,Reference_Tables!$B$2:$B$7,Reference_Tables!$C$2:$C$7,,0,1)</f>
        <v>LR</v>
      </c>
      <c r="J889" t="str">
        <f>INDEX(Reference_Tables!$D$11:$D$36,MATCH(LoanData[[#This Row],[Branch]],Reference_Tables!$A$11:$A$36,0))</f>
        <v>Santhosh Rao</v>
      </c>
      <c r="L889" s="35"/>
    </row>
    <row r="890" spans="2:12" ht="15.6" x14ac:dyDescent="0.3">
      <c r="B890" s="15">
        <f>DATEDIF(Loan_Data!K:K,Loan_Data!L:L,"D")</f>
        <v>28</v>
      </c>
      <c r="C890" s="15">
        <f ca="1">DATEDIF(LoanData[[#This Row],[Approval_Date]],TODAY(),"M")</f>
        <v>48</v>
      </c>
      <c r="D890" s="31">
        <f>EDATE(LoanData[[#This Row],[Approval_Date]],LoanData[[#This Row],[Loan_Term_Months]])</f>
        <v>50247</v>
      </c>
      <c r="E890" t="str">
        <f t="shared" ca="1" si="13"/>
        <v>NO</v>
      </c>
      <c r="F890" s="33">
        <f>IFERROR(LoanData[[#This Row],[EMI]]/LoanData[[#This Row],[Monthly_Income]]*100," ")</f>
        <v>6.9840264859975774</v>
      </c>
      <c r="G890" t="str" cm="1">
        <f t="array" ref="G890">_xlfn.IFS(F890&gt;40, "High DTI Risk",F890&gt;=25, "Moderate DTI",F890&lt;25, "Low DTI")</f>
        <v>Low DTI</v>
      </c>
      <c r="H890" t="str" cm="1">
        <f t="array" ref="H8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90" t="str">
        <f>_xlfn.XLOOKUP(H890,Reference_Tables!$B$2:$B$7,Reference_Tables!$C$2:$C$7,,0,1)</f>
        <v>VHR</v>
      </c>
      <c r="J890" t="str">
        <f>INDEX(Reference_Tables!$D$11:$D$36,MATCH(LoanData[[#This Row],[Branch]],Reference_Tables!$A$11:$A$36,0))</f>
        <v>Lakshmi Reddy</v>
      </c>
      <c r="L890" s="35"/>
    </row>
    <row r="891" spans="2:12" ht="15.6" x14ac:dyDescent="0.3">
      <c r="B891" s="15">
        <f>DATEDIF(Loan_Data!K:K,Loan_Data!L:L,"D")</f>
        <v>26</v>
      </c>
      <c r="C891" s="15">
        <f ca="1">DATEDIF(LoanData[[#This Row],[Approval_Date]],TODAY(),"M")</f>
        <v>62</v>
      </c>
      <c r="D891" s="31">
        <f>EDATE(LoanData[[#This Row],[Approval_Date]],LoanData[[#This Row],[Loan_Term_Months]])</f>
        <v>49826</v>
      </c>
      <c r="E891" t="str">
        <f t="shared" ca="1" si="13"/>
        <v>NO</v>
      </c>
      <c r="F891" s="33">
        <f>IFERROR(LoanData[[#This Row],[EMI]]/LoanData[[#This Row],[Monthly_Income]]*100," ")</f>
        <v>8.4248852815575184</v>
      </c>
      <c r="G891" t="str" cm="1">
        <f t="array" ref="G891">_xlfn.IFS(F891&gt;40, "High DTI Risk",F891&gt;=25, "Moderate DTI",F891&lt;25, "Low DTI")</f>
        <v>Low DTI</v>
      </c>
      <c r="H891" t="str" cm="1">
        <f t="array" ref="H8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91" t="str">
        <f>_xlfn.XLOOKUP(H891,Reference_Tables!$B$2:$B$7,Reference_Tables!$C$2:$C$7,,0,1)</f>
        <v>VHR</v>
      </c>
      <c r="J891" t="str">
        <f>INDEX(Reference_Tables!$D$11:$D$36,MATCH(LoanData[[#This Row],[Branch]],Reference_Tables!$A$11:$A$36,0))</f>
        <v>Deepak Nair</v>
      </c>
      <c r="L891" s="35"/>
    </row>
    <row r="892" spans="2:12" ht="15.6" x14ac:dyDescent="0.3">
      <c r="B892" s="15">
        <f>DATEDIF(Loan_Data!K:K,Loan_Data!L:L,"D")</f>
        <v>15</v>
      </c>
      <c r="C892" s="15">
        <f ca="1">DATEDIF(LoanData[[#This Row],[Approval_Date]],TODAY(),"M")</f>
        <v>51</v>
      </c>
      <c r="D892" s="31">
        <f>EDATE(LoanData[[#This Row],[Approval_Date]],LoanData[[#This Row],[Loan_Term_Months]])</f>
        <v>51998</v>
      </c>
      <c r="E892" t="str">
        <f t="shared" ca="1" si="13"/>
        <v>NO</v>
      </c>
      <c r="F892" s="33">
        <f>IFERROR(LoanData[[#This Row],[EMI]]/LoanData[[#This Row],[Monthly_Income]]*100," ")</f>
        <v>3.3949295291705659</v>
      </c>
      <c r="G892" t="str" cm="1">
        <f t="array" ref="G892">_xlfn.IFS(F892&gt;40, "High DTI Risk",F892&gt;=25, "Moderate DTI",F892&lt;25, "Low DTI")</f>
        <v>Low DTI</v>
      </c>
      <c r="H892" t="str" cm="1">
        <f t="array" ref="H8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92" t="str">
        <f>_xlfn.XLOOKUP(H892,Reference_Tables!$B$2:$B$7,Reference_Tables!$C$2:$C$7,,0,1)</f>
        <v>VHR</v>
      </c>
      <c r="J892" t="str">
        <f>INDEX(Reference_Tables!$D$11:$D$36,MATCH(LoanData[[#This Row],[Branch]],Reference_Tables!$A$11:$A$36,0))</f>
        <v>Deepak Nair</v>
      </c>
      <c r="L892" s="35"/>
    </row>
    <row r="893" spans="2:12" ht="15.6" x14ac:dyDescent="0.3">
      <c r="B893" s="15">
        <f>DATEDIF(Loan_Data!K:K,Loan_Data!L:L,"D")</f>
        <v>24</v>
      </c>
      <c r="C893" s="15">
        <f ca="1">DATEDIF(LoanData[[#This Row],[Approval_Date]],TODAY(),"M")</f>
        <v>49</v>
      </c>
      <c r="D893" s="31">
        <f>EDATE(LoanData[[#This Row],[Approval_Date]],LoanData[[#This Row],[Loan_Term_Months]])</f>
        <v>48385</v>
      </c>
      <c r="E893" t="str">
        <f t="shared" ca="1" si="13"/>
        <v>NO</v>
      </c>
      <c r="F893" s="33">
        <f>IFERROR(LoanData[[#This Row],[EMI]]/LoanData[[#This Row],[Monthly_Income]]*100," ")</f>
        <v>0.80441188431003308</v>
      </c>
      <c r="G893" t="str" cm="1">
        <f t="array" ref="G893">_xlfn.IFS(F893&gt;40, "High DTI Risk",F893&gt;=25, "Moderate DTI",F893&lt;25, "Low DTI")</f>
        <v>Low DTI</v>
      </c>
      <c r="H893" t="str" cm="1">
        <f t="array" ref="H8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93" t="str">
        <f>_xlfn.XLOOKUP(H893,Reference_Tables!$B$2:$B$7,Reference_Tables!$C$2:$C$7,,0,1)</f>
        <v>MR</v>
      </c>
      <c r="J893" t="str">
        <f>INDEX(Reference_Tables!$D$11:$D$36,MATCH(LoanData[[#This Row],[Branch]],Reference_Tables!$A$11:$A$36,0))</f>
        <v>Priyanka Gupta</v>
      </c>
      <c r="L893" s="35"/>
    </row>
    <row r="894" spans="2:12" ht="15.6" x14ac:dyDescent="0.3">
      <c r="B894" s="15">
        <f>DATEDIF(Loan_Data!K:K,Loan_Data!L:L,"D")</f>
        <v>3</v>
      </c>
      <c r="C894" s="15">
        <f ca="1">DATEDIF(LoanData[[#This Row],[Approval_Date]],TODAY(),"M")</f>
        <v>45</v>
      </c>
      <c r="D894" s="31">
        <f>EDATE(LoanData[[#This Row],[Approval_Date]],LoanData[[#This Row],[Loan_Term_Months]])</f>
        <v>46704</v>
      </c>
      <c r="E894" t="str">
        <f t="shared" ca="1" si="13"/>
        <v>NO</v>
      </c>
      <c r="F894" s="33">
        <f>IFERROR(LoanData[[#This Row],[EMI]]/LoanData[[#This Row],[Monthly_Income]]*100," ")</f>
        <v>5.5482315516303213</v>
      </c>
      <c r="G894" t="str" cm="1">
        <f t="array" ref="G894">_xlfn.IFS(F894&gt;40, "High DTI Risk",F894&gt;=25, "Moderate DTI",F894&lt;25, "Low DTI")</f>
        <v>Low DTI</v>
      </c>
      <c r="H894" t="str" cm="1">
        <f t="array" ref="H8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94" t="str">
        <f>_xlfn.XLOOKUP(H894,Reference_Tables!$B$2:$B$7,Reference_Tables!$C$2:$C$7,,0,1)</f>
        <v>MR</v>
      </c>
      <c r="J894" t="str">
        <f>INDEX(Reference_Tables!$D$11:$D$36,MATCH(LoanData[[#This Row],[Branch]],Reference_Tables!$A$11:$A$36,0))</f>
        <v>Priya Yadav</v>
      </c>
      <c r="L894" s="35"/>
    </row>
    <row r="895" spans="2:12" ht="15.6" x14ac:dyDescent="0.3">
      <c r="B895" s="15">
        <f>DATEDIF(Loan_Data!K:K,Loan_Data!L:L,"D")</f>
        <v>22</v>
      </c>
      <c r="C895" s="15">
        <f ca="1">DATEDIF(LoanData[[#This Row],[Approval_Date]],TODAY(),"M")</f>
        <v>44</v>
      </c>
      <c r="D895" s="31">
        <f>EDATE(LoanData[[#This Row],[Approval_Date]],LoanData[[#This Row],[Loan_Term_Months]])</f>
        <v>52200</v>
      </c>
      <c r="E895" t="str">
        <f t="shared" ca="1" si="13"/>
        <v>NO</v>
      </c>
      <c r="F895" s="33">
        <f>IFERROR(LoanData[[#This Row],[EMI]]/LoanData[[#This Row],[Monthly_Income]]*100," ")</f>
        <v>48.626626950722006</v>
      </c>
      <c r="G895" t="str" cm="1">
        <f t="array" ref="G895">_xlfn.IFS(F895&gt;40, "High DTI Risk",F895&gt;=25, "Moderate DTI",F895&lt;25, "Low DTI")</f>
        <v>High DTI Risk</v>
      </c>
      <c r="H895" t="str" cm="1">
        <f t="array" ref="H8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895" t="str">
        <f>_xlfn.XLOOKUP(H895,Reference_Tables!$B$2:$B$7,Reference_Tables!$C$2:$C$7,,0,1)</f>
        <v>MR</v>
      </c>
      <c r="J895" t="str">
        <f>INDEX(Reference_Tables!$D$11:$D$36,MATCH(LoanData[[#This Row],[Branch]],Reference_Tables!$A$11:$A$36,0))</f>
        <v>Nilesh Shah</v>
      </c>
      <c r="L895" s="35"/>
    </row>
    <row r="896" spans="2:12" ht="15.6" x14ac:dyDescent="0.3">
      <c r="B896" s="15">
        <f>DATEDIF(Loan_Data!K:K,Loan_Data!L:L,"D")</f>
        <v>24</v>
      </c>
      <c r="C896" s="15">
        <f ca="1">DATEDIF(LoanData[[#This Row],[Approval_Date]],TODAY(),"M")</f>
        <v>41</v>
      </c>
      <c r="D896" s="31">
        <f>EDATE(LoanData[[#This Row],[Approval_Date]],LoanData[[#This Row],[Loan_Term_Months]])</f>
        <v>48650</v>
      </c>
      <c r="E896" t="str">
        <f t="shared" ca="1" si="13"/>
        <v>NO</v>
      </c>
      <c r="F896" s="33">
        <f>IFERROR(LoanData[[#This Row],[EMI]]/LoanData[[#This Row],[Monthly_Income]]*100," ")</f>
        <v>15.07163004673335</v>
      </c>
      <c r="G896" t="str" cm="1">
        <f t="array" ref="G896">_xlfn.IFS(F896&gt;40, "High DTI Risk",F896&gt;=25, "Moderate DTI",F896&lt;25, "Low DTI")</f>
        <v>Low DTI</v>
      </c>
      <c r="H896" t="str" cm="1">
        <f t="array" ref="H8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896" t="str">
        <f>_xlfn.XLOOKUP(H896,Reference_Tables!$B$2:$B$7,Reference_Tables!$C$2:$C$7,,0,1)</f>
        <v>LR</v>
      </c>
      <c r="J896" t="str">
        <f>INDEX(Reference_Tables!$D$11:$D$36,MATCH(LoanData[[#This Row],[Branch]],Reference_Tables!$A$11:$A$36,0))</f>
        <v>Meena Iyer</v>
      </c>
      <c r="L896" s="35"/>
    </row>
    <row r="897" spans="2:12" ht="15.6" x14ac:dyDescent="0.3">
      <c r="B897" s="15">
        <f>DATEDIF(Loan_Data!K:K,Loan_Data!L:L,"D")</f>
        <v>17</v>
      </c>
      <c r="C897" s="15">
        <f ca="1">DATEDIF(LoanData[[#This Row],[Approval_Date]],TODAY(),"M")</f>
        <v>45</v>
      </c>
      <c r="D897" s="31">
        <f>EDATE(LoanData[[#This Row],[Approval_Date]],LoanData[[#This Row],[Loan_Term_Months]])</f>
        <v>52178</v>
      </c>
      <c r="E897" t="str">
        <f t="shared" ca="1" si="13"/>
        <v>NO</v>
      </c>
      <c r="F897" s="33">
        <f>IFERROR(LoanData[[#This Row],[EMI]]/LoanData[[#This Row],[Monthly_Income]]*100," ")</f>
        <v>5.3253738337664558</v>
      </c>
      <c r="G897" t="str" cm="1">
        <f t="array" ref="G897">_xlfn.IFS(F897&gt;40, "High DTI Risk",F897&gt;=25, "Moderate DTI",F897&lt;25, "Low DTI")</f>
        <v>Low DTI</v>
      </c>
      <c r="H897" t="str" cm="1">
        <f t="array" ref="H8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897" t="str">
        <f>_xlfn.XLOOKUP(H897,Reference_Tables!$B$2:$B$7,Reference_Tables!$C$2:$C$7,,0,1)</f>
        <v>HR</v>
      </c>
      <c r="J897" t="str">
        <f>INDEX(Reference_Tables!$D$11:$D$36,MATCH(LoanData[[#This Row],[Branch]],Reference_Tables!$A$11:$A$36,0))</f>
        <v>Lakshmi Reddy</v>
      </c>
      <c r="L897" s="35"/>
    </row>
    <row r="898" spans="2:12" ht="15.6" x14ac:dyDescent="0.3">
      <c r="B898" s="15">
        <f>DATEDIF(Loan_Data!K:K,Loan_Data!L:L,"D")</f>
        <v>20</v>
      </c>
      <c r="C898" s="15">
        <f ca="1">DATEDIF(LoanData[[#This Row],[Approval_Date]],TODAY(),"M")</f>
        <v>31</v>
      </c>
      <c r="D898" s="31">
        <f>EDATE(LoanData[[#This Row],[Approval_Date]],LoanData[[#This Row],[Loan_Term_Months]])</f>
        <v>52609</v>
      </c>
      <c r="E898" t="str">
        <f t="shared" ref="E898:E961" ca="1" si="14">IF(D898&lt;TODAY(),"YES","NO")</f>
        <v>NO</v>
      </c>
      <c r="F898" s="33">
        <f>IFERROR(LoanData[[#This Row],[EMI]]/LoanData[[#This Row],[Monthly_Income]]*100," ")</f>
        <v>8.3771081349206362</v>
      </c>
      <c r="G898" t="str" cm="1">
        <f t="array" ref="G898">_xlfn.IFS(F898&gt;40, "High DTI Risk",F898&gt;=25, "Moderate DTI",F898&lt;25, "Low DTI")</f>
        <v>Low DTI</v>
      </c>
      <c r="H898" t="str" cm="1">
        <f t="array" ref="H8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898" t="str">
        <f>_xlfn.XLOOKUP(H898,Reference_Tables!$B$2:$B$7,Reference_Tables!$C$2:$C$7,,0,1)</f>
        <v>UC</v>
      </c>
      <c r="J898" t="str">
        <f>INDEX(Reference_Tables!$D$11:$D$36,MATCH(LoanData[[#This Row],[Branch]],Reference_Tables!$A$11:$A$36,0))</f>
        <v>Kavita Joshi</v>
      </c>
      <c r="L898" s="35"/>
    </row>
    <row r="899" spans="2:12" ht="15.6" x14ac:dyDescent="0.3">
      <c r="B899" s="15">
        <f>DATEDIF(Loan_Data!K:K,Loan_Data!L:L,"D")</f>
        <v>29</v>
      </c>
      <c r="C899" s="15">
        <f ca="1">DATEDIF(LoanData[[#This Row],[Approval_Date]],TODAY(),"M")</f>
        <v>49</v>
      </c>
      <c r="D899" s="31">
        <f>EDATE(LoanData[[#This Row],[Approval_Date]],LoanData[[#This Row],[Loan_Term_Months]])</f>
        <v>52037</v>
      </c>
      <c r="E899" t="str">
        <f t="shared" ca="1" si="14"/>
        <v>NO</v>
      </c>
      <c r="F899" s="33">
        <f>IFERROR(LoanData[[#This Row],[EMI]]/LoanData[[#This Row],[Monthly_Income]]*100," ")</f>
        <v>8.0105532934760255</v>
      </c>
      <c r="G899" t="str" cm="1">
        <f t="array" ref="G899">_xlfn.IFS(F899&gt;40, "High DTI Risk",F899&gt;=25, "Moderate DTI",F899&lt;25, "Low DTI")</f>
        <v>Low DTI</v>
      </c>
      <c r="H899" t="str" cm="1">
        <f t="array" ref="H8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899" t="str">
        <f>_xlfn.XLOOKUP(H899,Reference_Tables!$B$2:$B$7,Reference_Tables!$C$2:$C$7,,0,1)</f>
        <v>VHR</v>
      </c>
      <c r="J899" t="str">
        <f>INDEX(Reference_Tables!$D$11:$D$36,MATCH(LoanData[[#This Row],[Branch]],Reference_Tables!$A$11:$A$36,0))</f>
        <v>Hetal Patel</v>
      </c>
      <c r="L899" s="35"/>
    </row>
    <row r="900" spans="2:12" ht="15.6" x14ac:dyDescent="0.3">
      <c r="B900" s="15">
        <f>DATEDIF(Loan_Data!K:K,Loan_Data!L:L,"D")</f>
        <v>7</v>
      </c>
      <c r="C900" s="15">
        <f ca="1">DATEDIF(LoanData[[#This Row],[Approval_Date]],TODAY(),"M")</f>
        <v>61</v>
      </c>
      <c r="D900" s="31">
        <f>EDATE(LoanData[[#This Row],[Approval_Date]],LoanData[[#This Row],[Loan_Term_Months]])</f>
        <v>46195</v>
      </c>
      <c r="E900" t="str">
        <f t="shared" ca="1" si="14"/>
        <v>YES</v>
      </c>
      <c r="F900" s="33">
        <f>IFERROR(LoanData[[#This Row],[EMI]]/LoanData[[#This Row],[Monthly_Income]]*100," ")</f>
        <v>1.9414103894075785</v>
      </c>
      <c r="G900" t="str" cm="1">
        <f t="array" ref="G900">_xlfn.IFS(F900&gt;40, "High DTI Risk",F900&gt;=25, "Moderate DTI",F900&lt;25, "Low DTI")</f>
        <v>Low DTI</v>
      </c>
      <c r="H900" t="str" cm="1">
        <f t="array" ref="H9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00" t="str">
        <f>_xlfn.XLOOKUP(H900,Reference_Tables!$B$2:$B$7,Reference_Tables!$C$2:$C$7,,0,1)</f>
        <v>VHR</v>
      </c>
      <c r="J900" t="str">
        <f>INDEX(Reference_Tables!$D$11:$D$36,MATCH(LoanData[[#This Row],[Branch]],Reference_Tables!$A$11:$A$36,0))</f>
        <v>Tapan Panda</v>
      </c>
      <c r="L900" s="35"/>
    </row>
    <row r="901" spans="2:12" ht="15.6" x14ac:dyDescent="0.3">
      <c r="B901" s="15">
        <f>DATEDIF(Loan_Data!K:K,Loan_Data!L:L,"D")</f>
        <v>21</v>
      </c>
      <c r="C901" s="15">
        <f ca="1">DATEDIF(LoanData[[#This Row],[Approval_Date]],TODAY(),"M")</f>
        <v>40</v>
      </c>
      <c r="D901" s="31">
        <f>EDATE(LoanData[[#This Row],[Approval_Date]],LoanData[[#This Row],[Loan_Term_Months]])</f>
        <v>48677</v>
      </c>
      <c r="E901" t="str">
        <f t="shared" ca="1" si="14"/>
        <v>NO</v>
      </c>
      <c r="F901" s="33" t="str">
        <f>IFERROR(LoanData[[#This Row],[EMI]]/LoanData[[#This Row],[Monthly_Income]]*100," ")</f>
        <v xml:space="preserve"> </v>
      </c>
      <c r="G901" t="str" cm="1">
        <f t="array" ref="G901">_xlfn.IFS(F901&gt;40, "High DTI Risk",F901&gt;=25, "Moderate DTI",F901&lt;25, "Low DTI")</f>
        <v>High DTI Risk</v>
      </c>
      <c r="H901" t="str" cm="1">
        <f t="array" ref="H9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01" t="str">
        <f>_xlfn.XLOOKUP(H901,Reference_Tables!$B$2:$B$7,Reference_Tables!$C$2:$C$7,,0,1)</f>
        <v>VHR</v>
      </c>
      <c r="J901" t="str">
        <f>INDEX(Reference_Tables!$D$11:$D$36,MATCH(LoanData[[#This Row],[Branch]],Reference_Tables!$A$11:$A$36,0))</f>
        <v>Sandeep Saxena</v>
      </c>
      <c r="L901" s="35"/>
    </row>
    <row r="902" spans="2:12" ht="15.6" x14ac:dyDescent="0.3">
      <c r="B902" s="15">
        <f>DATEDIF(Loan_Data!K:K,Loan_Data!L:L,"D")</f>
        <v>30</v>
      </c>
      <c r="C902" s="15">
        <f ca="1">DATEDIF(LoanData[[#This Row],[Approval_Date]],TODAY(),"M")</f>
        <v>46</v>
      </c>
      <c r="D902" s="31">
        <f>EDATE(LoanData[[#This Row],[Approval_Date]],LoanData[[#This Row],[Loan_Term_Months]])</f>
        <v>48497</v>
      </c>
      <c r="E902" t="str">
        <f t="shared" ca="1" si="14"/>
        <v>NO</v>
      </c>
      <c r="F902" s="33">
        <f>IFERROR(LoanData[[#This Row],[EMI]]/LoanData[[#This Row],[Monthly_Income]]*100," ")</f>
        <v>13.877778289080117</v>
      </c>
      <c r="G902" t="str" cm="1">
        <f t="array" ref="G902">_xlfn.IFS(F902&gt;40, "High DTI Risk",F902&gt;=25, "Moderate DTI",F902&lt;25, "Low DTI")</f>
        <v>Low DTI</v>
      </c>
      <c r="H902" t="str" cm="1">
        <f t="array" ref="H9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02" t="str">
        <f>_xlfn.XLOOKUP(H902,Reference_Tables!$B$2:$B$7,Reference_Tables!$C$2:$C$7,,0,1)</f>
        <v>VHR</v>
      </c>
      <c r="J902" t="str">
        <f>INDEX(Reference_Tables!$D$11:$D$36,MATCH(LoanData[[#This Row],[Branch]],Reference_Tables!$A$11:$A$36,0))</f>
        <v>Suman Tiwari</v>
      </c>
      <c r="L902" s="35"/>
    </row>
    <row r="903" spans="2:12" ht="15.6" x14ac:dyDescent="0.3">
      <c r="B903" s="15">
        <f>DATEDIF(Loan_Data!K:K,Loan_Data!L:L,"D")</f>
        <v>6</v>
      </c>
      <c r="C903" s="15">
        <f ca="1">DATEDIF(LoanData[[#This Row],[Approval_Date]],TODAY(),"M")</f>
        <v>34</v>
      </c>
      <c r="D903" s="31">
        <f>EDATE(LoanData[[#This Row],[Approval_Date]],LoanData[[#This Row],[Loan_Term_Months]])</f>
        <v>48859</v>
      </c>
      <c r="E903" t="str">
        <f t="shared" ca="1" si="14"/>
        <v>NO</v>
      </c>
      <c r="F903" s="33">
        <f>IFERROR(LoanData[[#This Row],[EMI]]/LoanData[[#This Row],[Monthly_Income]]*100," ")</f>
        <v>8.2236056481507678</v>
      </c>
      <c r="G903" t="str" cm="1">
        <f t="array" ref="G903">_xlfn.IFS(F903&gt;40, "High DTI Risk",F903&gt;=25, "Moderate DTI",F903&lt;25, "Low DTI")</f>
        <v>Low DTI</v>
      </c>
      <c r="H903" t="str" cm="1">
        <f t="array" ref="H9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03" t="str">
        <f>_xlfn.XLOOKUP(H903,Reference_Tables!$B$2:$B$7,Reference_Tables!$C$2:$C$7,,0,1)</f>
        <v>LR</v>
      </c>
      <c r="J903" t="str">
        <f>INDEX(Reference_Tables!$D$11:$D$36,MATCH(LoanData[[#This Row],[Branch]],Reference_Tables!$A$11:$A$36,0))</f>
        <v>Debashis Das</v>
      </c>
      <c r="L903" s="35"/>
    </row>
    <row r="904" spans="2:12" ht="15.6" x14ac:dyDescent="0.3">
      <c r="B904" s="15">
        <f>DATEDIF(Loan_Data!K:K,Loan_Data!L:L,"D")</f>
        <v>13</v>
      </c>
      <c r="C904" s="15">
        <f ca="1">DATEDIF(LoanData[[#This Row],[Approval_Date]],TODAY(),"M")</f>
        <v>49</v>
      </c>
      <c r="D904" s="31">
        <f>EDATE(LoanData[[#This Row],[Approval_Date]],LoanData[[#This Row],[Loan_Term_Months]])</f>
        <v>48412</v>
      </c>
      <c r="E904" t="str">
        <f t="shared" ca="1" si="14"/>
        <v>NO</v>
      </c>
      <c r="F904" s="33">
        <f>IFERROR(LoanData[[#This Row],[EMI]]/LoanData[[#This Row],[Monthly_Income]]*100," ")</f>
        <v>0.66076560753632441</v>
      </c>
      <c r="G904" t="str" cm="1">
        <f t="array" ref="G904">_xlfn.IFS(F904&gt;40, "High DTI Risk",F904&gt;=25, "Moderate DTI",F904&lt;25, "Low DTI")</f>
        <v>Low DTI</v>
      </c>
      <c r="H904" t="str" cm="1">
        <f t="array" ref="H9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04" t="str">
        <f>_xlfn.XLOOKUP(H904,Reference_Tables!$B$2:$B$7,Reference_Tables!$C$2:$C$7,,0,1)</f>
        <v>LR</v>
      </c>
      <c r="J904" t="str">
        <f>INDEX(Reference_Tables!$D$11:$D$36,MATCH(LoanData[[#This Row],[Branch]],Reference_Tables!$A$11:$A$36,0))</f>
        <v>Hetal Patel</v>
      </c>
      <c r="L904" s="35"/>
    </row>
    <row r="905" spans="2:12" ht="15.6" x14ac:dyDescent="0.3">
      <c r="B905" s="15">
        <f>DATEDIF(Loan_Data!K:K,Loan_Data!L:L,"D")</f>
        <v>11</v>
      </c>
      <c r="C905" s="15">
        <f ca="1">DATEDIF(LoanData[[#This Row],[Approval_Date]],TODAY(),"M")</f>
        <v>33</v>
      </c>
      <c r="D905" s="31">
        <f>EDATE(LoanData[[#This Row],[Approval_Date]],LoanData[[#This Row],[Loan_Term_Months]])</f>
        <v>48900</v>
      </c>
      <c r="E905" t="str">
        <f t="shared" ca="1" si="14"/>
        <v>NO</v>
      </c>
      <c r="F905" s="33">
        <f>IFERROR(LoanData[[#This Row],[EMI]]/LoanData[[#This Row],[Monthly_Income]]*100," ")</f>
        <v>0.83753369694689983</v>
      </c>
      <c r="G905" t="str" cm="1">
        <f t="array" ref="G905">_xlfn.IFS(F905&gt;40, "High DTI Risk",F905&gt;=25, "Moderate DTI",F905&lt;25, "Low DTI")</f>
        <v>Low DTI</v>
      </c>
      <c r="H905" t="str" cm="1">
        <f t="array" ref="H9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05" t="str">
        <f>_xlfn.XLOOKUP(H905,Reference_Tables!$B$2:$B$7,Reference_Tables!$C$2:$C$7,,0,1)</f>
        <v>VHR</v>
      </c>
      <c r="J905" t="str">
        <f>INDEX(Reference_Tables!$D$11:$D$36,MATCH(LoanData[[#This Row],[Branch]],Reference_Tables!$A$11:$A$36,0))</f>
        <v>Amit Kumar</v>
      </c>
      <c r="L905" s="35"/>
    </row>
    <row r="906" spans="2:12" ht="15.6" x14ac:dyDescent="0.3">
      <c r="B906" s="15">
        <f>DATEDIF(Loan_Data!K:K,Loan_Data!L:L,"D")</f>
        <v>17</v>
      </c>
      <c r="C906" s="15">
        <f ca="1">DATEDIF(LoanData[[#This Row],[Approval_Date]],TODAY(),"M")</f>
        <v>41</v>
      </c>
      <c r="D906" s="31">
        <f>EDATE(LoanData[[#This Row],[Approval_Date]],LoanData[[#This Row],[Loan_Term_Months]])</f>
        <v>50465</v>
      </c>
      <c r="E906" t="str">
        <f t="shared" ca="1" si="14"/>
        <v>NO</v>
      </c>
      <c r="F906" s="33">
        <f>IFERROR(LoanData[[#This Row],[EMI]]/LoanData[[#This Row],[Monthly_Income]]*100," ")</f>
        <v>10.53742298964813</v>
      </c>
      <c r="G906" t="str" cm="1">
        <f t="array" ref="G906">_xlfn.IFS(F906&gt;40, "High DTI Risk",F906&gt;=25, "Moderate DTI",F906&lt;25, "Low DTI")</f>
        <v>Low DTI</v>
      </c>
      <c r="H906" t="str" cm="1">
        <f t="array" ref="H9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06" t="str">
        <f>_xlfn.XLOOKUP(H906,Reference_Tables!$B$2:$B$7,Reference_Tables!$C$2:$C$7,,0,1)</f>
        <v>LR</v>
      </c>
      <c r="J906" t="str">
        <f>INDEX(Reference_Tables!$D$11:$D$36,MATCH(LoanData[[#This Row],[Branch]],Reference_Tables!$A$11:$A$36,0))</f>
        <v>Sachin Deshpande</v>
      </c>
      <c r="L906" s="35"/>
    </row>
    <row r="907" spans="2:12" ht="15.6" x14ac:dyDescent="0.3">
      <c r="B907" s="15">
        <f>DATEDIF(Loan_Data!K:K,Loan_Data!L:L,"D")</f>
        <v>25</v>
      </c>
      <c r="C907" s="15">
        <f ca="1">DATEDIF(LoanData[[#This Row],[Approval_Date]],TODAY(),"M")</f>
        <v>38</v>
      </c>
      <c r="D907" s="31">
        <f>EDATE(LoanData[[#This Row],[Approval_Date]],LoanData[[#This Row],[Loan_Term_Months]])</f>
        <v>50569</v>
      </c>
      <c r="E907" t="str">
        <f t="shared" ca="1" si="14"/>
        <v>NO</v>
      </c>
      <c r="F907" s="33">
        <f>IFERROR(LoanData[[#This Row],[EMI]]/LoanData[[#This Row],[Monthly_Income]]*100," ")</f>
        <v>0.47378403439264943</v>
      </c>
      <c r="G907" t="str" cm="1">
        <f t="array" ref="G907">_xlfn.IFS(F907&gt;40, "High DTI Risk",F907&gt;=25, "Moderate DTI",F907&lt;25, "Low DTI")</f>
        <v>Low DTI</v>
      </c>
      <c r="H907" t="str" cm="1">
        <f t="array" ref="H9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07" t="str">
        <f>_xlfn.XLOOKUP(H907,Reference_Tables!$B$2:$B$7,Reference_Tables!$C$2:$C$7,,0,1)</f>
        <v>VHR</v>
      </c>
      <c r="J907" t="str">
        <f>INDEX(Reference_Tables!$D$11:$D$36,MATCH(LoanData[[#This Row],[Branch]],Reference_Tables!$A$11:$A$36,0))</f>
        <v>Sachin Deshpande</v>
      </c>
      <c r="L907" s="35"/>
    </row>
    <row r="908" spans="2:12" ht="15.6" x14ac:dyDescent="0.3">
      <c r="B908" s="15">
        <f>DATEDIF(Loan_Data!K:K,Loan_Data!L:L,"D")</f>
        <v>23</v>
      </c>
      <c r="C908" s="15">
        <f ca="1">DATEDIF(LoanData[[#This Row],[Approval_Date]],TODAY(),"M")</f>
        <v>57</v>
      </c>
      <c r="D908" s="31">
        <f>EDATE(LoanData[[#This Row],[Approval_Date]],LoanData[[#This Row],[Loan_Term_Months]])</f>
        <v>45961</v>
      </c>
      <c r="E908" t="str">
        <f t="shared" ca="1" si="14"/>
        <v>YES</v>
      </c>
      <c r="F908" s="33">
        <f>IFERROR(LoanData[[#This Row],[EMI]]/LoanData[[#This Row],[Monthly_Income]]*100," ")</f>
        <v>2.4424638805432815</v>
      </c>
      <c r="G908" t="str" cm="1">
        <f t="array" ref="G908">_xlfn.IFS(F908&gt;40, "High DTI Risk",F908&gt;=25, "Moderate DTI",F908&lt;25, "Low DTI")</f>
        <v>Low DTI</v>
      </c>
      <c r="H908" t="str" cm="1">
        <f t="array" ref="H9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08" t="str">
        <f>_xlfn.XLOOKUP(H908,Reference_Tables!$B$2:$B$7,Reference_Tables!$C$2:$C$7,,0,1)</f>
        <v>VHR</v>
      </c>
      <c r="J908" t="str">
        <f>INDEX(Reference_Tables!$D$11:$D$36,MATCH(LoanData[[#This Row],[Branch]],Reference_Tables!$A$11:$A$36,0))</f>
        <v>Suresh Menon</v>
      </c>
      <c r="L908" s="35"/>
    </row>
    <row r="909" spans="2:12" ht="15.6" x14ac:dyDescent="0.3">
      <c r="B909" s="15">
        <f>DATEDIF(Loan_Data!K:K,Loan_Data!L:L,"D")</f>
        <v>7</v>
      </c>
      <c r="C909" s="15">
        <f ca="1">DATEDIF(LoanData[[#This Row],[Approval_Date]],TODAY(),"M")</f>
        <v>59</v>
      </c>
      <c r="D909" s="31">
        <f>EDATE(LoanData[[#This Row],[Approval_Date]],LoanData[[#This Row],[Loan_Term_Months]])</f>
        <v>46999</v>
      </c>
      <c r="E909" t="str">
        <f t="shared" ca="1" si="14"/>
        <v>NO</v>
      </c>
      <c r="F909" s="33">
        <f>IFERROR(LoanData[[#This Row],[EMI]]/LoanData[[#This Row],[Monthly_Income]]*100," ")</f>
        <v>6.389763823910716</v>
      </c>
      <c r="G909" t="str" cm="1">
        <f t="array" ref="G909">_xlfn.IFS(F909&gt;40, "High DTI Risk",F909&gt;=25, "Moderate DTI",F909&lt;25, "Low DTI")</f>
        <v>Low DTI</v>
      </c>
      <c r="H909" t="str" cm="1">
        <f t="array" ref="H9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09" t="str">
        <f>_xlfn.XLOOKUP(H909,Reference_Tables!$B$2:$B$7,Reference_Tables!$C$2:$C$7,,0,1)</f>
        <v>VHR</v>
      </c>
      <c r="J909" t="str">
        <f>INDEX(Reference_Tables!$D$11:$D$36,MATCH(LoanData[[#This Row],[Branch]],Reference_Tables!$A$11:$A$36,0))</f>
        <v>Sachin Deshpande</v>
      </c>
      <c r="L909" s="35"/>
    </row>
    <row r="910" spans="2:12" ht="15.6" x14ac:dyDescent="0.3">
      <c r="B910" s="15">
        <f>DATEDIF(Loan_Data!K:K,Loan_Data!L:L,"D")</f>
        <v>21</v>
      </c>
      <c r="C910" s="15">
        <f ca="1">DATEDIF(LoanData[[#This Row],[Approval_Date]],TODAY(),"M")</f>
        <v>38</v>
      </c>
      <c r="D910" s="31">
        <f>EDATE(LoanData[[#This Row],[Approval_Date]],LoanData[[#This Row],[Loan_Term_Months]])</f>
        <v>46537</v>
      </c>
      <c r="E910" t="str">
        <f t="shared" ca="1" si="14"/>
        <v>NO</v>
      </c>
      <c r="F910" s="33">
        <f>IFERROR(LoanData[[#This Row],[EMI]]/LoanData[[#This Row],[Monthly_Income]]*100," ")</f>
        <v>5.0552156690140846</v>
      </c>
      <c r="G910" t="str" cm="1">
        <f t="array" ref="G910">_xlfn.IFS(F910&gt;40, "High DTI Risk",F910&gt;=25, "Moderate DTI",F910&lt;25, "Low DTI")</f>
        <v>Low DTI</v>
      </c>
      <c r="H910" t="str" cm="1">
        <f t="array" ref="H9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10" t="str">
        <f>_xlfn.XLOOKUP(H910,Reference_Tables!$B$2:$B$7,Reference_Tables!$C$2:$C$7,,0,1)</f>
        <v>MR</v>
      </c>
      <c r="J910" t="str">
        <f>INDEX(Reference_Tables!$D$11:$D$36,MATCH(LoanData[[#This Row],[Branch]],Reference_Tables!$A$11:$A$36,0))</f>
        <v>Sachin Deshpande</v>
      </c>
      <c r="L910" s="35"/>
    </row>
    <row r="911" spans="2:12" ht="15.6" x14ac:dyDescent="0.3">
      <c r="B911" s="15">
        <f>DATEDIF(Loan_Data!K:K,Loan_Data!L:L,"D")</f>
        <v>30</v>
      </c>
      <c r="C911" s="15">
        <f ca="1">DATEDIF(LoanData[[#This Row],[Approval_Date]],TODAY(),"M")</f>
        <v>50</v>
      </c>
      <c r="D911" s="31">
        <f>EDATE(LoanData[[#This Row],[Approval_Date]],LoanData[[#This Row],[Loan_Term_Months]])</f>
        <v>48363</v>
      </c>
      <c r="E911" t="str">
        <f t="shared" ca="1" si="14"/>
        <v>NO</v>
      </c>
      <c r="F911" s="33">
        <f>IFERROR(LoanData[[#This Row],[EMI]]/LoanData[[#This Row],[Monthly_Income]]*100," ")</f>
        <v>3.4380874085301891</v>
      </c>
      <c r="G911" t="str" cm="1">
        <f t="array" ref="G911">_xlfn.IFS(F911&gt;40, "High DTI Risk",F911&gt;=25, "Moderate DTI",F911&lt;25, "Low DTI")</f>
        <v>Low DTI</v>
      </c>
      <c r="H911" t="str" cm="1">
        <f t="array" ref="H9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11" t="str">
        <f>_xlfn.XLOOKUP(H911,Reference_Tables!$B$2:$B$7,Reference_Tables!$C$2:$C$7,,0,1)</f>
        <v>VHR</v>
      </c>
      <c r="J911" t="str">
        <f>INDEX(Reference_Tables!$D$11:$D$36,MATCH(LoanData[[#This Row],[Branch]],Reference_Tables!$A$11:$A$36,0))</f>
        <v>Puja Chatterjee</v>
      </c>
      <c r="L911" s="35"/>
    </row>
    <row r="912" spans="2:12" ht="15.6" x14ac:dyDescent="0.3">
      <c r="B912" s="15">
        <f>DATEDIF(Loan_Data!K:K,Loan_Data!L:L,"D")</f>
        <v>23</v>
      </c>
      <c r="C912" s="15">
        <f ca="1">DATEDIF(LoanData[[#This Row],[Approval_Date]],TODAY(),"M")</f>
        <v>52</v>
      </c>
      <c r="D912" s="31">
        <f>EDATE(LoanData[[#This Row],[Approval_Date]],LoanData[[#This Row],[Loan_Term_Months]])</f>
        <v>47211</v>
      </c>
      <c r="E912" t="str">
        <f t="shared" ca="1" si="14"/>
        <v>NO</v>
      </c>
      <c r="F912" s="33">
        <f>IFERROR(LoanData[[#This Row],[EMI]]/LoanData[[#This Row],[Monthly_Income]]*100," ")</f>
        <v>10.002161949685535</v>
      </c>
      <c r="G912" t="str" cm="1">
        <f t="array" ref="G912">_xlfn.IFS(F912&gt;40, "High DTI Risk",F912&gt;=25, "Moderate DTI",F912&lt;25, "Low DTI")</f>
        <v>Low DTI</v>
      </c>
      <c r="H912" t="str" cm="1">
        <f t="array" ref="H9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12" t="str">
        <f>_xlfn.XLOOKUP(H912,Reference_Tables!$B$2:$B$7,Reference_Tables!$C$2:$C$7,,0,1)</f>
        <v>VHR</v>
      </c>
      <c r="J912" t="str">
        <f>INDEX(Reference_Tables!$D$11:$D$36,MATCH(LoanData[[#This Row],[Branch]],Reference_Tables!$A$11:$A$36,0))</f>
        <v>Rahul Kapoor</v>
      </c>
      <c r="L912" s="35"/>
    </row>
    <row r="913" spans="2:12" ht="15.6" x14ac:dyDescent="0.3">
      <c r="B913" s="15">
        <f>DATEDIF(Loan_Data!K:K,Loan_Data!L:L,"D")</f>
        <v>17</v>
      </c>
      <c r="C913" s="15">
        <f ca="1">DATEDIF(LoanData[[#This Row],[Approval_Date]],TODAY(),"M")</f>
        <v>59</v>
      </c>
      <c r="D913" s="31">
        <f>EDATE(LoanData[[#This Row],[Approval_Date]],LoanData[[#This Row],[Loan_Term_Months]])</f>
        <v>51742</v>
      </c>
      <c r="E913" t="str">
        <f t="shared" ca="1" si="14"/>
        <v>NO</v>
      </c>
      <c r="F913" s="33">
        <f>IFERROR(LoanData[[#This Row],[EMI]]/LoanData[[#This Row],[Monthly_Income]]*100," ")</f>
        <v>1.3026366049771767</v>
      </c>
      <c r="G913" t="str" cm="1">
        <f t="array" ref="G913">_xlfn.IFS(F913&gt;40, "High DTI Risk",F913&gt;=25, "Moderate DTI",F913&lt;25, "Low DTI")</f>
        <v>Low DTI</v>
      </c>
      <c r="H913" t="str" cm="1">
        <f t="array" ref="H9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13" t="str">
        <f>_xlfn.XLOOKUP(H913,Reference_Tables!$B$2:$B$7,Reference_Tables!$C$2:$C$7,,0,1)</f>
        <v>LR</v>
      </c>
      <c r="J913" t="str">
        <f>INDEX(Reference_Tables!$D$11:$D$36,MATCH(LoanData[[#This Row],[Branch]],Reference_Tables!$A$11:$A$36,0))</f>
        <v>Sachin Deshpande</v>
      </c>
      <c r="L913" s="35"/>
    </row>
    <row r="914" spans="2:12" ht="15.6" x14ac:dyDescent="0.3">
      <c r="B914" s="15">
        <f>DATEDIF(Loan_Data!K:K,Loan_Data!L:L,"D")</f>
        <v>18</v>
      </c>
      <c r="C914" s="15">
        <f ca="1">DATEDIF(LoanData[[#This Row],[Approval_Date]],TODAY(),"M")</f>
        <v>59</v>
      </c>
      <c r="D914" s="31">
        <f>EDATE(LoanData[[#This Row],[Approval_Date]],LoanData[[#This Row],[Loan_Term_Months]])</f>
        <v>51741</v>
      </c>
      <c r="E914" t="str">
        <f t="shared" ca="1" si="14"/>
        <v>NO</v>
      </c>
      <c r="F914" s="33">
        <f>IFERROR(LoanData[[#This Row],[EMI]]/LoanData[[#This Row],[Monthly_Income]]*100," ")</f>
        <v>10.620753542564263</v>
      </c>
      <c r="G914" t="str" cm="1">
        <f t="array" ref="G914">_xlfn.IFS(F914&gt;40, "High DTI Risk",F914&gt;=25, "Moderate DTI",F914&lt;25, "Low DTI")</f>
        <v>Low DTI</v>
      </c>
      <c r="H914" t="str" cm="1">
        <f t="array" ref="H9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14" t="str">
        <f>_xlfn.XLOOKUP(H914,Reference_Tables!$B$2:$B$7,Reference_Tables!$C$2:$C$7,,0,1)</f>
        <v>VHR</v>
      </c>
      <c r="J914" t="str">
        <f>INDEX(Reference_Tables!$D$11:$D$36,MATCH(LoanData[[#This Row],[Branch]],Reference_Tables!$A$11:$A$36,0))</f>
        <v>Hetal Patel</v>
      </c>
      <c r="L914" s="35"/>
    </row>
    <row r="915" spans="2:12" ht="15.6" x14ac:dyDescent="0.3">
      <c r="B915" s="15">
        <f>DATEDIF(Loan_Data!K:K,Loan_Data!L:L,"D")</f>
        <v>15</v>
      </c>
      <c r="C915" s="15">
        <f ca="1">DATEDIF(LoanData[[#This Row],[Approval_Date]],TODAY(),"M")</f>
        <v>36</v>
      </c>
      <c r="D915" s="31">
        <f>EDATE(LoanData[[#This Row],[Approval_Date]],LoanData[[#This Row],[Loan_Term_Months]])</f>
        <v>52445</v>
      </c>
      <c r="E915" t="str">
        <f t="shared" ca="1" si="14"/>
        <v>NO</v>
      </c>
      <c r="F915" s="33">
        <f>IFERROR(LoanData[[#This Row],[EMI]]/LoanData[[#This Row],[Monthly_Income]]*100," ")</f>
        <v>6.4533187454412833</v>
      </c>
      <c r="G915" t="str" cm="1">
        <f t="array" ref="G915">_xlfn.IFS(F915&gt;40, "High DTI Risk",F915&gt;=25, "Moderate DTI",F915&lt;25, "Low DTI")</f>
        <v>Low DTI</v>
      </c>
      <c r="H915" t="str" cm="1">
        <f t="array" ref="H9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15" t="str">
        <f>_xlfn.XLOOKUP(H915,Reference_Tables!$B$2:$B$7,Reference_Tables!$C$2:$C$7,,0,1)</f>
        <v>MR</v>
      </c>
      <c r="J915" t="str">
        <f>INDEX(Reference_Tables!$D$11:$D$36,MATCH(LoanData[[#This Row],[Branch]],Reference_Tables!$A$11:$A$36,0))</f>
        <v>Kavita Joshi</v>
      </c>
      <c r="L915" s="35"/>
    </row>
    <row r="916" spans="2:12" ht="15.6" x14ac:dyDescent="0.3">
      <c r="B916" s="15">
        <f>DATEDIF(Loan_Data!K:K,Loan_Data!L:L,"D")</f>
        <v>13</v>
      </c>
      <c r="C916" s="15">
        <f ca="1">DATEDIF(LoanData[[#This Row],[Approval_Date]],TODAY(),"M")</f>
        <v>46</v>
      </c>
      <c r="D916" s="31">
        <f>EDATE(LoanData[[#This Row],[Approval_Date]],LoanData[[#This Row],[Loan_Term_Months]])</f>
        <v>52147</v>
      </c>
      <c r="E916" t="str">
        <f t="shared" ca="1" si="14"/>
        <v>NO</v>
      </c>
      <c r="F916" s="33">
        <f>IFERROR(LoanData[[#This Row],[EMI]]/LoanData[[#This Row],[Monthly_Income]]*100," ")</f>
        <v>4.7143320215645694</v>
      </c>
      <c r="G916" t="str" cm="1">
        <f t="array" ref="G916">_xlfn.IFS(F916&gt;40, "High DTI Risk",F916&gt;=25, "Moderate DTI",F916&lt;25, "Low DTI")</f>
        <v>Low DTI</v>
      </c>
      <c r="H916" t="str" cm="1">
        <f t="array" ref="H9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16" t="str">
        <f>_xlfn.XLOOKUP(H916,Reference_Tables!$B$2:$B$7,Reference_Tables!$C$2:$C$7,,0,1)</f>
        <v>VHR</v>
      </c>
      <c r="J916" t="str">
        <f>INDEX(Reference_Tables!$D$11:$D$36,MATCH(LoanData[[#This Row],[Branch]],Reference_Tables!$A$11:$A$36,0))</f>
        <v>Arvind Pillai</v>
      </c>
      <c r="L916" s="35"/>
    </row>
    <row r="917" spans="2:12" ht="15.6" x14ac:dyDescent="0.3">
      <c r="B917" s="15">
        <f>DATEDIF(Loan_Data!K:K,Loan_Data!L:L,"D")</f>
        <v>23</v>
      </c>
      <c r="C917" s="15">
        <f ca="1">DATEDIF(LoanData[[#This Row],[Approval_Date]],TODAY(),"M")</f>
        <v>37</v>
      </c>
      <c r="D917" s="31">
        <f>EDATE(LoanData[[#This Row],[Approval_Date]],LoanData[[#This Row],[Loan_Term_Months]])</f>
        <v>50604</v>
      </c>
      <c r="E917" t="str">
        <f t="shared" ca="1" si="14"/>
        <v>NO</v>
      </c>
      <c r="F917" s="33">
        <f>IFERROR(LoanData[[#This Row],[EMI]]/LoanData[[#This Row],[Monthly_Income]]*100," ")</f>
        <v>22.9247924931563</v>
      </c>
      <c r="G917" t="str" cm="1">
        <f t="array" ref="G917">_xlfn.IFS(F917&gt;40, "High DTI Risk",F917&gt;=25, "Moderate DTI",F917&lt;25, "Low DTI")</f>
        <v>Low DTI</v>
      </c>
      <c r="H917" t="str" cm="1">
        <f t="array" ref="H9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917" t="str">
        <f>_xlfn.XLOOKUP(H917,Reference_Tables!$B$2:$B$7,Reference_Tables!$C$2:$C$7,,0,1)</f>
        <v>UC</v>
      </c>
      <c r="J917" t="str">
        <f>INDEX(Reference_Tables!$D$11:$D$36,MATCH(LoanData[[#This Row],[Branch]],Reference_Tables!$A$11:$A$36,0))</f>
        <v>Lakshmi Reddy</v>
      </c>
      <c r="L917" s="35"/>
    </row>
    <row r="918" spans="2:12" ht="15.6" x14ac:dyDescent="0.3">
      <c r="B918" s="15">
        <f>DATEDIF(Loan_Data!K:K,Loan_Data!L:L,"D")</f>
        <v>4</v>
      </c>
      <c r="C918" s="15">
        <f ca="1">DATEDIF(LoanData[[#This Row],[Approval_Date]],TODAY(),"M")</f>
        <v>50</v>
      </c>
      <c r="D918" s="31">
        <f>EDATE(LoanData[[#This Row],[Approval_Date]],LoanData[[#This Row],[Loan_Term_Months]])</f>
        <v>46539</v>
      </c>
      <c r="E918" t="str">
        <f t="shared" ca="1" si="14"/>
        <v>NO</v>
      </c>
      <c r="F918" s="33">
        <f>IFERROR(LoanData[[#This Row],[EMI]]/LoanData[[#This Row],[Monthly_Income]]*100," ")</f>
        <v>7.914129610188585</v>
      </c>
      <c r="G918" t="str" cm="1">
        <f t="array" ref="G918">_xlfn.IFS(F918&gt;40, "High DTI Risk",F918&gt;=25, "Moderate DTI",F918&lt;25, "Low DTI")</f>
        <v>Low DTI</v>
      </c>
      <c r="H918" t="str" cm="1">
        <f t="array" ref="H9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18" t="str">
        <f>_xlfn.XLOOKUP(H918,Reference_Tables!$B$2:$B$7,Reference_Tables!$C$2:$C$7,,0,1)</f>
        <v>VHR</v>
      </c>
      <c r="J918" t="str">
        <f>INDEX(Reference_Tables!$D$11:$D$36,MATCH(LoanData[[#This Row],[Branch]],Reference_Tables!$A$11:$A$36,0))</f>
        <v>Suresh Menon</v>
      </c>
      <c r="L918" s="35"/>
    </row>
    <row r="919" spans="2:12" ht="15.6" x14ac:dyDescent="0.3">
      <c r="B919" s="15">
        <f>DATEDIF(Loan_Data!K:K,Loan_Data!L:L,"D")</f>
        <v>7</v>
      </c>
      <c r="C919" s="15">
        <f ca="1">DATEDIF(LoanData[[#This Row],[Approval_Date]],TODAY(),"M")</f>
        <v>32</v>
      </c>
      <c r="D919" s="31">
        <f>EDATE(LoanData[[#This Row],[Approval_Date]],LoanData[[#This Row],[Loan_Term_Months]])</f>
        <v>52560</v>
      </c>
      <c r="E919" t="str">
        <f t="shared" ca="1" si="14"/>
        <v>NO</v>
      </c>
      <c r="F919" s="33">
        <f>IFERROR(LoanData[[#This Row],[EMI]]/LoanData[[#This Row],[Monthly_Income]]*100," ")</f>
        <v>60.377915164824671</v>
      </c>
      <c r="G919" t="str" cm="1">
        <f t="array" ref="G919">_xlfn.IFS(F919&gt;40, "High DTI Risk",F919&gt;=25, "Moderate DTI",F919&lt;25, "Low DTI")</f>
        <v>High DTI Risk</v>
      </c>
      <c r="H919" t="str" cm="1">
        <f t="array" ref="H9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19" t="str">
        <f>_xlfn.XLOOKUP(H919,Reference_Tables!$B$2:$B$7,Reference_Tables!$C$2:$C$7,,0,1)</f>
        <v>VHR</v>
      </c>
      <c r="J919" t="str">
        <f>INDEX(Reference_Tables!$D$11:$D$36,MATCH(LoanData[[#This Row],[Branch]],Reference_Tables!$A$11:$A$36,0))</f>
        <v>Arvind Pillai</v>
      </c>
      <c r="L919" s="35"/>
    </row>
    <row r="920" spans="2:12" ht="15.6" x14ac:dyDescent="0.3">
      <c r="B920" s="15">
        <f>DATEDIF(Loan_Data!K:K,Loan_Data!L:L,"D")</f>
        <v>10</v>
      </c>
      <c r="C920" s="15">
        <f ca="1">DATEDIF(LoanData[[#This Row],[Approval_Date]],TODAY(),"M")</f>
        <v>43</v>
      </c>
      <c r="D920" s="31">
        <f>EDATE(LoanData[[#This Row],[Approval_Date]],LoanData[[#This Row],[Loan_Term_Months]])</f>
        <v>52234</v>
      </c>
      <c r="E920" t="str">
        <f t="shared" ca="1" si="14"/>
        <v>NO</v>
      </c>
      <c r="F920" s="33">
        <f>IFERROR(LoanData[[#This Row],[EMI]]/LoanData[[#This Row],[Monthly_Income]]*100," ")</f>
        <v>1.4002910400628168</v>
      </c>
      <c r="G920" t="str" cm="1">
        <f t="array" ref="G920">_xlfn.IFS(F920&gt;40, "High DTI Risk",F920&gt;=25, "Moderate DTI",F920&lt;25, "Low DTI")</f>
        <v>Low DTI</v>
      </c>
      <c r="H920" t="str" cm="1">
        <f t="array" ref="H9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20" t="str">
        <f>_xlfn.XLOOKUP(H920,Reference_Tables!$B$2:$B$7,Reference_Tables!$C$2:$C$7,,0,1)</f>
        <v>VHR</v>
      </c>
      <c r="J920" t="str">
        <f>INDEX(Reference_Tables!$D$11:$D$36,MATCH(LoanData[[#This Row],[Branch]],Reference_Tables!$A$11:$A$36,0))</f>
        <v>Amit Kumar</v>
      </c>
      <c r="L920" s="35"/>
    </row>
    <row r="921" spans="2:12" ht="15.6" x14ac:dyDescent="0.3">
      <c r="B921" s="15">
        <f>DATEDIF(Loan_Data!K:K,Loan_Data!L:L,"D")</f>
        <v>20</v>
      </c>
      <c r="C921" s="15">
        <f ca="1">DATEDIF(LoanData[[#This Row],[Approval_Date]],TODAY(),"M")</f>
        <v>54</v>
      </c>
      <c r="D921" s="31">
        <f>EDATE(LoanData[[#This Row],[Approval_Date]],LoanData[[#This Row],[Loan_Term_Months]])</f>
        <v>50065</v>
      </c>
      <c r="E921" t="str">
        <f t="shared" ca="1" si="14"/>
        <v>NO</v>
      </c>
      <c r="F921" s="33">
        <f>IFERROR(LoanData[[#This Row],[EMI]]/LoanData[[#This Row],[Monthly_Income]]*100," ")</f>
        <v>12.966410708869835</v>
      </c>
      <c r="G921" t="str" cm="1">
        <f t="array" ref="G921">_xlfn.IFS(F921&gt;40, "High DTI Risk",F921&gt;=25, "Moderate DTI",F921&lt;25, "Low DTI")</f>
        <v>Low DTI</v>
      </c>
      <c r="H921" t="str" cm="1">
        <f t="array" ref="H9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21" t="str">
        <f>_xlfn.XLOOKUP(H921,Reference_Tables!$B$2:$B$7,Reference_Tables!$C$2:$C$7,,0,1)</f>
        <v>VHR</v>
      </c>
      <c r="J921" t="str">
        <f>INDEX(Reference_Tables!$D$11:$D$36,MATCH(LoanData[[#This Row],[Branch]],Reference_Tables!$A$11:$A$36,0))</f>
        <v>Nilesh Shah</v>
      </c>
      <c r="L921" s="35"/>
    </row>
    <row r="922" spans="2:12" ht="15.6" x14ac:dyDescent="0.3">
      <c r="B922" s="15">
        <f>DATEDIF(Loan_Data!K:K,Loan_Data!L:L,"D")</f>
        <v>4</v>
      </c>
      <c r="C922" s="15">
        <f ca="1">DATEDIF(LoanData[[#This Row],[Approval_Date]],TODAY(),"M")</f>
        <v>37</v>
      </c>
      <c r="D922" s="31">
        <f>EDATE(LoanData[[#This Row],[Approval_Date]],LoanData[[#This Row],[Loan_Term_Months]])</f>
        <v>48751</v>
      </c>
      <c r="E922" t="str">
        <f t="shared" ca="1" si="14"/>
        <v>NO</v>
      </c>
      <c r="F922" s="33" t="str">
        <f>IFERROR(LoanData[[#This Row],[EMI]]/LoanData[[#This Row],[Monthly_Income]]*100," ")</f>
        <v xml:space="preserve"> </v>
      </c>
      <c r="G922" t="str" cm="1">
        <f t="array" ref="G922">_xlfn.IFS(F922&gt;40, "High DTI Risk",F922&gt;=25, "Moderate DTI",F922&lt;25, "Low DTI")</f>
        <v>High DTI Risk</v>
      </c>
      <c r="H922" t="str" cm="1">
        <f t="array" ref="H9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22" t="str">
        <f>_xlfn.XLOOKUP(H922,Reference_Tables!$B$2:$B$7,Reference_Tables!$C$2:$C$7,,0,1)</f>
        <v>VHR</v>
      </c>
      <c r="J922" t="str">
        <f>INDEX(Reference_Tables!$D$11:$D$36,MATCH(LoanData[[#This Row],[Branch]],Reference_Tables!$A$11:$A$36,0))</f>
        <v>Suresh Menon</v>
      </c>
      <c r="L922" s="35"/>
    </row>
    <row r="923" spans="2:12" ht="15.6" x14ac:dyDescent="0.3">
      <c r="B923" s="15">
        <f>DATEDIF(Loan_Data!K:K,Loan_Data!L:L,"D")</f>
        <v>16</v>
      </c>
      <c r="C923" s="15">
        <f ca="1">DATEDIF(LoanData[[#This Row],[Approval_Date]],TODAY(),"M")</f>
        <v>31</v>
      </c>
      <c r="D923" s="31">
        <f>EDATE(LoanData[[#This Row],[Approval_Date]],LoanData[[#This Row],[Loan_Term_Months]])</f>
        <v>50768</v>
      </c>
      <c r="E923" t="str">
        <f t="shared" ca="1" si="14"/>
        <v>NO</v>
      </c>
      <c r="F923" s="33">
        <f>IFERROR(LoanData[[#This Row],[EMI]]/LoanData[[#This Row],[Monthly_Income]]*100," ")</f>
        <v>2.5661105690859838</v>
      </c>
      <c r="G923" t="str" cm="1">
        <f t="array" ref="G923">_xlfn.IFS(F923&gt;40, "High DTI Risk",F923&gt;=25, "Moderate DTI",F923&lt;25, "Low DTI")</f>
        <v>Low DTI</v>
      </c>
      <c r="H923" t="str" cm="1">
        <f t="array" ref="H9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23" t="str">
        <f>_xlfn.XLOOKUP(H923,Reference_Tables!$B$2:$B$7,Reference_Tables!$C$2:$C$7,,0,1)</f>
        <v>VHR</v>
      </c>
      <c r="J923" t="str">
        <f>INDEX(Reference_Tables!$D$11:$D$36,MATCH(LoanData[[#This Row],[Branch]],Reference_Tables!$A$11:$A$36,0))</f>
        <v>Priyanka Gupta</v>
      </c>
      <c r="L923" s="35"/>
    </row>
    <row r="924" spans="2:12" ht="15.6" x14ac:dyDescent="0.3">
      <c r="B924" s="15">
        <f>DATEDIF(Loan_Data!K:K,Loan_Data!L:L,"D")</f>
        <v>18</v>
      </c>
      <c r="C924" s="15">
        <f ca="1">DATEDIF(LoanData[[#This Row],[Approval_Date]],TODAY(),"M")</f>
        <v>56</v>
      </c>
      <c r="D924" s="31">
        <f>EDATE(LoanData[[#This Row],[Approval_Date]],LoanData[[#This Row],[Loan_Term_Months]])</f>
        <v>48193</v>
      </c>
      <c r="E924" t="str">
        <f t="shared" ca="1" si="14"/>
        <v>NO</v>
      </c>
      <c r="F924" s="33">
        <f>IFERROR(LoanData[[#This Row],[EMI]]/LoanData[[#This Row],[Monthly_Income]]*100," ")</f>
        <v>8.9659210731015886</v>
      </c>
      <c r="G924" t="str" cm="1">
        <f t="array" ref="G924">_xlfn.IFS(F924&gt;40, "High DTI Risk",F924&gt;=25, "Moderate DTI",F924&lt;25, "Low DTI")</f>
        <v>Low DTI</v>
      </c>
      <c r="H924" t="str" cm="1">
        <f t="array" ref="H9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24" t="str">
        <f>_xlfn.XLOOKUP(H924,Reference_Tables!$B$2:$B$7,Reference_Tables!$C$2:$C$7,,0,1)</f>
        <v>HR</v>
      </c>
      <c r="J924" t="str">
        <f>INDEX(Reference_Tables!$D$11:$D$36,MATCH(LoanData[[#This Row],[Branch]],Reference_Tables!$A$11:$A$36,0))</f>
        <v>Anil Mishra</v>
      </c>
      <c r="L924" s="35"/>
    </row>
    <row r="925" spans="2:12" ht="15.6" x14ac:dyDescent="0.3">
      <c r="B925" s="15">
        <f>DATEDIF(Loan_Data!K:K,Loan_Data!L:L,"D")</f>
        <v>18</v>
      </c>
      <c r="C925" s="15">
        <f ca="1">DATEDIF(LoanData[[#This Row],[Approval_Date]],TODAY(),"M")</f>
        <v>46</v>
      </c>
      <c r="D925" s="31">
        <f>EDATE(LoanData[[#This Row],[Approval_Date]],LoanData[[#This Row],[Loan_Term_Months]])</f>
        <v>48481</v>
      </c>
      <c r="E925" t="str">
        <f t="shared" ca="1" si="14"/>
        <v>NO</v>
      </c>
      <c r="F925" s="33">
        <f>IFERROR(LoanData[[#This Row],[EMI]]/LoanData[[#This Row],[Monthly_Income]]*100," ")</f>
        <v>2.0887817258883246</v>
      </c>
      <c r="G925" t="str" cm="1">
        <f t="array" ref="G925">_xlfn.IFS(F925&gt;40, "High DTI Risk",F925&gt;=25, "Moderate DTI",F925&lt;25, "Low DTI")</f>
        <v>Low DTI</v>
      </c>
      <c r="H925" t="str" cm="1">
        <f t="array" ref="H9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25" t="str">
        <f>_xlfn.XLOOKUP(H925,Reference_Tables!$B$2:$B$7,Reference_Tables!$C$2:$C$7,,0,1)</f>
        <v>HR</v>
      </c>
      <c r="J925" t="str">
        <f>INDEX(Reference_Tables!$D$11:$D$36,MATCH(LoanData[[#This Row],[Branch]],Reference_Tables!$A$11:$A$36,0))</f>
        <v>Sandeep Saxena</v>
      </c>
      <c r="L925" s="35"/>
    </row>
    <row r="926" spans="2:12" ht="15.6" x14ac:dyDescent="0.3">
      <c r="B926" s="15">
        <f>DATEDIF(Loan_Data!K:K,Loan_Data!L:L,"D")</f>
        <v>19</v>
      </c>
      <c r="C926" s="15">
        <f ca="1">DATEDIF(LoanData[[#This Row],[Approval_Date]],TODAY(),"M")</f>
        <v>34</v>
      </c>
      <c r="D926" s="31">
        <f>EDATE(LoanData[[#This Row],[Approval_Date]],LoanData[[#This Row],[Loan_Term_Months]])</f>
        <v>50674</v>
      </c>
      <c r="E926" t="str">
        <f t="shared" ca="1" si="14"/>
        <v>NO</v>
      </c>
      <c r="F926" s="33">
        <f>IFERROR(LoanData[[#This Row],[EMI]]/LoanData[[#This Row],[Monthly_Income]]*100," ")</f>
        <v>7.212315524119532</v>
      </c>
      <c r="G926" t="str" cm="1">
        <f t="array" ref="G926">_xlfn.IFS(F926&gt;40, "High DTI Risk",F926&gt;=25, "Moderate DTI",F926&lt;25, "Low DTI")</f>
        <v>Low DTI</v>
      </c>
      <c r="H926" t="str" cm="1">
        <f t="array" ref="H9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26" t="str">
        <f>_xlfn.XLOOKUP(H926,Reference_Tables!$B$2:$B$7,Reference_Tables!$C$2:$C$7,,0,1)</f>
        <v>VHR</v>
      </c>
      <c r="J926" t="str">
        <f>INDEX(Reference_Tables!$D$11:$D$36,MATCH(LoanData[[#This Row],[Branch]],Reference_Tables!$A$11:$A$36,0))</f>
        <v>Suman Tiwari</v>
      </c>
      <c r="L926" s="35"/>
    </row>
    <row r="927" spans="2:12" ht="15.6" x14ac:dyDescent="0.3">
      <c r="B927" s="15">
        <f>DATEDIF(Loan_Data!K:K,Loan_Data!L:L,"D")</f>
        <v>10</v>
      </c>
      <c r="C927" s="15">
        <f ca="1">DATEDIF(LoanData[[#This Row],[Approval_Date]],TODAY(),"M")</f>
        <v>47</v>
      </c>
      <c r="D927" s="31">
        <f>EDATE(LoanData[[#This Row],[Approval_Date]],LoanData[[#This Row],[Loan_Term_Months]])</f>
        <v>52123</v>
      </c>
      <c r="E927" t="str">
        <f t="shared" ca="1" si="14"/>
        <v>NO</v>
      </c>
      <c r="F927" s="33">
        <f>IFERROR(LoanData[[#This Row],[EMI]]/LoanData[[#This Row],[Monthly_Income]]*100," ")</f>
        <v>1.8513401742097237</v>
      </c>
      <c r="G927" t="str" cm="1">
        <f t="array" ref="G927">_xlfn.IFS(F927&gt;40, "High DTI Risk",F927&gt;=25, "Moderate DTI",F927&lt;25, "Low DTI")</f>
        <v>Low DTI</v>
      </c>
      <c r="H927" t="str" cm="1">
        <f t="array" ref="H9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27" t="str">
        <f>_xlfn.XLOOKUP(H927,Reference_Tables!$B$2:$B$7,Reference_Tables!$C$2:$C$7,,0,1)</f>
        <v>LR</v>
      </c>
      <c r="J927" t="str">
        <f>INDEX(Reference_Tables!$D$11:$D$36,MATCH(LoanData[[#This Row],[Branch]],Reference_Tables!$A$11:$A$36,0))</f>
        <v>Meena Iyer</v>
      </c>
      <c r="L927" s="35"/>
    </row>
    <row r="928" spans="2:12" ht="15.6" x14ac:dyDescent="0.3">
      <c r="B928" s="15">
        <f>DATEDIF(Loan_Data!K:K,Loan_Data!L:L,"D")</f>
        <v>15</v>
      </c>
      <c r="C928" s="15">
        <f ca="1">DATEDIF(LoanData[[#This Row],[Approval_Date]],TODAY(),"M")</f>
        <v>41</v>
      </c>
      <c r="D928" s="31">
        <f>EDATE(LoanData[[#This Row],[Approval_Date]],LoanData[[#This Row],[Loan_Term_Months]])</f>
        <v>47546</v>
      </c>
      <c r="E928" t="str">
        <f t="shared" ca="1" si="14"/>
        <v>NO</v>
      </c>
      <c r="F928" s="33">
        <f>IFERROR(LoanData[[#This Row],[EMI]]/LoanData[[#This Row],[Monthly_Income]]*100," ")</f>
        <v>8.01219039853226</v>
      </c>
      <c r="G928" t="str" cm="1">
        <f t="array" ref="G928">_xlfn.IFS(F928&gt;40, "High DTI Risk",F928&gt;=25, "Moderate DTI",F928&lt;25, "Low DTI")</f>
        <v>Low DTI</v>
      </c>
      <c r="H928" t="str" cm="1">
        <f t="array" ref="H9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28" t="str">
        <f>_xlfn.XLOOKUP(H928,Reference_Tables!$B$2:$B$7,Reference_Tables!$C$2:$C$7,,0,1)</f>
        <v>HR</v>
      </c>
      <c r="J928" t="str">
        <f>INDEX(Reference_Tables!$D$11:$D$36,MATCH(LoanData[[#This Row],[Branch]],Reference_Tables!$A$11:$A$36,0))</f>
        <v>Deepak Nair</v>
      </c>
      <c r="L928" s="35"/>
    </row>
    <row r="929" spans="2:12" ht="15.6" x14ac:dyDescent="0.3">
      <c r="B929" s="15">
        <f>DATEDIF(Loan_Data!K:K,Loan_Data!L:L,"D")</f>
        <v>13</v>
      </c>
      <c r="C929" s="15">
        <f ca="1">DATEDIF(LoanData[[#This Row],[Approval_Date]],TODAY(),"M")</f>
        <v>59</v>
      </c>
      <c r="D929" s="31">
        <f>EDATE(LoanData[[#This Row],[Approval_Date]],LoanData[[#This Row],[Loan_Term_Months]])</f>
        <v>51745</v>
      </c>
      <c r="E929" t="str">
        <f t="shared" ca="1" si="14"/>
        <v>NO</v>
      </c>
      <c r="F929" s="33">
        <f>IFERROR(LoanData[[#This Row],[EMI]]/LoanData[[#This Row],[Monthly_Income]]*100," ")</f>
        <v>9.8743065083815544</v>
      </c>
      <c r="G929" t="str" cm="1">
        <f t="array" ref="G929">_xlfn.IFS(F929&gt;40, "High DTI Risk",F929&gt;=25, "Moderate DTI",F929&lt;25, "Low DTI")</f>
        <v>Low DTI</v>
      </c>
      <c r="H929" t="str" cm="1">
        <f t="array" ref="H9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29" t="str">
        <f>_xlfn.XLOOKUP(H929,Reference_Tables!$B$2:$B$7,Reference_Tables!$C$2:$C$7,,0,1)</f>
        <v>LR</v>
      </c>
      <c r="J929" t="str">
        <f>INDEX(Reference_Tables!$D$11:$D$36,MATCH(LoanData[[#This Row],[Branch]],Reference_Tables!$A$11:$A$36,0))</f>
        <v>Sachin Deshpande</v>
      </c>
      <c r="L929" s="35"/>
    </row>
    <row r="930" spans="2:12" ht="15.6" x14ac:dyDescent="0.3">
      <c r="B930" s="15">
        <f>DATEDIF(Loan_Data!K:K,Loan_Data!L:L,"D")</f>
        <v>17</v>
      </c>
      <c r="C930" s="15">
        <f ca="1">DATEDIF(LoanData[[#This Row],[Approval_Date]],TODAY(),"M")</f>
        <v>63</v>
      </c>
      <c r="D930" s="31">
        <f>EDATE(LoanData[[#This Row],[Approval_Date]],LoanData[[#This Row],[Loan_Term_Months]])</f>
        <v>49806</v>
      </c>
      <c r="E930" t="str">
        <f t="shared" ca="1" si="14"/>
        <v>NO</v>
      </c>
      <c r="F930" s="33">
        <f>IFERROR(LoanData[[#This Row],[EMI]]/LoanData[[#This Row],[Monthly_Income]]*100," ")</f>
        <v>2.1456246495786577</v>
      </c>
      <c r="G930" t="str" cm="1">
        <f t="array" ref="G930">_xlfn.IFS(F930&gt;40, "High DTI Risk",F930&gt;=25, "Moderate DTI",F930&lt;25, "Low DTI")</f>
        <v>Low DTI</v>
      </c>
      <c r="H930" t="str" cm="1">
        <f t="array" ref="H9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30" t="str">
        <f>_xlfn.XLOOKUP(H930,Reference_Tables!$B$2:$B$7,Reference_Tables!$C$2:$C$7,,0,1)</f>
        <v>LR</v>
      </c>
      <c r="J930" t="str">
        <f>INDEX(Reference_Tables!$D$11:$D$36,MATCH(LoanData[[#This Row],[Branch]],Reference_Tables!$A$11:$A$36,0))</f>
        <v>Nilesh Shah</v>
      </c>
      <c r="L930" s="35"/>
    </row>
    <row r="931" spans="2:12" ht="15.6" x14ac:dyDescent="0.3">
      <c r="B931" s="15">
        <f>DATEDIF(Loan_Data!K:K,Loan_Data!L:L,"D")</f>
        <v>22</v>
      </c>
      <c r="C931" s="15">
        <f ca="1">DATEDIF(LoanData[[#This Row],[Approval_Date]],TODAY(),"M")</f>
        <v>38</v>
      </c>
      <c r="D931" s="31">
        <f>EDATE(LoanData[[#This Row],[Approval_Date]],LoanData[[#This Row],[Loan_Term_Months]])</f>
        <v>46538</v>
      </c>
      <c r="E931" t="str">
        <f t="shared" ca="1" si="14"/>
        <v>NO</v>
      </c>
      <c r="F931" s="33">
        <f>IFERROR(LoanData[[#This Row],[EMI]]/LoanData[[#This Row],[Monthly_Income]]*100," ")</f>
        <v>1.7815654268361361</v>
      </c>
      <c r="G931" t="str" cm="1">
        <f t="array" ref="G931">_xlfn.IFS(F931&gt;40, "High DTI Risk",F931&gt;=25, "Moderate DTI",F931&lt;25, "Low DTI")</f>
        <v>Low DTI</v>
      </c>
      <c r="H931" t="str" cm="1">
        <f t="array" ref="H9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31" t="str">
        <f>_xlfn.XLOOKUP(H931,Reference_Tables!$B$2:$B$7,Reference_Tables!$C$2:$C$7,,0,1)</f>
        <v>HR</v>
      </c>
      <c r="J931" t="str">
        <f>INDEX(Reference_Tables!$D$11:$D$36,MATCH(LoanData[[#This Row],[Branch]],Reference_Tables!$A$11:$A$36,0))</f>
        <v>Santhosh Rao</v>
      </c>
      <c r="L931" s="35"/>
    </row>
    <row r="932" spans="2:12" ht="15.6" x14ac:dyDescent="0.3">
      <c r="B932" s="15">
        <f>DATEDIF(Loan_Data!K:K,Loan_Data!L:L,"D")</f>
        <v>16</v>
      </c>
      <c r="C932" s="15">
        <f ca="1">DATEDIF(LoanData[[#This Row],[Approval_Date]],TODAY(),"M")</f>
        <v>52</v>
      </c>
      <c r="D932" s="31">
        <f>EDATE(LoanData[[#This Row],[Approval_Date]],LoanData[[#This Row],[Loan_Term_Months]])</f>
        <v>47222</v>
      </c>
      <c r="E932" t="str">
        <f t="shared" ca="1" si="14"/>
        <v>NO</v>
      </c>
      <c r="F932" s="33">
        <f>IFERROR(LoanData[[#This Row],[EMI]]/LoanData[[#This Row],[Monthly_Income]]*100," ")</f>
        <v>38.859106619187259</v>
      </c>
      <c r="G932" t="str" cm="1">
        <f t="array" ref="G932">_xlfn.IFS(F932&gt;40, "High DTI Risk",F932&gt;=25, "Moderate DTI",F932&lt;25, "Low DTI")</f>
        <v>Moderate DTI</v>
      </c>
      <c r="H932" t="str" cm="1">
        <f t="array" ref="H9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32" t="str">
        <f>_xlfn.XLOOKUP(H932,Reference_Tables!$B$2:$B$7,Reference_Tables!$C$2:$C$7,,0,1)</f>
        <v>VHR</v>
      </c>
      <c r="J932" t="str">
        <f>INDEX(Reference_Tables!$D$11:$D$36,MATCH(LoanData[[#This Row],[Branch]],Reference_Tables!$A$11:$A$36,0))</f>
        <v>Puja Chatterjee</v>
      </c>
      <c r="L932" s="35"/>
    </row>
    <row r="933" spans="2:12" ht="15.6" x14ac:dyDescent="0.3">
      <c r="B933" s="15">
        <f>DATEDIF(Loan_Data!K:K,Loan_Data!L:L,"D")</f>
        <v>18</v>
      </c>
      <c r="C933" s="15">
        <f ca="1">DATEDIF(LoanData[[#This Row],[Approval_Date]],TODAY(),"M")</f>
        <v>50</v>
      </c>
      <c r="D933" s="31">
        <f>EDATE(LoanData[[#This Row],[Approval_Date]],LoanData[[#This Row],[Loan_Term_Months]])</f>
        <v>48371</v>
      </c>
      <c r="E933" t="str">
        <f t="shared" ca="1" si="14"/>
        <v>NO</v>
      </c>
      <c r="F933" s="33">
        <f>IFERROR(LoanData[[#This Row],[EMI]]/LoanData[[#This Row],[Monthly_Income]]*100," ")</f>
        <v>6.6637612701268996</v>
      </c>
      <c r="G933" t="str" cm="1">
        <f t="array" ref="G933">_xlfn.IFS(F933&gt;40, "High DTI Risk",F933&gt;=25, "Moderate DTI",F933&lt;25, "Low DTI")</f>
        <v>Low DTI</v>
      </c>
      <c r="H933" t="str" cm="1">
        <f t="array" ref="H9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33" t="str">
        <f>_xlfn.XLOOKUP(H933,Reference_Tables!$B$2:$B$7,Reference_Tables!$C$2:$C$7,,0,1)</f>
        <v>HR</v>
      </c>
      <c r="J933" t="str">
        <f>INDEX(Reference_Tables!$D$11:$D$36,MATCH(LoanData[[#This Row],[Branch]],Reference_Tables!$A$11:$A$36,0))</f>
        <v>Lakshmi Reddy</v>
      </c>
      <c r="L933" s="35"/>
    </row>
    <row r="934" spans="2:12" ht="15.6" x14ac:dyDescent="0.3">
      <c r="B934" s="15">
        <f>DATEDIF(Loan_Data!K:K,Loan_Data!L:L,"D")</f>
        <v>11</v>
      </c>
      <c r="C934" s="15">
        <f ca="1">DATEDIF(LoanData[[#This Row],[Approval_Date]],TODAY(),"M")</f>
        <v>35</v>
      </c>
      <c r="D934" s="31">
        <f>EDATE(LoanData[[#This Row],[Approval_Date]],LoanData[[#This Row],[Loan_Term_Months]])</f>
        <v>47738</v>
      </c>
      <c r="E934" t="str">
        <f t="shared" ca="1" si="14"/>
        <v>NO</v>
      </c>
      <c r="F934" s="33">
        <f>IFERROR(LoanData[[#This Row],[EMI]]/LoanData[[#This Row],[Monthly_Income]]*100," ")</f>
        <v>21.397146551630467</v>
      </c>
      <c r="G934" t="str" cm="1">
        <f t="array" ref="G934">_xlfn.IFS(F934&gt;40, "High DTI Risk",F934&gt;=25, "Moderate DTI",F934&lt;25, "Low DTI")</f>
        <v>Low DTI</v>
      </c>
      <c r="H934" t="str" cm="1">
        <f t="array" ref="H9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34" t="str">
        <f>_xlfn.XLOOKUP(H934,Reference_Tables!$B$2:$B$7,Reference_Tables!$C$2:$C$7,,0,1)</f>
        <v>LR</v>
      </c>
      <c r="J934" t="str">
        <f>INDEX(Reference_Tables!$D$11:$D$36,MATCH(LoanData[[#This Row],[Branch]],Reference_Tables!$A$11:$A$36,0))</f>
        <v>Vikram Malhotra</v>
      </c>
      <c r="L934" s="35"/>
    </row>
    <row r="935" spans="2:12" ht="15.6" x14ac:dyDescent="0.3">
      <c r="B935" s="15">
        <f>DATEDIF(Loan_Data!K:K,Loan_Data!L:L,"D")</f>
        <v>26</v>
      </c>
      <c r="C935" s="15">
        <f ca="1">DATEDIF(LoanData[[#This Row],[Approval_Date]],TODAY(),"M")</f>
        <v>56</v>
      </c>
      <c r="D935" s="31">
        <f>EDATE(LoanData[[#This Row],[Approval_Date]],LoanData[[#This Row],[Loan_Term_Months]])</f>
        <v>45999</v>
      </c>
      <c r="E935" t="str">
        <f t="shared" ca="1" si="14"/>
        <v>YES</v>
      </c>
      <c r="F935" s="33">
        <f>IFERROR(LoanData[[#This Row],[EMI]]/LoanData[[#This Row],[Monthly_Income]]*100," ")</f>
        <v>63.380164663370508</v>
      </c>
      <c r="G935" t="str" cm="1">
        <f t="array" ref="G935">_xlfn.IFS(F935&gt;40, "High DTI Risk",F935&gt;=25, "Moderate DTI",F935&lt;25, "Low DTI")</f>
        <v>High DTI Risk</v>
      </c>
      <c r="H935" t="str" cm="1">
        <f t="array" ref="H9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35" t="str">
        <f>_xlfn.XLOOKUP(H935,Reference_Tables!$B$2:$B$7,Reference_Tables!$C$2:$C$7,,0,1)</f>
        <v>HR</v>
      </c>
      <c r="J935" t="str">
        <f>INDEX(Reference_Tables!$D$11:$D$36,MATCH(LoanData[[#This Row],[Branch]],Reference_Tables!$A$11:$A$36,0))</f>
        <v>Lakshmi Reddy</v>
      </c>
      <c r="L935" s="35"/>
    </row>
    <row r="936" spans="2:12" ht="15.6" x14ac:dyDescent="0.3">
      <c r="B936" s="15">
        <f>DATEDIF(Loan_Data!K:K,Loan_Data!L:L,"D")</f>
        <v>12</v>
      </c>
      <c r="C936" s="15">
        <f ca="1">DATEDIF(LoanData[[#This Row],[Approval_Date]],TODAY(),"M")</f>
        <v>58</v>
      </c>
      <c r="D936" s="31">
        <f>EDATE(LoanData[[#This Row],[Approval_Date]],LoanData[[#This Row],[Loan_Term_Months]])</f>
        <v>48139</v>
      </c>
      <c r="E936" t="str">
        <f t="shared" ca="1" si="14"/>
        <v>NO</v>
      </c>
      <c r="F936" s="33">
        <f>IFERROR(LoanData[[#This Row],[EMI]]/LoanData[[#This Row],[Monthly_Income]]*100," ")</f>
        <v>5.9752019115281625</v>
      </c>
      <c r="G936" t="str" cm="1">
        <f t="array" ref="G936">_xlfn.IFS(F936&gt;40, "High DTI Risk",F936&gt;=25, "Moderate DTI",F936&lt;25, "Low DTI")</f>
        <v>Low DTI</v>
      </c>
      <c r="H936" t="str" cm="1">
        <f t="array" ref="H9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36" t="str">
        <f>_xlfn.XLOOKUP(H936,Reference_Tables!$B$2:$B$7,Reference_Tables!$C$2:$C$7,,0,1)</f>
        <v>LR</v>
      </c>
      <c r="J936" t="str">
        <f>INDEX(Reference_Tables!$D$11:$D$36,MATCH(LoanData[[#This Row],[Branch]],Reference_Tables!$A$11:$A$36,0))</f>
        <v>Amit Kumar</v>
      </c>
      <c r="L936" s="35"/>
    </row>
    <row r="937" spans="2:12" ht="15.6" x14ac:dyDescent="0.3">
      <c r="B937" s="15">
        <f>DATEDIF(Loan_Data!K:K,Loan_Data!L:L,"D")</f>
        <v>21</v>
      </c>
      <c r="C937" s="15">
        <f ca="1">DATEDIF(LoanData[[#This Row],[Approval_Date]],TODAY(),"M")</f>
        <v>63</v>
      </c>
      <c r="D937" s="31">
        <f>EDATE(LoanData[[#This Row],[Approval_Date]],LoanData[[#This Row],[Loan_Term_Months]])</f>
        <v>51613</v>
      </c>
      <c r="E937" t="str">
        <f t="shared" ca="1" si="14"/>
        <v>NO</v>
      </c>
      <c r="F937" s="33">
        <f>IFERROR(LoanData[[#This Row],[EMI]]/LoanData[[#This Row],[Monthly_Income]]*100," ")</f>
        <v>1.5740320853690357</v>
      </c>
      <c r="G937" t="str" cm="1">
        <f t="array" ref="G937">_xlfn.IFS(F937&gt;40, "High DTI Risk",F937&gt;=25, "Moderate DTI",F937&lt;25, "Low DTI")</f>
        <v>Low DTI</v>
      </c>
      <c r="H937" t="str" cm="1">
        <f t="array" ref="H9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37" t="str">
        <f>_xlfn.XLOOKUP(H937,Reference_Tables!$B$2:$B$7,Reference_Tables!$C$2:$C$7,,0,1)</f>
        <v>VHR</v>
      </c>
      <c r="J937" t="str">
        <f>INDEX(Reference_Tables!$D$11:$D$36,MATCH(LoanData[[#This Row],[Branch]],Reference_Tables!$A$11:$A$36,0))</f>
        <v>Arvind Pillai</v>
      </c>
      <c r="L937" s="35"/>
    </row>
    <row r="938" spans="2:12" ht="15.6" x14ac:dyDescent="0.3">
      <c r="B938" s="15">
        <f>DATEDIF(Loan_Data!K:K,Loan_Data!L:L,"D")</f>
        <v>7</v>
      </c>
      <c r="C938" s="15">
        <f ca="1">DATEDIF(LoanData[[#This Row],[Approval_Date]],TODAY(),"M")</f>
        <v>33</v>
      </c>
      <c r="D938" s="31">
        <f>EDATE(LoanData[[#This Row],[Approval_Date]],LoanData[[#This Row],[Loan_Term_Months]])</f>
        <v>45959</v>
      </c>
      <c r="E938" t="str">
        <f t="shared" ca="1" si="14"/>
        <v>YES</v>
      </c>
      <c r="F938" s="33">
        <f>IFERROR(LoanData[[#This Row],[EMI]]/LoanData[[#This Row],[Monthly_Income]]*100," ")</f>
        <v>5.4619844758253056</v>
      </c>
      <c r="G938" t="str" cm="1">
        <f t="array" ref="G938">_xlfn.IFS(F938&gt;40, "High DTI Risk",F938&gt;=25, "Moderate DTI",F938&lt;25, "Low DTI")</f>
        <v>Low DTI</v>
      </c>
      <c r="H938" t="str" cm="1">
        <f t="array" ref="H9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38" t="str">
        <f>_xlfn.XLOOKUP(H938,Reference_Tables!$B$2:$B$7,Reference_Tables!$C$2:$C$7,,0,1)</f>
        <v>LR</v>
      </c>
      <c r="J938" t="str">
        <f>INDEX(Reference_Tables!$D$11:$D$36,MATCH(LoanData[[#This Row],[Branch]],Reference_Tables!$A$11:$A$36,0))</f>
        <v>Amit Kumar</v>
      </c>
      <c r="L938" s="35"/>
    </row>
    <row r="939" spans="2:12" ht="15.6" x14ac:dyDescent="0.3">
      <c r="B939" s="15">
        <f>DATEDIF(Loan_Data!K:K,Loan_Data!L:L,"D")</f>
        <v>24</v>
      </c>
      <c r="C939" s="15">
        <f ca="1">DATEDIF(LoanData[[#This Row],[Approval_Date]],TODAY(),"M")</f>
        <v>59</v>
      </c>
      <c r="D939" s="31">
        <f>EDATE(LoanData[[#This Row],[Approval_Date]],LoanData[[#This Row],[Loan_Term_Months]])</f>
        <v>49923</v>
      </c>
      <c r="E939" t="str">
        <f t="shared" ca="1" si="14"/>
        <v>NO</v>
      </c>
      <c r="F939" s="33">
        <f>IFERROR(LoanData[[#This Row],[EMI]]/LoanData[[#This Row],[Monthly_Income]]*100," ")</f>
        <v>8.870046899630875</v>
      </c>
      <c r="G939" t="str" cm="1">
        <f t="array" ref="G939">_xlfn.IFS(F939&gt;40, "High DTI Risk",F939&gt;=25, "Moderate DTI",F939&lt;25, "Low DTI")</f>
        <v>Low DTI</v>
      </c>
      <c r="H939" t="str" cm="1">
        <f t="array" ref="H9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39" t="str">
        <f>_xlfn.XLOOKUP(H939,Reference_Tables!$B$2:$B$7,Reference_Tables!$C$2:$C$7,,0,1)</f>
        <v>VHR</v>
      </c>
      <c r="J939" t="str">
        <f>INDEX(Reference_Tables!$D$11:$D$36,MATCH(LoanData[[#This Row],[Branch]],Reference_Tables!$A$11:$A$36,0))</f>
        <v>Ananya Sharma</v>
      </c>
      <c r="L939" s="35"/>
    </row>
    <row r="940" spans="2:12" ht="15.6" x14ac:dyDescent="0.3">
      <c r="B940" s="15">
        <f>DATEDIF(Loan_Data!K:K,Loan_Data!L:L,"D")</f>
        <v>15</v>
      </c>
      <c r="C940" s="15">
        <f ca="1">DATEDIF(LoanData[[#This Row],[Approval_Date]],TODAY(),"M")</f>
        <v>37</v>
      </c>
      <c r="D940" s="31">
        <f>EDATE(LoanData[[#This Row],[Approval_Date]],LoanData[[#This Row],[Loan_Term_Months]])</f>
        <v>47654</v>
      </c>
      <c r="E940" t="str">
        <f t="shared" ca="1" si="14"/>
        <v>NO</v>
      </c>
      <c r="F940" s="33" t="str">
        <f>IFERROR(LoanData[[#This Row],[EMI]]/LoanData[[#This Row],[Monthly_Income]]*100," ")</f>
        <v xml:space="preserve"> </v>
      </c>
      <c r="G940" t="str" cm="1">
        <f t="array" ref="G940">_xlfn.IFS(F940&gt;40, "High DTI Risk",F940&gt;=25, "Moderate DTI",F940&lt;25, "Low DTI")</f>
        <v>High DTI Risk</v>
      </c>
      <c r="H940" t="str" cm="1">
        <f t="array" ref="H9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40" t="str">
        <f>_xlfn.XLOOKUP(H940,Reference_Tables!$B$2:$B$7,Reference_Tables!$C$2:$C$7,,0,1)</f>
        <v>VHR</v>
      </c>
      <c r="J940" t="str">
        <f>INDEX(Reference_Tables!$D$11:$D$36,MATCH(LoanData[[#This Row],[Branch]],Reference_Tables!$A$11:$A$36,0))</f>
        <v>Kavita Joshi</v>
      </c>
      <c r="L940" s="35"/>
    </row>
    <row r="941" spans="2:12" ht="15.6" x14ac:dyDescent="0.3">
      <c r="B941" s="15">
        <f>DATEDIF(Loan_Data!K:K,Loan_Data!L:L,"D")</f>
        <v>30</v>
      </c>
      <c r="C941" s="15">
        <f ca="1">DATEDIF(LoanData[[#This Row],[Approval_Date]],TODAY(),"M")</f>
        <v>42</v>
      </c>
      <c r="D941" s="31">
        <f>EDATE(LoanData[[#This Row],[Approval_Date]],LoanData[[#This Row],[Loan_Term_Months]])</f>
        <v>47502</v>
      </c>
      <c r="E941" t="str">
        <f t="shared" ca="1" si="14"/>
        <v>NO</v>
      </c>
      <c r="F941" s="33">
        <f>IFERROR(LoanData[[#This Row],[EMI]]/LoanData[[#This Row],[Monthly_Income]]*100," ")</f>
        <v>3.3419416978945629</v>
      </c>
      <c r="G941" t="str" cm="1">
        <f t="array" ref="G941">_xlfn.IFS(F941&gt;40, "High DTI Risk",F941&gt;=25, "Moderate DTI",F941&lt;25, "Low DTI")</f>
        <v>Low DTI</v>
      </c>
      <c r="H941" t="str" cm="1">
        <f t="array" ref="H9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41" t="str">
        <f>_xlfn.XLOOKUP(H941,Reference_Tables!$B$2:$B$7,Reference_Tables!$C$2:$C$7,,0,1)</f>
        <v>MR</v>
      </c>
      <c r="J941" t="str">
        <f>INDEX(Reference_Tables!$D$11:$D$36,MATCH(LoanData[[#This Row],[Branch]],Reference_Tables!$A$11:$A$36,0))</f>
        <v>Vikram Malhotra</v>
      </c>
      <c r="L941" s="35"/>
    </row>
    <row r="942" spans="2:12" ht="15.6" x14ac:dyDescent="0.3">
      <c r="B942" s="15">
        <f>DATEDIF(Loan_Data!K:K,Loan_Data!L:L,"D")</f>
        <v>13</v>
      </c>
      <c r="C942" s="15">
        <f ca="1">DATEDIF(LoanData[[#This Row],[Approval_Date]],TODAY(),"M")</f>
        <v>55</v>
      </c>
      <c r="D942" s="31">
        <f>EDATE(LoanData[[#This Row],[Approval_Date]],LoanData[[#This Row],[Loan_Term_Months]])</f>
        <v>46015</v>
      </c>
      <c r="E942" t="str">
        <f t="shared" ca="1" si="14"/>
        <v>YES</v>
      </c>
      <c r="F942" s="33">
        <f>IFERROR(LoanData[[#This Row],[EMI]]/LoanData[[#This Row],[Monthly_Income]]*100," ")</f>
        <v>116.73490747393154</v>
      </c>
      <c r="G942" t="str" cm="1">
        <f t="array" ref="G942">_xlfn.IFS(F942&gt;40, "High DTI Risk",F942&gt;=25, "Moderate DTI",F942&lt;25, "Low DTI")</f>
        <v>High DTI Risk</v>
      </c>
      <c r="H942" t="str" cm="1">
        <f t="array" ref="H9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42" t="str">
        <f>_xlfn.XLOOKUP(H942,Reference_Tables!$B$2:$B$7,Reference_Tables!$C$2:$C$7,,0,1)</f>
        <v>LR</v>
      </c>
      <c r="J942" t="str">
        <f>INDEX(Reference_Tables!$D$11:$D$36,MATCH(LoanData[[#This Row],[Branch]],Reference_Tables!$A$11:$A$36,0))</f>
        <v>Rituparna Bora</v>
      </c>
      <c r="L942" s="35"/>
    </row>
    <row r="943" spans="2:12" ht="15.6" x14ac:dyDescent="0.3">
      <c r="B943" s="15">
        <f>DATEDIF(Loan_Data!K:K,Loan_Data!L:L,"D")</f>
        <v>16</v>
      </c>
      <c r="C943" s="15">
        <f ca="1">DATEDIF(LoanData[[#This Row],[Approval_Date]],TODAY(),"M")</f>
        <v>43</v>
      </c>
      <c r="D943" s="31">
        <f>EDATE(LoanData[[#This Row],[Approval_Date]],LoanData[[#This Row],[Loan_Term_Months]])</f>
        <v>50411</v>
      </c>
      <c r="E943" t="str">
        <f t="shared" ca="1" si="14"/>
        <v>NO</v>
      </c>
      <c r="F943" s="33">
        <f>IFERROR(LoanData[[#This Row],[EMI]]/LoanData[[#This Row],[Monthly_Income]]*100," ")</f>
        <v>10.701961326641014</v>
      </c>
      <c r="G943" t="str" cm="1">
        <f t="array" ref="G943">_xlfn.IFS(F943&gt;40, "High DTI Risk",F943&gt;=25, "Moderate DTI",F943&lt;25, "Low DTI")</f>
        <v>Low DTI</v>
      </c>
      <c r="H943" t="str" cm="1">
        <f t="array" ref="H9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43" t="str">
        <f>_xlfn.XLOOKUP(H943,Reference_Tables!$B$2:$B$7,Reference_Tables!$C$2:$C$7,,0,1)</f>
        <v>VHR</v>
      </c>
      <c r="J943" t="str">
        <f>INDEX(Reference_Tables!$D$11:$D$36,MATCH(LoanData[[#This Row],[Branch]],Reference_Tables!$A$11:$A$36,0))</f>
        <v>Santhosh Rao</v>
      </c>
      <c r="L943" s="35"/>
    </row>
    <row r="944" spans="2:12" ht="15.6" x14ac:dyDescent="0.3">
      <c r="B944" s="15">
        <f>DATEDIF(Loan_Data!K:K,Loan_Data!L:L,"D")</f>
        <v>11</v>
      </c>
      <c r="C944" s="15">
        <f ca="1">DATEDIF(LoanData[[#This Row],[Approval_Date]],TODAY(),"M")</f>
        <v>56</v>
      </c>
      <c r="D944" s="31">
        <f>EDATE(LoanData[[#This Row],[Approval_Date]],LoanData[[#This Row],[Loan_Term_Months]])</f>
        <v>51825</v>
      </c>
      <c r="E944" t="str">
        <f t="shared" ca="1" si="14"/>
        <v>NO</v>
      </c>
      <c r="F944" s="33">
        <f>IFERROR(LoanData[[#This Row],[EMI]]/LoanData[[#This Row],[Monthly_Income]]*100," ")</f>
        <v>17.660048168166835</v>
      </c>
      <c r="G944" t="str" cm="1">
        <f t="array" ref="G944">_xlfn.IFS(F944&gt;40, "High DTI Risk",F944&gt;=25, "Moderate DTI",F944&lt;25, "Low DTI")</f>
        <v>Low DTI</v>
      </c>
      <c r="H944" t="str" cm="1">
        <f t="array" ref="H9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44" t="str">
        <f>_xlfn.XLOOKUP(H944,Reference_Tables!$B$2:$B$7,Reference_Tables!$C$2:$C$7,,0,1)</f>
        <v>MR</v>
      </c>
      <c r="J944" t="str">
        <f>INDEX(Reference_Tables!$D$11:$D$36,MATCH(LoanData[[#This Row],[Branch]],Reference_Tables!$A$11:$A$36,0))</f>
        <v>Deepak Nair</v>
      </c>
      <c r="L944" s="35"/>
    </row>
    <row r="945" spans="2:12" ht="15.6" x14ac:dyDescent="0.3">
      <c r="B945" s="15">
        <f>DATEDIF(Loan_Data!K:K,Loan_Data!L:L,"D")</f>
        <v>10</v>
      </c>
      <c r="C945" s="15">
        <f ca="1">DATEDIF(LoanData[[#This Row],[Approval_Date]],TODAY(),"M")</f>
        <v>38</v>
      </c>
      <c r="D945" s="31">
        <f>EDATE(LoanData[[#This Row],[Approval_Date]],LoanData[[#This Row],[Loan_Term_Months]])</f>
        <v>50544</v>
      </c>
      <c r="E945" t="str">
        <f t="shared" ca="1" si="14"/>
        <v>NO</v>
      </c>
      <c r="F945" s="33">
        <f>IFERROR(LoanData[[#This Row],[EMI]]/LoanData[[#This Row],[Monthly_Income]]*100," ")</f>
        <v>0.79057479110571749</v>
      </c>
      <c r="G945" t="str" cm="1">
        <f t="array" ref="G945">_xlfn.IFS(F945&gt;40, "High DTI Risk",F945&gt;=25, "Moderate DTI",F945&lt;25, "Low DTI")</f>
        <v>Low DTI</v>
      </c>
      <c r="H945" t="str" cm="1">
        <f t="array" ref="H9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45" t="str">
        <f>_xlfn.XLOOKUP(H945,Reference_Tables!$B$2:$B$7,Reference_Tables!$C$2:$C$7,,0,1)</f>
        <v>VHR</v>
      </c>
      <c r="J945" t="str">
        <f>INDEX(Reference_Tables!$D$11:$D$36,MATCH(LoanData[[#This Row],[Branch]],Reference_Tables!$A$11:$A$36,0))</f>
        <v>Deepak Nair</v>
      </c>
      <c r="L945" s="35"/>
    </row>
    <row r="946" spans="2:12" ht="15.6" x14ac:dyDescent="0.3">
      <c r="B946" s="15">
        <f>DATEDIF(Loan_Data!K:K,Loan_Data!L:L,"D")</f>
        <v>30</v>
      </c>
      <c r="C946" s="15">
        <f ca="1">DATEDIF(LoanData[[#This Row],[Approval_Date]],TODAY(),"M")</f>
        <v>50</v>
      </c>
      <c r="D946" s="31">
        <f>EDATE(LoanData[[#This Row],[Approval_Date]],LoanData[[#This Row],[Loan_Term_Months]])</f>
        <v>48354</v>
      </c>
      <c r="E946" t="str">
        <f t="shared" ca="1" si="14"/>
        <v>NO</v>
      </c>
      <c r="F946" s="33">
        <f>IFERROR(LoanData[[#This Row],[EMI]]/LoanData[[#This Row],[Monthly_Income]]*100," ")</f>
        <v>1.5505858194649322</v>
      </c>
      <c r="G946" t="str" cm="1">
        <f t="array" ref="G946">_xlfn.IFS(F946&gt;40, "High DTI Risk",F946&gt;=25, "Moderate DTI",F946&lt;25, "Low DTI")</f>
        <v>Low DTI</v>
      </c>
      <c r="H946" t="str" cm="1">
        <f t="array" ref="H9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46" t="str">
        <f>_xlfn.XLOOKUP(H946,Reference_Tables!$B$2:$B$7,Reference_Tables!$C$2:$C$7,,0,1)</f>
        <v>VHR</v>
      </c>
      <c r="J946" t="str">
        <f>INDEX(Reference_Tables!$D$11:$D$36,MATCH(LoanData[[#This Row],[Branch]],Reference_Tables!$A$11:$A$36,0))</f>
        <v>Debashis Das</v>
      </c>
      <c r="L946" s="35"/>
    </row>
    <row r="947" spans="2:12" ht="15.6" x14ac:dyDescent="0.3">
      <c r="B947" s="15">
        <f>DATEDIF(Loan_Data!K:K,Loan_Data!L:L,"D")</f>
        <v>7</v>
      </c>
      <c r="C947" s="15">
        <f ca="1">DATEDIF(LoanData[[#This Row],[Approval_Date]],TODAY(),"M")</f>
        <v>59</v>
      </c>
      <c r="D947" s="31">
        <f>EDATE(LoanData[[#This Row],[Approval_Date]],LoanData[[#This Row],[Loan_Term_Months]])</f>
        <v>46984</v>
      </c>
      <c r="E947" t="str">
        <f t="shared" ca="1" si="14"/>
        <v>NO</v>
      </c>
      <c r="F947" s="33">
        <f>IFERROR(LoanData[[#This Row],[EMI]]/LoanData[[#This Row],[Monthly_Income]]*100," ")</f>
        <v>13.371224665435271</v>
      </c>
      <c r="G947" t="str" cm="1">
        <f t="array" ref="G947">_xlfn.IFS(F947&gt;40, "High DTI Risk",F947&gt;=25, "Moderate DTI",F947&lt;25, "Low DTI")</f>
        <v>Low DTI</v>
      </c>
      <c r="H947" t="str" cm="1">
        <f t="array" ref="H9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47" t="str">
        <f>_xlfn.XLOOKUP(H947,Reference_Tables!$B$2:$B$7,Reference_Tables!$C$2:$C$7,,0,1)</f>
        <v>VHR</v>
      </c>
      <c r="J947" t="str">
        <f>INDEX(Reference_Tables!$D$11:$D$36,MATCH(LoanData[[#This Row],[Branch]],Reference_Tables!$A$11:$A$36,0))</f>
        <v>Vikram Malhotra</v>
      </c>
      <c r="L947" s="35"/>
    </row>
    <row r="948" spans="2:12" ht="15.6" x14ac:dyDescent="0.3">
      <c r="B948" s="15">
        <f>DATEDIF(Loan_Data!K:K,Loan_Data!L:L,"D")</f>
        <v>14</v>
      </c>
      <c r="C948" s="15">
        <f ca="1">DATEDIF(LoanData[[#This Row],[Approval_Date]],TODAY(),"M")</f>
        <v>34</v>
      </c>
      <c r="D948" s="31">
        <f>EDATE(LoanData[[#This Row],[Approval_Date]],LoanData[[#This Row],[Loan_Term_Months]])</f>
        <v>52508</v>
      </c>
      <c r="E948" t="str">
        <f t="shared" ca="1" si="14"/>
        <v>NO</v>
      </c>
      <c r="F948" s="33">
        <f>IFERROR(LoanData[[#This Row],[EMI]]/LoanData[[#This Row],[Monthly_Income]]*100," ")</f>
        <v>15.451728442766699</v>
      </c>
      <c r="G948" t="str" cm="1">
        <f t="array" ref="G948">_xlfn.IFS(F948&gt;40, "High DTI Risk",F948&gt;=25, "Moderate DTI",F948&lt;25, "Low DTI")</f>
        <v>Low DTI</v>
      </c>
      <c r="H948" t="str" cm="1">
        <f t="array" ref="H9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48" t="str">
        <f>_xlfn.XLOOKUP(H948,Reference_Tables!$B$2:$B$7,Reference_Tables!$C$2:$C$7,,0,1)</f>
        <v>MR</v>
      </c>
      <c r="J948" t="str">
        <f>INDEX(Reference_Tables!$D$11:$D$36,MATCH(LoanData[[#This Row],[Branch]],Reference_Tables!$A$11:$A$36,0))</f>
        <v>Amit Kumar</v>
      </c>
      <c r="L948" s="35"/>
    </row>
    <row r="949" spans="2:12" ht="15.6" x14ac:dyDescent="0.3">
      <c r="B949" s="15">
        <f>DATEDIF(Loan_Data!K:K,Loan_Data!L:L,"D")</f>
        <v>15</v>
      </c>
      <c r="C949" s="15">
        <f ca="1">DATEDIF(LoanData[[#This Row],[Approval_Date]],TODAY(),"M")</f>
        <v>55</v>
      </c>
      <c r="D949" s="31">
        <f>EDATE(LoanData[[#This Row],[Approval_Date]],LoanData[[#This Row],[Loan_Term_Months]])</f>
        <v>50050</v>
      </c>
      <c r="E949" t="str">
        <f t="shared" ca="1" si="14"/>
        <v>NO</v>
      </c>
      <c r="F949" s="33">
        <f>IFERROR(LoanData[[#This Row],[EMI]]/LoanData[[#This Row],[Monthly_Income]]*100," ")</f>
        <v>6.8858726906764423</v>
      </c>
      <c r="G949" t="str" cm="1">
        <f t="array" ref="G949">_xlfn.IFS(F949&gt;40, "High DTI Risk",F949&gt;=25, "Moderate DTI",F949&lt;25, "Low DTI")</f>
        <v>Low DTI</v>
      </c>
      <c r="H949" t="str" cm="1">
        <f t="array" ref="H9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49" t="str">
        <f>_xlfn.XLOOKUP(H949,Reference_Tables!$B$2:$B$7,Reference_Tables!$C$2:$C$7,,0,1)</f>
        <v>LR</v>
      </c>
      <c r="J949" t="str">
        <f>INDEX(Reference_Tables!$D$11:$D$36,MATCH(LoanData[[#This Row],[Branch]],Reference_Tables!$A$11:$A$36,0))</f>
        <v>Anil Mishra</v>
      </c>
      <c r="L949" s="35"/>
    </row>
    <row r="950" spans="2:12" ht="15.6" x14ac:dyDescent="0.3">
      <c r="B950" s="15">
        <f>DATEDIF(Loan_Data!K:K,Loan_Data!L:L,"D")</f>
        <v>12</v>
      </c>
      <c r="C950" s="15">
        <f ca="1">DATEDIF(LoanData[[#This Row],[Approval_Date]],TODAY(),"M")</f>
        <v>59</v>
      </c>
      <c r="D950" s="31">
        <f>EDATE(LoanData[[#This Row],[Approval_Date]],LoanData[[#This Row],[Loan_Term_Months]])</f>
        <v>49924</v>
      </c>
      <c r="E950" t="str">
        <f t="shared" ca="1" si="14"/>
        <v>NO</v>
      </c>
      <c r="F950" s="33">
        <f>IFERROR(LoanData[[#This Row],[EMI]]/LoanData[[#This Row],[Monthly_Income]]*100," ")</f>
        <v>5.7897342708909436</v>
      </c>
      <c r="G950" t="str" cm="1">
        <f t="array" ref="G950">_xlfn.IFS(F950&gt;40, "High DTI Risk",F950&gt;=25, "Moderate DTI",F950&lt;25, "Low DTI")</f>
        <v>Low DTI</v>
      </c>
      <c r="H950" t="str" cm="1">
        <f t="array" ref="H9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50" t="str">
        <f>_xlfn.XLOOKUP(H950,Reference_Tables!$B$2:$B$7,Reference_Tables!$C$2:$C$7,,0,1)</f>
        <v>VHR</v>
      </c>
      <c r="J950" t="str">
        <f>INDEX(Reference_Tables!$D$11:$D$36,MATCH(LoanData[[#This Row],[Branch]],Reference_Tables!$A$11:$A$36,0))</f>
        <v>Arvind Pillai</v>
      </c>
      <c r="L950" s="35"/>
    </row>
    <row r="951" spans="2:12" ht="15.6" x14ac:dyDescent="0.3">
      <c r="B951" s="15">
        <f>DATEDIF(Loan_Data!K:K,Loan_Data!L:L,"D")</f>
        <v>6</v>
      </c>
      <c r="C951" s="15">
        <f ca="1">DATEDIF(LoanData[[#This Row],[Approval_Date]],TODAY(),"M")</f>
        <v>57</v>
      </c>
      <c r="D951" s="31">
        <f>EDATE(LoanData[[#This Row],[Approval_Date]],LoanData[[#This Row],[Loan_Term_Months]])</f>
        <v>49983</v>
      </c>
      <c r="E951" t="str">
        <f t="shared" ca="1" si="14"/>
        <v>NO</v>
      </c>
      <c r="F951" s="33">
        <f>IFERROR(LoanData[[#This Row],[EMI]]/LoanData[[#This Row],[Monthly_Income]]*100," ")</f>
        <v>1.0802686319512151</v>
      </c>
      <c r="G951" t="str" cm="1">
        <f t="array" ref="G951">_xlfn.IFS(F951&gt;40, "High DTI Risk",F951&gt;=25, "Moderate DTI",F951&lt;25, "Low DTI")</f>
        <v>Low DTI</v>
      </c>
      <c r="H951" t="str" cm="1">
        <f t="array" ref="H9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51" t="str">
        <f>_xlfn.XLOOKUP(H951,Reference_Tables!$B$2:$B$7,Reference_Tables!$C$2:$C$7,,0,1)</f>
        <v>VHR</v>
      </c>
      <c r="J951" t="str">
        <f>INDEX(Reference_Tables!$D$11:$D$36,MATCH(LoanData[[#This Row],[Branch]],Reference_Tables!$A$11:$A$36,0))</f>
        <v>Sandeep Saxena</v>
      </c>
      <c r="L951" s="35"/>
    </row>
    <row r="952" spans="2:12" ht="15.6" x14ac:dyDescent="0.3">
      <c r="B952" s="15">
        <f>DATEDIF(Loan_Data!K:K,Loan_Data!L:L,"D")</f>
        <v>16</v>
      </c>
      <c r="C952" s="15">
        <f ca="1">DATEDIF(LoanData[[#This Row],[Approval_Date]],TODAY(),"M")</f>
        <v>59</v>
      </c>
      <c r="D952" s="31">
        <f>EDATE(LoanData[[#This Row],[Approval_Date]],LoanData[[#This Row],[Loan_Term_Months]])</f>
        <v>47000</v>
      </c>
      <c r="E952" t="str">
        <f t="shared" ca="1" si="14"/>
        <v>NO</v>
      </c>
      <c r="F952" s="33">
        <f>IFERROR(LoanData[[#This Row],[EMI]]/LoanData[[#This Row],[Monthly_Income]]*100," ")</f>
        <v>9.2972961632707865</v>
      </c>
      <c r="G952" t="str" cm="1">
        <f t="array" ref="G952">_xlfn.IFS(F952&gt;40, "High DTI Risk",F952&gt;=25, "Moderate DTI",F952&lt;25, "Low DTI")</f>
        <v>Low DTI</v>
      </c>
      <c r="H952" t="str" cm="1">
        <f t="array" ref="H9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52" t="str">
        <f>_xlfn.XLOOKUP(H952,Reference_Tables!$B$2:$B$7,Reference_Tables!$C$2:$C$7,,0,1)</f>
        <v>VHR</v>
      </c>
      <c r="J952" t="str">
        <f>INDEX(Reference_Tables!$D$11:$D$36,MATCH(LoanData[[#This Row],[Branch]],Reference_Tables!$A$11:$A$36,0))</f>
        <v>Sandeep Saxena</v>
      </c>
      <c r="L952" s="35"/>
    </row>
    <row r="953" spans="2:12" ht="15.6" x14ac:dyDescent="0.3">
      <c r="B953" s="15">
        <f>DATEDIF(Loan_Data!K:K,Loan_Data!L:L,"D")</f>
        <v>3</v>
      </c>
      <c r="C953" s="15">
        <f ca="1">DATEDIF(LoanData[[#This Row],[Approval_Date]],TODAY(),"M")</f>
        <v>60</v>
      </c>
      <c r="D953" s="31">
        <f>EDATE(LoanData[[#This Row],[Approval_Date]],LoanData[[#This Row],[Loan_Term_Months]])</f>
        <v>49888</v>
      </c>
      <c r="E953" t="str">
        <f t="shared" ca="1" si="14"/>
        <v>NO</v>
      </c>
      <c r="F953" s="33">
        <f>IFERROR(LoanData[[#This Row],[EMI]]/LoanData[[#This Row],[Monthly_Income]]*100," ")</f>
        <v>1.2026125135368833</v>
      </c>
      <c r="G953" t="str" cm="1">
        <f t="array" ref="G953">_xlfn.IFS(F953&gt;40, "High DTI Risk",F953&gt;=25, "Moderate DTI",F953&lt;25, "Low DTI")</f>
        <v>Low DTI</v>
      </c>
      <c r="H953" t="str" cm="1">
        <f t="array" ref="H9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53" t="str">
        <f>_xlfn.XLOOKUP(H953,Reference_Tables!$B$2:$B$7,Reference_Tables!$C$2:$C$7,,0,1)</f>
        <v>HR</v>
      </c>
      <c r="J953" t="str">
        <f>INDEX(Reference_Tables!$D$11:$D$36,MATCH(LoanData[[#This Row],[Branch]],Reference_Tables!$A$11:$A$36,0))</f>
        <v>Sandeep Saxena</v>
      </c>
      <c r="L953" s="35"/>
    </row>
    <row r="954" spans="2:12" ht="15.6" x14ac:dyDescent="0.3">
      <c r="B954" s="15">
        <f>DATEDIF(Loan_Data!K:K,Loan_Data!L:L,"D")</f>
        <v>23</v>
      </c>
      <c r="C954" s="15">
        <f ca="1">DATEDIF(LoanData[[#This Row],[Approval_Date]],TODAY(),"M")</f>
        <v>44</v>
      </c>
      <c r="D954" s="31">
        <f>EDATE(LoanData[[#This Row],[Approval_Date]],LoanData[[#This Row],[Loan_Term_Months]])</f>
        <v>47458</v>
      </c>
      <c r="E954" t="str">
        <f t="shared" ca="1" si="14"/>
        <v>NO</v>
      </c>
      <c r="F954" s="33">
        <f>IFERROR(LoanData[[#This Row],[EMI]]/LoanData[[#This Row],[Monthly_Income]]*100," ")</f>
        <v>5.4186124017330277</v>
      </c>
      <c r="G954" t="str" cm="1">
        <f t="array" ref="G954">_xlfn.IFS(F954&gt;40, "High DTI Risk",F954&gt;=25, "Moderate DTI",F954&lt;25, "Low DTI")</f>
        <v>Low DTI</v>
      </c>
      <c r="H954" t="str" cm="1">
        <f t="array" ref="H9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54" t="str">
        <f>_xlfn.XLOOKUP(H954,Reference_Tables!$B$2:$B$7,Reference_Tables!$C$2:$C$7,,0,1)</f>
        <v>VHR</v>
      </c>
      <c r="J954" t="str">
        <f>INDEX(Reference_Tables!$D$11:$D$36,MATCH(LoanData[[#This Row],[Branch]],Reference_Tables!$A$11:$A$36,0))</f>
        <v>Puja Chatterjee</v>
      </c>
      <c r="L954" s="35"/>
    </row>
    <row r="955" spans="2:12" ht="15.6" x14ac:dyDescent="0.3">
      <c r="B955" s="15">
        <f>DATEDIF(Loan_Data!K:K,Loan_Data!L:L,"D")</f>
        <v>13</v>
      </c>
      <c r="C955" s="15">
        <f ca="1">DATEDIF(LoanData[[#This Row],[Approval_Date]],TODAY(),"M")</f>
        <v>34</v>
      </c>
      <c r="D955" s="31">
        <f>EDATE(LoanData[[#This Row],[Approval_Date]],LoanData[[#This Row],[Loan_Term_Months]])</f>
        <v>48847</v>
      </c>
      <c r="E955" t="str">
        <f t="shared" ca="1" si="14"/>
        <v>NO</v>
      </c>
      <c r="F955" s="33">
        <f>IFERROR(LoanData[[#This Row],[EMI]]/LoanData[[#This Row],[Monthly_Income]]*100," ")</f>
        <v>5.2382601264237412</v>
      </c>
      <c r="G955" t="str" cm="1">
        <f t="array" ref="G955">_xlfn.IFS(F955&gt;40, "High DTI Risk",F955&gt;=25, "Moderate DTI",F955&lt;25, "Low DTI")</f>
        <v>Low DTI</v>
      </c>
      <c r="H955" t="str" cm="1">
        <f t="array" ref="H9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55" t="str">
        <f>_xlfn.XLOOKUP(H955,Reference_Tables!$B$2:$B$7,Reference_Tables!$C$2:$C$7,,0,1)</f>
        <v>LR</v>
      </c>
      <c r="J955" t="str">
        <f>INDEX(Reference_Tables!$D$11:$D$36,MATCH(LoanData[[#This Row],[Branch]],Reference_Tables!$A$11:$A$36,0))</f>
        <v>Kavita Joshi</v>
      </c>
      <c r="L955" s="35"/>
    </row>
    <row r="956" spans="2:12" ht="15.6" x14ac:dyDescent="0.3">
      <c r="B956" s="15">
        <f>DATEDIF(Loan_Data!K:K,Loan_Data!L:L,"D")</f>
        <v>17</v>
      </c>
      <c r="C956" s="15">
        <f ca="1">DATEDIF(LoanData[[#This Row],[Approval_Date]],TODAY(),"M")</f>
        <v>51</v>
      </c>
      <c r="D956" s="31">
        <f>EDATE(LoanData[[#This Row],[Approval_Date]],LoanData[[#This Row],[Loan_Term_Months]])</f>
        <v>50166</v>
      </c>
      <c r="E956" t="str">
        <f t="shared" ca="1" si="14"/>
        <v>NO</v>
      </c>
      <c r="F956" s="33">
        <f>IFERROR(LoanData[[#This Row],[EMI]]/LoanData[[#This Row],[Monthly_Income]]*100," ")</f>
        <v>17.985482843360334</v>
      </c>
      <c r="G956" t="str" cm="1">
        <f t="array" ref="G956">_xlfn.IFS(F956&gt;40, "High DTI Risk",F956&gt;=25, "Moderate DTI",F956&lt;25, "Low DTI")</f>
        <v>Low DTI</v>
      </c>
      <c r="H956" t="str" cm="1">
        <f t="array" ref="H9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56" t="str">
        <f>_xlfn.XLOOKUP(H956,Reference_Tables!$B$2:$B$7,Reference_Tables!$C$2:$C$7,,0,1)</f>
        <v>LR</v>
      </c>
      <c r="J956" t="str">
        <f>INDEX(Reference_Tables!$D$11:$D$36,MATCH(LoanData[[#This Row],[Branch]],Reference_Tables!$A$11:$A$36,0))</f>
        <v>Ananya Sharma</v>
      </c>
      <c r="L956" s="35"/>
    </row>
    <row r="957" spans="2:12" ht="15.6" x14ac:dyDescent="0.3">
      <c r="B957" s="15">
        <f>DATEDIF(Loan_Data!K:K,Loan_Data!L:L,"D")</f>
        <v>5</v>
      </c>
      <c r="C957" s="15">
        <f ca="1">DATEDIF(LoanData[[#This Row],[Approval_Date]],TODAY(),"M")</f>
        <v>37</v>
      </c>
      <c r="D957" s="31">
        <f>EDATE(LoanData[[#This Row],[Approval_Date]],LoanData[[#This Row],[Loan_Term_Months]])</f>
        <v>52424</v>
      </c>
      <c r="E957" t="str">
        <f t="shared" ca="1" si="14"/>
        <v>NO</v>
      </c>
      <c r="F957" s="33">
        <f>IFERROR(LoanData[[#This Row],[EMI]]/LoanData[[#This Row],[Monthly_Income]]*100," ")</f>
        <v>1.4746497349345451</v>
      </c>
      <c r="G957" t="str" cm="1">
        <f t="array" ref="G957">_xlfn.IFS(F957&gt;40, "High DTI Risk",F957&gt;=25, "Moderate DTI",F957&lt;25, "Low DTI")</f>
        <v>Low DTI</v>
      </c>
      <c r="H957" t="str" cm="1">
        <f t="array" ref="H9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57" t="str">
        <f>_xlfn.XLOOKUP(H957,Reference_Tables!$B$2:$B$7,Reference_Tables!$C$2:$C$7,,0,1)</f>
        <v>VHR</v>
      </c>
      <c r="J957" t="str">
        <f>INDEX(Reference_Tables!$D$11:$D$36,MATCH(LoanData[[#This Row],[Branch]],Reference_Tables!$A$11:$A$36,0))</f>
        <v>Rahul Kapoor</v>
      </c>
      <c r="L957" s="35"/>
    </row>
    <row r="958" spans="2:12" ht="15.6" x14ac:dyDescent="0.3">
      <c r="B958" s="15">
        <f>DATEDIF(Loan_Data!K:K,Loan_Data!L:L,"D")</f>
        <v>25</v>
      </c>
      <c r="C958" s="15">
        <f ca="1">DATEDIF(LoanData[[#This Row],[Approval_Date]],TODAY(),"M")</f>
        <v>45</v>
      </c>
      <c r="D958" s="31">
        <f>EDATE(LoanData[[#This Row],[Approval_Date]],LoanData[[#This Row],[Loan_Term_Months]])</f>
        <v>50343</v>
      </c>
      <c r="E958" t="str">
        <f t="shared" ca="1" si="14"/>
        <v>NO</v>
      </c>
      <c r="F958" s="33">
        <f>IFERROR(LoanData[[#This Row],[EMI]]/LoanData[[#This Row],[Monthly_Income]]*100," ")</f>
        <v>3.2328801083163294</v>
      </c>
      <c r="G958" t="str" cm="1">
        <f t="array" ref="G958">_xlfn.IFS(F958&gt;40, "High DTI Risk",F958&gt;=25, "Moderate DTI",F958&lt;25, "Low DTI")</f>
        <v>Low DTI</v>
      </c>
      <c r="H958" t="str" cm="1">
        <f t="array" ref="H9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58" t="str">
        <f>_xlfn.XLOOKUP(H958,Reference_Tables!$B$2:$B$7,Reference_Tables!$C$2:$C$7,,0,1)</f>
        <v>MR</v>
      </c>
      <c r="J958" t="str">
        <f>INDEX(Reference_Tables!$D$11:$D$36,MATCH(LoanData[[#This Row],[Branch]],Reference_Tables!$A$11:$A$36,0))</f>
        <v>Sandeep Saxena</v>
      </c>
      <c r="L958" s="35"/>
    </row>
    <row r="959" spans="2:12" ht="15.6" x14ac:dyDescent="0.3">
      <c r="B959" s="15">
        <f>DATEDIF(Loan_Data!K:K,Loan_Data!L:L,"D")</f>
        <v>14</v>
      </c>
      <c r="C959" s="15">
        <f ca="1">DATEDIF(LoanData[[#This Row],[Approval_Date]],TODAY(),"M")</f>
        <v>64</v>
      </c>
      <c r="D959" s="31">
        <f>EDATE(LoanData[[#This Row],[Approval_Date]],LoanData[[#This Row],[Loan_Term_Months]])</f>
        <v>45373</v>
      </c>
      <c r="E959" t="str">
        <f t="shared" ca="1" si="14"/>
        <v>YES</v>
      </c>
      <c r="F959" s="33">
        <f>IFERROR(LoanData[[#This Row],[EMI]]/LoanData[[#This Row],[Monthly_Income]]*100," ")</f>
        <v>35.970069357825906</v>
      </c>
      <c r="G959" t="str" cm="1">
        <f t="array" ref="G959">_xlfn.IFS(F959&gt;40, "High DTI Risk",F959&gt;=25, "Moderate DTI",F959&lt;25, "Low DTI")</f>
        <v>Moderate DTI</v>
      </c>
      <c r="H959" t="str" cm="1">
        <f t="array" ref="H9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59" t="str">
        <f>_xlfn.XLOOKUP(H959,Reference_Tables!$B$2:$B$7,Reference_Tables!$C$2:$C$7,,0,1)</f>
        <v>VHR</v>
      </c>
      <c r="J959" t="str">
        <f>INDEX(Reference_Tables!$D$11:$D$36,MATCH(LoanData[[#This Row],[Branch]],Reference_Tables!$A$11:$A$36,0))</f>
        <v>Priyanka Gupta</v>
      </c>
      <c r="L959" s="35"/>
    </row>
    <row r="960" spans="2:12" ht="15.6" x14ac:dyDescent="0.3">
      <c r="B960" s="15">
        <f>DATEDIF(Loan_Data!K:K,Loan_Data!L:L,"D")</f>
        <v>20</v>
      </c>
      <c r="C960" s="15">
        <f ca="1">DATEDIF(LoanData[[#This Row],[Approval_Date]],TODAY(),"M")</f>
        <v>45</v>
      </c>
      <c r="D960" s="31">
        <f>EDATE(LoanData[[#This Row],[Approval_Date]],LoanData[[#This Row],[Loan_Term_Months]])</f>
        <v>52162</v>
      </c>
      <c r="E960" t="str">
        <f t="shared" ca="1" si="14"/>
        <v>NO</v>
      </c>
      <c r="F960" s="33">
        <f>IFERROR(LoanData[[#This Row],[EMI]]/LoanData[[#This Row],[Monthly_Income]]*100," ")</f>
        <v>0.73324562601101295</v>
      </c>
      <c r="G960" t="str" cm="1">
        <f t="array" ref="G960">_xlfn.IFS(F960&gt;40, "High DTI Risk",F960&gt;=25, "Moderate DTI",F960&lt;25, "Low DTI")</f>
        <v>Low DTI</v>
      </c>
      <c r="H960" t="str" cm="1">
        <f t="array" ref="H9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60" t="str">
        <f>_xlfn.XLOOKUP(H960,Reference_Tables!$B$2:$B$7,Reference_Tables!$C$2:$C$7,,0,1)</f>
        <v>VHR</v>
      </c>
      <c r="J960" t="str">
        <f>INDEX(Reference_Tables!$D$11:$D$36,MATCH(LoanData[[#This Row],[Branch]],Reference_Tables!$A$11:$A$36,0))</f>
        <v>Hetal Patel</v>
      </c>
      <c r="L960" s="35"/>
    </row>
    <row r="961" spans="2:12" ht="15.6" x14ac:dyDescent="0.3">
      <c r="B961" s="15">
        <f>DATEDIF(Loan_Data!K:K,Loan_Data!L:L,"D")</f>
        <v>6</v>
      </c>
      <c r="C961" s="15">
        <f ca="1">DATEDIF(LoanData[[#This Row],[Approval_Date]],TODAY(),"M")</f>
        <v>57</v>
      </c>
      <c r="D961" s="31">
        <f>EDATE(LoanData[[#This Row],[Approval_Date]],LoanData[[#This Row],[Loan_Term_Months]])</f>
        <v>51797</v>
      </c>
      <c r="E961" t="str">
        <f t="shared" ca="1" si="14"/>
        <v>NO</v>
      </c>
      <c r="F961" s="33">
        <f>IFERROR(LoanData[[#This Row],[EMI]]/LoanData[[#This Row],[Monthly_Income]]*100," ")</f>
        <v>9.7002430003394871</v>
      </c>
      <c r="G961" t="str" cm="1">
        <f t="array" ref="G961">_xlfn.IFS(F961&gt;40, "High DTI Risk",F961&gt;=25, "Moderate DTI",F961&lt;25, "Low DTI")</f>
        <v>Low DTI</v>
      </c>
      <c r="H961" t="str" cm="1">
        <f t="array" ref="H9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61" t="str">
        <f>_xlfn.XLOOKUP(H961,Reference_Tables!$B$2:$B$7,Reference_Tables!$C$2:$C$7,,0,1)</f>
        <v>HR</v>
      </c>
      <c r="J961" t="str">
        <f>INDEX(Reference_Tables!$D$11:$D$36,MATCH(LoanData[[#This Row],[Branch]],Reference_Tables!$A$11:$A$36,0))</f>
        <v>Debashis Das</v>
      </c>
      <c r="L961" s="35"/>
    </row>
    <row r="962" spans="2:12" ht="15.6" x14ac:dyDescent="0.3">
      <c r="B962" s="15">
        <f>DATEDIF(Loan_Data!K:K,Loan_Data!L:L,"D")</f>
        <v>7</v>
      </c>
      <c r="C962" s="15">
        <f ca="1">DATEDIF(LoanData[[#This Row],[Approval_Date]],TODAY(),"M")</f>
        <v>32</v>
      </c>
      <c r="D962" s="31">
        <f>EDATE(LoanData[[#This Row],[Approval_Date]],LoanData[[#This Row],[Loan_Term_Months]])</f>
        <v>52558</v>
      </c>
      <c r="E962" t="str">
        <f t="shared" ref="E962:E1025" ca="1" si="15">IF(D962&lt;TODAY(),"YES","NO")</f>
        <v>NO</v>
      </c>
      <c r="F962" s="33">
        <f>IFERROR(LoanData[[#This Row],[EMI]]/LoanData[[#This Row],[Monthly_Income]]*100," ")</f>
        <v>7.58988555102869</v>
      </c>
      <c r="G962" t="str" cm="1">
        <f t="array" ref="G962">_xlfn.IFS(F962&gt;40, "High DTI Risk",F962&gt;=25, "Moderate DTI",F962&lt;25, "Low DTI")</f>
        <v>Low DTI</v>
      </c>
      <c r="H962" t="str" cm="1">
        <f t="array" ref="H9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62" t="str">
        <f>_xlfn.XLOOKUP(H962,Reference_Tables!$B$2:$B$7,Reference_Tables!$C$2:$C$7,,0,1)</f>
        <v>VHR</v>
      </c>
      <c r="J962" t="str">
        <f>INDEX(Reference_Tables!$D$11:$D$36,MATCH(LoanData[[#This Row],[Branch]],Reference_Tables!$A$11:$A$36,0))</f>
        <v>Puja Chatterjee</v>
      </c>
      <c r="L962" s="35"/>
    </row>
    <row r="963" spans="2:12" ht="15.6" x14ac:dyDescent="0.3">
      <c r="B963" s="15">
        <f>DATEDIF(Loan_Data!K:K,Loan_Data!L:L,"D")</f>
        <v>8</v>
      </c>
      <c r="C963" s="15">
        <f ca="1">DATEDIF(LoanData[[#This Row],[Approval_Date]],TODAY(),"M")</f>
        <v>59</v>
      </c>
      <c r="D963" s="31">
        <f>EDATE(LoanData[[#This Row],[Approval_Date]],LoanData[[#This Row],[Loan_Term_Months]])</f>
        <v>46984</v>
      </c>
      <c r="E963" t="str">
        <f t="shared" ca="1" si="15"/>
        <v>NO</v>
      </c>
      <c r="F963" s="33">
        <f>IFERROR(LoanData[[#This Row],[EMI]]/LoanData[[#This Row],[Monthly_Income]]*100," ")</f>
        <v>44.50554703527397</v>
      </c>
      <c r="G963" t="str" cm="1">
        <f t="array" ref="G963">_xlfn.IFS(F963&gt;40, "High DTI Risk",F963&gt;=25, "Moderate DTI",F963&lt;25, "Low DTI")</f>
        <v>High DTI Risk</v>
      </c>
      <c r="H963" t="str" cm="1">
        <f t="array" ref="H9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63" t="str">
        <f>_xlfn.XLOOKUP(H963,Reference_Tables!$B$2:$B$7,Reference_Tables!$C$2:$C$7,,0,1)</f>
        <v>LR</v>
      </c>
      <c r="J963" t="str">
        <f>INDEX(Reference_Tables!$D$11:$D$36,MATCH(LoanData[[#This Row],[Branch]],Reference_Tables!$A$11:$A$36,0))</f>
        <v>Tapan Panda</v>
      </c>
      <c r="L963" s="35"/>
    </row>
    <row r="964" spans="2:12" ht="15.6" x14ac:dyDescent="0.3">
      <c r="B964" s="15">
        <f>DATEDIF(Loan_Data!K:K,Loan_Data!L:L,"D")</f>
        <v>7</v>
      </c>
      <c r="C964" s="15">
        <f ca="1">DATEDIF(LoanData[[#This Row],[Approval_Date]],TODAY(),"M")</f>
        <v>47</v>
      </c>
      <c r="D964" s="31">
        <f>EDATE(LoanData[[#This Row],[Approval_Date]],LoanData[[#This Row],[Loan_Term_Months]])</f>
        <v>52104</v>
      </c>
      <c r="E964" t="str">
        <f t="shared" ca="1" si="15"/>
        <v>NO</v>
      </c>
      <c r="F964" s="33">
        <f>IFERROR(LoanData[[#This Row],[EMI]]/LoanData[[#This Row],[Monthly_Income]]*100," ")</f>
        <v>7.6154298539348773</v>
      </c>
      <c r="G964" t="str" cm="1">
        <f t="array" ref="G964">_xlfn.IFS(F964&gt;40, "High DTI Risk",F964&gt;=25, "Moderate DTI",F964&lt;25, "Low DTI")</f>
        <v>Low DTI</v>
      </c>
      <c r="H964" t="str" cm="1">
        <f t="array" ref="H9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64" t="str">
        <f>_xlfn.XLOOKUP(H964,Reference_Tables!$B$2:$B$7,Reference_Tables!$C$2:$C$7,,0,1)</f>
        <v>MR</v>
      </c>
      <c r="J964" t="str">
        <f>INDEX(Reference_Tables!$D$11:$D$36,MATCH(LoanData[[#This Row],[Branch]],Reference_Tables!$A$11:$A$36,0))</f>
        <v>Kavita Joshi</v>
      </c>
      <c r="L964" s="35"/>
    </row>
    <row r="965" spans="2:12" ht="15.6" x14ac:dyDescent="0.3">
      <c r="B965" s="15">
        <f>DATEDIF(Loan_Data!K:K,Loan_Data!L:L,"D")</f>
        <v>22</v>
      </c>
      <c r="C965" s="15">
        <f ca="1">DATEDIF(LoanData[[#This Row],[Approval_Date]],TODAY(),"M")</f>
        <v>34</v>
      </c>
      <c r="D965" s="31">
        <f>EDATE(LoanData[[#This Row],[Approval_Date]],LoanData[[#This Row],[Loan_Term_Months]])</f>
        <v>52511</v>
      </c>
      <c r="E965" t="str">
        <f t="shared" ca="1" si="15"/>
        <v>NO</v>
      </c>
      <c r="F965" s="33">
        <f>IFERROR(LoanData[[#This Row],[EMI]]/LoanData[[#This Row],[Monthly_Income]]*100," ")</f>
        <v>0.41972319453690377</v>
      </c>
      <c r="G965" t="str" cm="1">
        <f t="array" ref="G965">_xlfn.IFS(F965&gt;40, "High DTI Risk",F965&gt;=25, "Moderate DTI",F965&lt;25, "Low DTI")</f>
        <v>Low DTI</v>
      </c>
      <c r="H965" t="str" cm="1">
        <f t="array" ref="H9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65" t="str">
        <f>_xlfn.XLOOKUP(H965,Reference_Tables!$B$2:$B$7,Reference_Tables!$C$2:$C$7,,0,1)</f>
        <v>LR</v>
      </c>
      <c r="J965" t="str">
        <f>INDEX(Reference_Tables!$D$11:$D$36,MATCH(LoanData[[#This Row],[Branch]],Reference_Tables!$A$11:$A$36,0))</f>
        <v>Sachin Deshpande</v>
      </c>
      <c r="L965" s="35"/>
    </row>
    <row r="966" spans="2:12" ht="15.6" x14ac:dyDescent="0.3">
      <c r="B966" s="15">
        <f>DATEDIF(Loan_Data!K:K,Loan_Data!L:L,"D")</f>
        <v>24</v>
      </c>
      <c r="C966" s="15">
        <f ca="1">DATEDIF(LoanData[[#This Row],[Approval_Date]],TODAY(),"M")</f>
        <v>58</v>
      </c>
      <c r="D966" s="31">
        <f>EDATE(LoanData[[#This Row],[Approval_Date]],LoanData[[#This Row],[Loan_Term_Months]])</f>
        <v>51768</v>
      </c>
      <c r="E966" t="str">
        <f t="shared" ca="1" si="15"/>
        <v>NO</v>
      </c>
      <c r="F966" s="33">
        <f>IFERROR(LoanData[[#This Row],[EMI]]/LoanData[[#This Row],[Monthly_Income]]*100," ")</f>
        <v>1.4482932660379866</v>
      </c>
      <c r="G966" t="str" cm="1">
        <f t="array" ref="G966">_xlfn.IFS(F966&gt;40, "High DTI Risk",F966&gt;=25, "Moderate DTI",F966&lt;25, "Low DTI")</f>
        <v>Low DTI</v>
      </c>
      <c r="H966" t="str" cm="1">
        <f t="array" ref="H9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66" t="str">
        <f>_xlfn.XLOOKUP(H966,Reference_Tables!$B$2:$B$7,Reference_Tables!$C$2:$C$7,,0,1)</f>
        <v>VHR</v>
      </c>
      <c r="J966" t="str">
        <f>INDEX(Reference_Tables!$D$11:$D$36,MATCH(LoanData[[#This Row],[Branch]],Reference_Tables!$A$11:$A$36,0))</f>
        <v>Meena Iyer</v>
      </c>
      <c r="L966" s="35"/>
    </row>
    <row r="967" spans="2:12" ht="15.6" x14ac:dyDescent="0.3">
      <c r="B967" s="15">
        <f>DATEDIF(Loan_Data!K:K,Loan_Data!L:L,"D")</f>
        <v>16</v>
      </c>
      <c r="C967" s="15">
        <f ca="1">DATEDIF(LoanData[[#This Row],[Approval_Date]],TODAY(),"M")</f>
        <v>31</v>
      </c>
      <c r="D967" s="31">
        <f>EDATE(LoanData[[#This Row],[Approval_Date]],LoanData[[#This Row],[Loan_Term_Months]])</f>
        <v>52603</v>
      </c>
      <c r="E967" t="str">
        <f t="shared" ca="1" si="15"/>
        <v>NO</v>
      </c>
      <c r="F967" s="33">
        <f>IFERROR(LoanData[[#This Row],[EMI]]/LoanData[[#This Row],[Monthly_Income]]*100," ")</f>
        <v>0.88347927923132208</v>
      </c>
      <c r="G967" t="str" cm="1">
        <f t="array" ref="G967">_xlfn.IFS(F967&gt;40, "High DTI Risk",F967&gt;=25, "Moderate DTI",F967&lt;25, "Low DTI")</f>
        <v>Low DTI</v>
      </c>
      <c r="H967" t="str" cm="1">
        <f t="array" ref="H9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67" t="str">
        <f>_xlfn.XLOOKUP(H967,Reference_Tables!$B$2:$B$7,Reference_Tables!$C$2:$C$7,,0,1)</f>
        <v>LR</v>
      </c>
      <c r="J967" t="str">
        <f>INDEX(Reference_Tables!$D$11:$D$36,MATCH(LoanData[[#This Row],[Branch]],Reference_Tables!$A$11:$A$36,0))</f>
        <v>Sachin Deshpande</v>
      </c>
      <c r="L967" s="35"/>
    </row>
    <row r="968" spans="2:12" ht="15.6" x14ac:dyDescent="0.3">
      <c r="B968" s="15">
        <f>DATEDIF(Loan_Data!K:K,Loan_Data!L:L,"D")</f>
        <v>14</v>
      </c>
      <c r="C968" s="15">
        <f ca="1">DATEDIF(LoanData[[#This Row],[Approval_Date]],TODAY(),"M")</f>
        <v>55</v>
      </c>
      <c r="D968" s="31">
        <f>EDATE(LoanData[[#This Row],[Approval_Date]],LoanData[[#This Row],[Loan_Term_Months]])</f>
        <v>47134</v>
      </c>
      <c r="E968" t="str">
        <f t="shared" ca="1" si="15"/>
        <v>NO</v>
      </c>
      <c r="F968" s="33">
        <f>IFERROR(LoanData[[#This Row],[EMI]]/LoanData[[#This Row],[Monthly_Income]]*100," ")</f>
        <v>11.945213196439058</v>
      </c>
      <c r="G968" t="str" cm="1">
        <f t="array" ref="G968">_xlfn.IFS(F968&gt;40, "High DTI Risk",F968&gt;=25, "Moderate DTI",F968&lt;25, "Low DTI")</f>
        <v>Low DTI</v>
      </c>
      <c r="H968" t="str" cm="1">
        <f t="array" ref="H9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68" t="str">
        <f>_xlfn.XLOOKUP(H968,Reference_Tables!$B$2:$B$7,Reference_Tables!$C$2:$C$7,,0,1)</f>
        <v>VHR</v>
      </c>
      <c r="J968" t="str">
        <f>INDEX(Reference_Tables!$D$11:$D$36,MATCH(LoanData[[#This Row],[Branch]],Reference_Tables!$A$11:$A$36,0))</f>
        <v>Jigar Mehta</v>
      </c>
      <c r="L968" s="35"/>
    </row>
    <row r="969" spans="2:12" ht="15.6" x14ac:dyDescent="0.3">
      <c r="B969" s="15">
        <f>DATEDIF(Loan_Data!K:K,Loan_Data!L:L,"D")</f>
        <v>18</v>
      </c>
      <c r="C969" s="15">
        <f ca="1">DATEDIF(LoanData[[#This Row],[Approval_Date]],TODAY(),"M")</f>
        <v>65</v>
      </c>
      <c r="D969" s="31">
        <f>EDATE(LoanData[[#This Row],[Approval_Date]],LoanData[[#This Row],[Loan_Term_Months]])</f>
        <v>49750</v>
      </c>
      <c r="E969" t="str">
        <f t="shared" ca="1" si="15"/>
        <v>NO</v>
      </c>
      <c r="F969" s="33">
        <f>IFERROR(LoanData[[#This Row],[EMI]]/LoanData[[#This Row],[Monthly_Income]]*100," ")</f>
        <v>34.791481017214203</v>
      </c>
      <c r="G969" t="str" cm="1">
        <f t="array" ref="G969">_xlfn.IFS(F969&gt;40, "High DTI Risk",F969&gt;=25, "Moderate DTI",F969&lt;25, "Low DTI")</f>
        <v>Moderate DTI</v>
      </c>
      <c r="H969" t="str" cm="1">
        <f t="array" ref="H9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69" t="str">
        <f>_xlfn.XLOOKUP(H969,Reference_Tables!$B$2:$B$7,Reference_Tables!$C$2:$C$7,,0,1)</f>
        <v>VHR</v>
      </c>
      <c r="J969" t="str">
        <f>INDEX(Reference_Tables!$D$11:$D$36,MATCH(LoanData[[#This Row],[Branch]],Reference_Tables!$A$11:$A$36,0))</f>
        <v>Amit Kumar</v>
      </c>
      <c r="L969" s="35"/>
    </row>
    <row r="970" spans="2:12" ht="15.6" x14ac:dyDescent="0.3">
      <c r="B970" s="15">
        <f>DATEDIF(Loan_Data!K:K,Loan_Data!L:L,"D")</f>
        <v>8</v>
      </c>
      <c r="C970" s="15">
        <f ca="1">DATEDIF(LoanData[[#This Row],[Approval_Date]],TODAY(),"M")</f>
        <v>49</v>
      </c>
      <c r="D970" s="31">
        <f>EDATE(LoanData[[#This Row],[Approval_Date]],LoanData[[#This Row],[Loan_Term_Months]])</f>
        <v>47313</v>
      </c>
      <c r="E970" t="str">
        <f t="shared" ca="1" si="15"/>
        <v>NO</v>
      </c>
      <c r="F970" s="33">
        <f>IFERROR(LoanData[[#This Row],[EMI]]/LoanData[[#This Row],[Monthly_Income]]*100," ")</f>
        <v>13.285849285397694</v>
      </c>
      <c r="G970" t="str" cm="1">
        <f t="array" ref="G970">_xlfn.IFS(F970&gt;40, "High DTI Risk",F970&gt;=25, "Moderate DTI",F970&lt;25, "Low DTI")</f>
        <v>Low DTI</v>
      </c>
      <c r="H970" t="str" cm="1">
        <f t="array" ref="H9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70" t="str">
        <f>_xlfn.XLOOKUP(H970,Reference_Tables!$B$2:$B$7,Reference_Tables!$C$2:$C$7,,0,1)</f>
        <v>LR</v>
      </c>
      <c r="J970" t="str">
        <f>INDEX(Reference_Tables!$D$11:$D$36,MATCH(LoanData[[#This Row],[Branch]],Reference_Tables!$A$11:$A$36,0))</f>
        <v>Tapan Panda</v>
      </c>
      <c r="L970" s="35"/>
    </row>
    <row r="971" spans="2:12" ht="15.6" x14ac:dyDescent="0.3">
      <c r="B971" s="15">
        <f>DATEDIF(Loan_Data!K:K,Loan_Data!L:L,"D")</f>
        <v>18</v>
      </c>
      <c r="C971" s="15">
        <f ca="1">DATEDIF(LoanData[[#This Row],[Approval_Date]],TODAY(),"M")</f>
        <v>48</v>
      </c>
      <c r="D971" s="31">
        <f>EDATE(LoanData[[#This Row],[Approval_Date]],LoanData[[#This Row],[Loan_Term_Months]])</f>
        <v>52082</v>
      </c>
      <c r="E971" t="str">
        <f t="shared" ca="1" si="15"/>
        <v>NO</v>
      </c>
      <c r="F971" s="33">
        <f>IFERROR(LoanData[[#This Row],[EMI]]/LoanData[[#This Row],[Monthly_Income]]*100," ")</f>
        <v>0.51404971832347035</v>
      </c>
      <c r="G971" t="str" cm="1">
        <f t="array" ref="G971">_xlfn.IFS(F971&gt;40, "High DTI Risk",F971&gt;=25, "Moderate DTI",F971&lt;25, "Low DTI")</f>
        <v>Low DTI</v>
      </c>
      <c r="H971" t="str" cm="1">
        <f t="array" ref="H9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71" t="str">
        <f>_xlfn.XLOOKUP(H971,Reference_Tables!$B$2:$B$7,Reference_Tables!$C$2:$C$7,,0,1)</f>
        <v>MR</v>
      </c>
      <c r="J971" t="str">
        <f>INDEX(Reference_Tables!$D$11:$D$36,MATCH(LoanData[[#This Row],[Branch]],Reference_Tables!$A$11:$A$36,0))</f>
        <v>Anil Mishra</v>
      </c>
      <c r="L971" s="35"/>
    </row>
    <row r="972" spans="2:12" ht="15.6" x14ac:dyDescent="0.3">
      <c r="B972" s="15">
        <f>DATEDIF(Loan_Data!K:K,Loan_Data!L:L,"D")</f>
        <v>15</v>
      </c>
      <c r="C972" s="15">
        <f ca="1">DATEDIF(LoanData[[#This Row],[Approval_Date]],TODAY(),"M")</f>
        <v>63</v>
      </c>
      <c r="D972" s="31">
        <f>EDATE(LoanData[[#This Row],[Approval_Date]],LoanData[[#This Row],[Loan_Term_Months]])</f>
        <v>49788</v>
      </c>
      <c r="E972" t="str">
        <f t="shared" ca="1" si="15"/>
        <v>NO</v>
      </c>
      <c r="F972" s="33">
        <f>IFERROR(LoanData[[#This Row],[EMI]]/LoanData[[#This Row],[Monthly_Income]]*100," ")</f>
        <v>5.0959768989819896</v>
      </c>
      <c r="G972" t="str" cm="1">
        <f t="array" ref="G972">_xlfn.IFS(F972&gt;40, "High DTI Risk",F972&gt;=25, "Moderate DTI",F972&lt;25, "Low DTI")</f>
        <v>Low DTI</v>
      </c>
      <c r="H972" t="str" cm="1">
        <f t="array" ref="H9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72" t="str">
        <f>_xlfn.XLOOKUP(H972,Reference_Tables!$B$2:$B$7,Reference_Tables!$C$2:$C$7,,0,1)</f>
        <v>LR</v>
      </c>
      <c r="J972" t="str">
        <f>INDEX(Reference_Tables!$D$11:$D$36,MATCH(LoanData[[#This Row],[Branch]],Reference_Tables!$A$11:$A$36,0))</f>
        <v>Tapan Panda</v>
      </c>
      <c r="L972" s="35"/>
    </row>
    <row r="973" spans="2:12" ht="15.6" x14ac:dyDescent="0.3">
      <c r="B973" s="15">
        <f>DATEDIF(Loan_Data!K:K,Loan_Data!L:L,"D")</f>
        <v>14</v>
      </c>
      <c r="C973" s="15">
        <f ca="1">DATEDIF(LoanData[[#This Row],[Approval_Date]],TODAY(),"M")</f>
        <v>49</v>
      </c>
      <c r="D973" s="31">
        <f>EDATE(LoanData[[#This Row],[Approval_Date]],LoanData[[#This Row],[Loan_Term_Months]])</f>
        <v>50217</v>
      </c>
      <c r="E973" t="str">
        <f t="shared" ca="1" si="15"/>
        <v>NO</v>
      </c>
      <c r="F973" s="33">
        <f>IFERROR(LoanData[[#This Row],[EMI]]/LoanData[[#This Row],[Monthly_Income]]*100," ")</f>
        <v>1.5170252740466941</v>
      </c>
      <c r="G973" t="str" cm="1">
        <f t="array" ref="G973">_xlfn.IFS(F973&gt;40, "High DTI Risk",F973&gt;=25, "Moderate DTI",F973&lt;25, "Low DTI")</f>
        <v>Low DTI</v>
      </c>
      <c r="H973" t="str" cm="1">
        <f t="array" ref="H9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73" t="str">
        <f>_xlfn.XLOOKUP(H973,Reference_Tables!$B$2:$B$7,Reference_Tables!$C$2:$C$7,,0,1)</f>
        <v>LR</v>
      </c>
      <c r="J973" t="str">
        <f>INDEX(Reference_Tables!$D$11:$D$36,MATCH(LoanData[[#This Row],[Branch]],Reference_Tables!$A$11:$A$36,0))</f>
        <v>Tapan Panda</v>
      </c>
      <c r="L973" s="35"/>
    </row>
    <row r="974" spans="2:12" ht="15.6" x14ac:dyDescent="0.3">
      <c r="B974" s="15">
        <f>DATEDIF(Loan_Data!K:K,Loan_Data!L:L,"D")</f>
        <v>30</v>
      </c>
      <c r="C974" s="15">
        <f ca="1">DATEDIF(LoanData[[#This Row],[Approval_Date]],TODAY(),"M")</f>
        <v>39</v>
      </c>
      <c r="D974" s="31">
        <f>EDATE(LoanData[[#This Row],[Approval_Date]],LoanData[[#This Row],[Loan_Term_Months]])</f>
        <v>50534</v>
      </c>
      <c r="E974" t="str">
        <f t="shared" ca="1" si="15"/>
        <v>NO</v>
      </c>
      <c r="F974" s="33">
        <f>IFERROR(LoanData[[#This Row],[EMI]]/LoanData[[#This Row],[Monthly_Income]]*100," ")</f>
        <v>1.7228489548979917</v>
      </c>
      <c r="G974" t="str" cm="1">
        <f t="array" ref="G974">_xlfn.IFS(F974&gt;40, "High DTI Risk",F974&gt;=25, "Moderate DTI",F974&lt;25, "Low DTI")</f>
        <v>Low DTI</v>
      </c>
      <c r="H974" t="str" cm="1">
        <f t="array" ref="H9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74" t="str">
        <f>_xlfn.XLOOKUP(H974,Reference_Tables!$B$2:$B$7,Reference_Tables!$C$2:$C$7,,0,1)</f>
        <v>VHR</v>
      </c>
      <c r="J974" t="str">
        <f>INDEX(Reference_Tables!$D$11:$D$36,MATCH(LoanData[[#This Row],[Branch]],Reference_Tables!$A$11:$A$36,0))</f>
        <v>Amit Kumar</v>
      </c>
      <c r="L974" s="35"/>
    </row>
    <row r="975" spans="2:12" ht="15.6" x14ac:dyDescent="0.3">
      <c r="B975" s="15">
        <f>DATEDIF(Loan_Data!K:K,Loan_Data!L:L,"D")</f>
        <v>17</v>
      </c>
      <c r="C975" s="15">
        <f ca="1">DATEDIF(LoanData[[#This Row],[Approval_Date]],TODAY(),"M")</f>
        <v>31</v>
      </c>
      <c r="D975" s="31">
        <f>EDATE(LoanData[[#This Row],[Approval_Date]],LoanData[[#This Row],[Loan_Term_Months]])</f>
        <v>47837</v>
      </c>
      <c r="E975" t="str">
        <f t="shared" ca="1" si="15"/>
        <v>NO</v>
      </c>
      <c r="F975" s="33">
        <f>IFERROR(LoanData[[#This Row],[EMI]]/LoanData[[#This Row],[Monthly_Income]]*100," ")</f>
        <v>6.8220781824256598</v>
      </c>
      <c r="G975" t="str" cm="1">
        <f t="array" ref="G975">_xlfn.IFS(F975&gt;40, "High DTI Risk",F975&gt;=25, "Moderate DTI",F975&lt;25, "Low DTI")</f>
        <v>Low DTI</v>
      </c>
      <c r="H975" t="str" cm="1">
        <f t="array" ref="H9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75" t="str">
        <f>_xlfn.XLOOKUP(H975,Reference_Tables!$B$2:$B$7,Reference_Tables!$C$2:$C$7,,0,1)</f>
        <v>MR</v>
      </c>
      <c r="J975" t="str">
        <f>INDEX(Reference_Tables!$D$11:$D$36,MATCH(LoanData[[#This Row],[Branch]],Reference_Tables!$A$11:$A$36,0))</f>
        <v>Amit Kumar</v>
      </c>
      <c r="L975" s="35"/>
    </row>
    <row r="976" spans="2:12" ht="15.6" x14ac:dyDescent="0.3">
      <c r="B976" s="15">
        <f>DATEDIF(Loan_Data!K:K,Loan_Data!L:L,"D")</f>
        <v>17</v>
      </c>
      <c r="C976" s="15">
        <f ca="1">DATEDIF(LoanData[[#This Row],[Approval_Date]],TODAY(),"M")</f>
        <v>60</v>
      </c>
      <c r="D976" s="31">
        <f>EDATE(LoanData[[#This Row],[Approval_Date]],LoanData[[#This Row],[Loan_Term_Months]])</f>
        <v>48049</v>
      </c>
      <c r="E976" t="str">
        <f t="shared" ca="1" si="15"/>
        <v>NO</v>
      </c>
      <c r="F976" s="33">
        <f>IFERROR(LoanData[[#This Row],[EMI]]/LoanData[[#This Row],[Monthly_Income]]*100," ")</f>
        <v>12.020092070092069</v>
      </c>
      <c r="G976" t="str" cm="1">
        <f t="array" ref="G976">_xlfn.IFS(F976&gt;40, "High DTI Risk",F976&gt;=25, "Moderate DTI",F976&lt;25, "Low DTI")</f>
        <v>Low DTI</v>
      </c>
      <c r="H976" t="str" cm="1">
        <f t="array" ref="H9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76" t="str">
        <f>_xlfn.XLOOKUP(H976,Reference_Tables!$B$2:$B$7,Reference_Tables!$C$2:$C$7,,0,1)</f>
        <v>MR</v>
      </c>
      <c r="J976" t="str">
        <f>INDEX(Reference_Tables!$D$11:$D$36,MATCH(LoanData[[#This Row],[Branch]],Reference_Tables!$A$11:$A$36,0))</f>
        <v>Jigar Mehta</v>
      </c>
      <c r="L976" s="35"/>
    </row>
    <row r="977" spans="2:12" ht="15.6" x14ac:dyDescent="0.3">
      <c r="B977" s="15">
        <f>DATEDIF(Loan_Data!K:K,Loan_Data!L:L,"D")</f>
        <v>19</v>
      </c>
      <c r="C977" s="15">
        <f ca="1">DATEDIF(LoanData[[#This Row],[Approval_Date]],TODAY(),"M")</f>
        <v>60</v>
      </c>
      <c r="D977" s="31">
        <f>EDATE(LoanData[[#This Row],[Approval_Date]],LoanData[[#This Row],[Loan_Term_Months]])</f>
        <v>45869</v>
      </c>
      <c r="E977" t="str">
        <f t="shared" ca="1" si="15"/>
        <v>YES</v>
      </c>
      <c r="F977" s="33">
        <f>IFERROR(LoanData[[#This Row],[EMI]]/LoanData[[#This Row],[Monthly_Income]]*100," ")</f>
        <v>114.39918247429266</v>
      </c>
      <c r="G977" t="str" cm="1">
        <f t="array" ref="G977">_xlfn.IFS(F977&gt;40, "High DTI Risk",F977&gt;=25, "Moderate DTI",F977&lt;25, "Low DTI")</f>
        <v>High DTI Risk</v>
      </c>
      <c r="H977" t="str" cm="1">
        <f t="array" ref="H9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77" t="str">
        <f>_xlfn.XLOOKUP(H977,Reference_Tables!$B$2:$B$7,Reference_Tables!$C$2:$C$7,,0,1)</f>
        <v>HR</v>
      </c>
      <c r="J977" t="str">
        <f>INDEX(Reference_Tables!$D$11:$D$36,MATCH(LoanData[[#This Row],[Branch]],Reference_Tables!$A$11:$A$36,0))</f>
        <v>Vikram Malhotra</v>
      </c>
      <c r="L977" s="35"/>
    </row>
    <row r="978" spans="2:12" ht="15.6" x14ac:dyDescent="0.3">
      <c r="B978" s="15">
        <f>DATEDIF(Loan_Data!K:K,Loan_Data!L:L,"D")</f>
        <v>3</v>
      </c>
      <c r="C978" s="15">
        <f ca="1">DATEDIF(LoanData[[#This Row],[Approval_Date]],TODAY(),"M")</f>
        <v>51</v>
      </c>
      <c r="D978" s="31">
        <f>EDATE(LoanData[[#This Row],[Approval_Date]],LoanData[[#This Row],[Loan_Term_Months]])</f>
        <v>48350</v>
      </c>
      <c r="E978" t="str">
        <f t="shared" ca="1" si="15"/>
        <v>NO</v>
      </c>
      <c r="F978" s="33">
        <f>IFERROR(LoanData[[#This Row],[EMI]]/LoanData[[#This Row],[Monthly_Income]]*100," ")</f>
        <v>4.865838620720579</v>
      </c>
      <c r="G978" t="str" cm="1">
        <f t="array" ref="G978">_xlfn.IFS(F978&gt;40, "High DTI Risk",F978&gt;=25, "Moderate DTI",F978&lt;25, "Low DTI")</f>
        <v>Low DTI</v>
      </c>
      <c r="H978" t="str" cm="1">
        <f t="array" ref="H9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78" t="str">
        <f>_xlfn.XLOOKUP(H978,Reference_Tables!$B$2:$B$7,Reference_Tables!$C$2:$C$7,,0,1)</f>
        <v>HR</v>
      </c>
      <c r="J978" t="str">
        <f>INDEX(Reference_Tables!$D$11:$D$36,MATCH(LoanData[[#This Row],[Branch]],Reference_Tables!$A$11:$A$36,0))</f>
        <v>Ravi Verma</v>
      </c>
      <c r="L978" s="35"/>
    </row>
    <row r="979" spans="2:12" ht="15.6" x14ac:dyDescent="0.3">
      <c r="B979" s="15">
        <f>DATEDIF(Loan_Data!K:K,Loan_Data!L:L,"D")</f>
        <v>27</v>
      </c>
      <c r="C979" s="15">
        <f ca="1">DATEDIF(LoanData[[#This Row],[Approval_Date]],TODAY(),"M")</f>
        <v>33</v>
      </c>
      <c r="D979" s="31">
        <f>EDATE(LoanData[[#This Row],[Approval_Date]],LoanData[[#This Row],[Loan_Term_Months]])</f>
        <v>46703</v>
      </c>
      <c r="E979" t="str">
        <f t="shared" ca="1" si="15"/>
        <v>NO</v>
      </c>
      <c r="F979" s="33">
        <f>IFERROR(LoanData[[#This Row],[EMI]]/LoanData[[#This Row],[Monthly_Income]]*100," ")</f>
        <v>2.7552418075889356</v>
      </c>
      <c r="G979" t="str" cm="1">
        <f t="array" ref="G979">_xlfn.IFS(F979&gt;40, "High DTI Risk",F979&gt;=25, "Moderate DTI",F979&lt;25, "Low DTI")</f>
        <v>Low DTI</v>
      </c>
      <c r="H979" t="str" cm="1">
        <f t="array" ref="H9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79" t="str">
        <f>_xlfn.XLOOKUP(H979,Reference_Tables!$B$2:$B$7,Reference_Tables!$C$2:$C$7,,0,1)</f>
        <v>LR</v>
      </c>
      <c r="J979" t="str">
        <f>INDEX(Reference_Tables!$D$11:$D$36,MATCH(LoanData[[#This Row],[Branch]],Reference_Tables!$A$11:$A$36,0))</f>
        <v>Kavita Joshi</v>
      </c>
      <c r="L979" s="35"/>
    </row>
    <row r="980" spans="2:12" ht="15.6" x14ac:dyDescent="0.3">
      <c r="B980" s="15">
        <f>DATEDIF(Loan_Data!K:K,Loan_Data!L:L,"D")</f>
        <v>13</v>
      </c>
      <c r="C980" s="15">
        <f ca="1">DATEDIF(LoanData[[#This Row],[Approval_Date]],TODAY(),"M")</f>
        <v>33</v>
      </c>
      <c r="D980" s="31">
        <f>EDATE(LoanData[[#This Row],[Approval_Date]],LoanData[[#This Row],[Loan_Term_Months]])</f>
        <v>50722</v>
      </c>
      <c r="E980" t="str">
        <f t="shared" ca="1" si="15"/>
        <v>NO</v>
      </c>
      <c r="F980" s="33">
        <f>IFERROR(LoanData[[#This Row],[EMI]]/LoanData[[#This Row],[Monthly_Income]]*100," ")</f>
        <v>14.592160754155298</v>
      </c>
      <c r="G980" t="str" cm="1">
        <f t="array" ref="G980">_xlfn.IFS(F980&gt;40, "High DTI Risk",F980&gt;=25, "Moderate DTI",F980&lt;25, "Low DTI")</f>
        <v>Low DTI</v>
      </c>
      <c r="H980" t="str" cm="1">
        <f t="array" ref="H9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980" t="str">
        <f>_xlfn.XLOOKUP(H980,Reference_Tables!$B$2:$B$7,Reference_Tables!$C$2:$C$7,,0,1)</f>
        <v>UC</v>
      </c>
      <c r="J980" t="str">
        <f>INDEX(Reference_Tables!$D$11:$D$36,MATCH(LoanData[[#This Row],[Branch]],Reference_Tables!$A$11:$A$36,0))</f>
        <v>Meena Iyer</v>
      </c>
      <c r="L980" s="35"/>
    </row>
    <row r="981" spans="2:12" ht="15.6" x14ac:dyDescent="0.3">
      <c r="B981" s="15">
        <f>DATEDIF(Loan_Data!K:K,Loan_Data!L:L,"D")</f>
        <v>19</v>
      </c>
      <c r="C981" s="15">
        <f ca="1">DATEDIF(LoanData[[#This Row],[Approval_Date]],TODAY(),"M")</f>
        <v>65</v>
      </c>
      <c r="D981" s="31">
        <f>EDATE(LoanData[[#This Row],[Approval_Date]],LoanData[[#This Row],[Loan_Term_Months]])</f>
        <v>46805</v>
      </c>
      <c r="E981" t="str">
        <f t="shared" ca="1" si="15"/>
        <v>NO</v>
      </c>
      <c r="F981" s="33">
        <f>IFERROR(LoanData[[#This Row],[EMI]]/LoanData[[#This Row],[Monthly_Income]]*100," ")</f>
        <v>2.196273776559809</v>
      </c>
      <c r="G981" t="str" cm="1">
        <f t="array" ref="G981">_xlfn.IFS(F981&gt;40, "High DTI Risk",F981&gt;=25, "Moderate DTI",F981&lt;25, "Low DTI")</f>
        <v>Low DTI</v>
      </c>
      <c r="H981" t="str" cm="1">
        <f t="array" ref="H9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81" t="str">
        <f>_xlfn.XLOOKUP(H981,Reference_Tables!$B$2:$B$7,Reference_Tables!$C$2:$C$7,,0,1)</f>
        <v>MR</v>
      </c>
      <c r="J981" t="str">
        <f>INDEX(Reference_Tables!$D$11:$D$36,MATCH(LoanData[[#This Row],[Branch]],Reference_Tables!$A$11:$A$36,0))</f>
        <v>Ananya Sharma</v>
      </c>
      <c r="L981" s="35"/>
    </row>
    <row r="982" spans="2:12" ht="15.6" x14ac:dyDescent="0.3">
      <c r="B982" s="15">
        <f>DATEDIF(Loan_Data!K:K,Loan_Data!L:L,"D")</f>
        <v>6</v>
      </c>
      <c r="C982" s="15">
        <f ca="1">DATEDIF(LoanData[[#This Row],[Approval_Date]],TODAY(),"M")</f>
        <v>56</v>
      </c>
      <c r="D982" s="31">
        <f>EDATE(LoanData[[#This Row],[Approval_Date]],LoanData[[#This Row],[Loan_Term_Months]])</f>
        <v>47076</v>
      </c>
      <c r="E982" t="str">
        <f t="shared" ca="1" si="15"/>
        <v>NO</v>
      </c>
      <c r="F982" s="33">
        <f>IFERROR(LoanData[[#This Row],[EMI]]/LoanData[[#This Row],[Monthly_Income]]*100," ")</f>
        <v>3.1760107153595936</v>
      </c>
      <c r="G982" t="str" cm="1">
        <f t="array" ref="G982">_xlfn.IFS(F982&gt;40, "High DTI Risk",F982&gt;=25, "Moderate DTI",F982&lt;25, "Low DTI")</f>
        <v>Low DTI</v>
      </c>
      <c r="H982" t="str" cm="1">
        <f t="array" ref="H9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82" t="str">
        <f>_xlfn.XLOOKUP(H982,Reference_Tables!$B$2:$B$7,Reference_Tables!$C$2:$C$7,,0,1)</f>
        <v>LR</v>
      </c>
      <c r="J982" t="str">
        <f>INDEX(Reference_Tables!$D$11:$D$36,MATCH(LoanData[[#This Row],[Branch]],Reference_Tables!$A$11:$A$36,0))</f>
        <v>Sandeep Saxena</v>
      </c>
      <c r="L982" s="35"/>
    </row>
    <row r="983" spans="2:12" ht="15.6" x14ac:dyDescent="0.3">
      <c r="B983" s="15">
        <f>DATEDIF(Loan_Data!K:K,Loan_Data!L:L,"D")</f>
        <v>21</v>
      </c>
      <c r="C983" s="15">
        <f ca="1">DATEDIF(LoanData[[#This Row],[Approval_Date]],TODAY(),"M")</f>
        <v>39</v>
      </c>
      <c r="D983" s="31">
        <f>EDATE(LoanData[[#This Row],[Approval_Date]],LoanData[[#This Row],[Loan_Term_Months]])</f>
        <v>47593</v>
      </c>
      <c r="E983" t="str">
        <f t="shared" ca="1" si="15"/>
        <v>NO</v>
      </c>
      <c r="F983" s="33">
        <f>IFERROR(LoanData[[#This Row],[EMI]]/LoanData[[#This Row],[Monthly_Income]]*100," ")</f>
        <v>8.754611754611755</v>
      </c>
      <c r="G983" t="str" cm="1">
        <f t="array" ref="G983">_xlfn.IFS(F983&gt;40, "High DTI Risk",F983&gt;=25, "Moderate DTI",F983&lt;25, "Low DTI")</f>
        <v>Low DTI</v>
      </c>
      <c r="H983" t="str" cm="1">
        <f t="array" ref="H9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83" t="str">
        <f>_xlfn.XLOOKUP(H983,Reference_Tables!$B$2:$B$7,Reference_Tables!$C$2:$C$7,,0,1)</f>
        <v>VHR</v>
      </c>
      <c r="J983" t="str">
        <f>INDEX(Reference_Tables!$D$11:$D$36,MATCH(LoanData[[#This Row],[Branch]],Reference_Tables!$A$11:$A$36,0))</f>
        <v>Tapan Panda</v>
      </c>
      <c r="L983" s="35"/>
    </row>
    <row r="984" spans="2:12" ht="15.6" x14ac:dyDescent="0.3">
      <c r="B984" s="15">
        <f>DATEDIF(Loan_Data!K:K,Loan_Data!L:L,"D")</f>
        <v>27</v>
      </c>
      <c r="C984" s="15">
        <f ca="1">DATEDIF(LoanData[[#This Row],[Approval_Date]],TODAY(),"M")</f>
        <v>62</v>
      </c>
      <c r="D984" s="31">
        <f>EDATE(LoanData[[#This Row],[Approval_Date]],LoanData[[#This Row],[Loan_Term_Months]])</f>
        <v>45068</v>
      </c>
      <c r="E984" t="str">
        <f t="shared" ca="1" si="15"/>
        <v>YES</v>
      </c>
      <c r="F984" s="33">
        <f>IFERROR(LoanData[[#This Row],[EMI]]/LoanData[[#This Row],[Monthly_Income]]*100," ")</f>
        <v>32.507418151678408</v>
      </c>
      <c r="G984" t="str" cm="1">
        <f t="array" ref="G984">_xlfn.IFS(F984&gt;40, "High DTI Risk",F984&gt;=25, "Moderate DTI",F984&lt;25, "Low DTI")</f>
        <v>Moderate DTI</v>
      </c>
      <c r="H984" t="str" cm="1">
        <f t="array" ref="H9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84" t="str">
        <f>_xlfn.XLOOKUP(H984,Reference_Tables!$B$2:$B$7,Reference_Tables!$C$2:$C$7,,0,1)</f>
        <v>VHR</v>
      </c>
      <c r="J984" t="str">
        <f>INDEX(Reference_Tables!$D$11:$D$36,MATCH(LoanData[[#This Row],[Branch]],Reference_Tables!$A$11:$A$36,0))</f>
        <v>Priya Yadav</v>
      </c>
      <c r="L984" s="35"/>
    </row>
    <row r="985" spans="2:12" ht="15.6" x14ac:dyDescent="0.3">
      <c r="B985" s="15">
        <f>DATEDIF(Loan_Data!K:K,Loan_Data!L:L,"D")</f>
        <v>16</v>
      </c>
      <c r="C985" s="15">
        <f ca="1">DATEDIF(LoanData[[#This Row],[Approval_Date]],TODAY(),"M")</f>
        <v>33</v>
      </c>
      <c r="D985" s="31">
        <f>EDATE(LoanData[[#This Row],[Approval_Date]],LoanData[[#This Row],[Loan_Term_Months]])</f>
        <v>50719</v>
      </c>
      <c r="E985" t="str">
        <f t="shared" ca="1" si="15"/>
        <v>NO</v>
      </c>
      <c r="F985" s="33">
        <f>IFERROR(LoanData[[#This Row],[EMI]]/LoanData[[#This Row],[Monthly_Income]]*100," ")</f>
        <v>1.0575229820410379</v>
      </c>
      <c r="G985" t="str" cm="1">
        <f t="array" ref="G985">_xlfn.IFS(F985&gt;40, "High DTI Risk",F985&gt;=25, "Moderate DTI",F985&lt;25, "Low DTI")</f>
        <v>Low DTI</v>
      </c>
      <c r="H985" t="str" cm="1">
        <f t="array" ref="H9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85" t="str">
        <f>_xlfn.XLOOKUP(H985,Reference_Tables!$B$2:$B$7,Reference_Tables!$C$2:$C$7,,0,1)</f>
        <v>LR</v>
      </c>
      <c r="J985" t="str">
        <f>INDEX(Reference_Tables!$D$11:$D$36,MATCH(LoanData[[#This Row],[Branch]],Reference_Tables!$A$11:$A$36,0))</f>
        <v>Sachin Deshpande</v>
      </c>
      <c r="L985" s="35"/>
    </row>
    <row r="986" spans="2:12" ht="15.6" x14ac:dyDescent="0.3">
      <c r="B986" s="15">
        <f>DATEDIF(Loan_Data!K:K,Loan_Data!L:L,"D")</f>
        <v>27</v>
      </c>
      <c r="C986" s="15">
        <f ca="1">DATEDIF(LoanData[[#This Row],[Approval_Date]],TODAY(),"M")</f>
        <v>65</v>
      </c>
      <c r="D986" s="31">
        <f>EDATE(LoanData[[#This Row],[Approval_Date]],LoanData[[#This Row],[Loan_Term_Months]])</f>
        <v>47925</v>
      </c>
      <c r="E986" t="str">
        <f t="shared" ca="1" si="15"/>
        <v>NO</v>
      </c>
      <c r="F986" s="33">
        <f>IFERROR(LoanData[[#This Row],[EMI]]/LoanData[[#This Row],[Monthly_Income]]*100," ")</f>
        <v>2.9837343449566074</v>
      </c>
      <c r="G986" t="str" cm="1">
        <f t="array" ref="G986">_xlfn.IFS(F986&gt;40, "High DTI Risk",F986&gt;=25, "Moderate DTI",F986&lt;25, "Low DTI")</f>
        <v>Low DTI</v>
      </c>
      <c r="H986" t="str" cm="1">
        <f t="array" ref="H9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86" t="str">
        <f>_xlfn.XLOOKUP(H986,Reference_Tables!$B$2:$B$7,Reference_Tables!$C$2:$C$7,,0,1)</f>
        <v>VHR</v>
      </c>
      <c r="J986" t="str">
        <f>INDEX(Reference_Tables!$D$11:$D$36,MATCH(LoanData[[#This Row],[Branch]],Reference_Tables!$A$11:$A$36,0))</f>
        <v>Tapan Panda</v>
      </c>
      <c r="L986" s="35"/>
    </row>
    <row r="987" spans="2:12" ht="15.6" x14ac:dyDescent="0.3">
      <c r="B987" s="15">
        <f>DATEDIF(Loan_Data!K:K,Loan_Data!L:L,"D")</f>
        <v>27</v>
      </c>
      <c r="C987" s="15">
        <f ca="1">DATEDIF(LoanData[[#This Row],[Approval_Date]],TODAY(),"M")</f>
        <v>56</v>
      </c>
      <c r="D987" s="31">
        <f>EDATE(LoanData[[#This Row],[Approval_Date]],LoanData[[#This Row],[Loan_Term_Months]])</f>
        <v>50022</v>
      </c>
      <c r="E987" t="str">
        <f t="shared" ca="1" si="15"/>
        <v>NO</v>
      </c>
      <c r="F987" s="33">
        <f>IFERROR(LoanData[[#This Row],[EMI]]/LoanData[[#This Row],[Monthly_Income]]*100," ")</f>
        <v>13.078980609706866</v>
      </c>
      <c r="G987" t="str" cm="1">
        <f t="array" ref="G987">_xlfn.IFS(F987&gt;40, "High DTI Risk",F987&gt;=25, "Moderate DTI",F987&lt;25, "Low DTI")</f>
        <v>Low DTI</v>
      </c>
      <c r="H987" t="str" cm="1">
        <f t="array" ref="H9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87" t="str">
        <f>_xlfn.XLOOKUP(H987,Reference_Tables!$B$2:$B$7,Reference_Tables!$C$2:$C$7,,0,1)</f>
        <v>VHR</v>
      </c>
      <c r="J987" t="str">
        <f>INDEX(Reference_Tables!$D$11:$D$36,MATCH(LoanData[[#This Row],[Branch]],Reference_Tables!$A$11:$A$36,0))</f>
        <v>Meena Iyer</v>
      </c>
      <c r="L987" s="35"/>
    </row>
    <row r="988" spans="2:12" ht="15.6" x14ac:dyDescent="0.3">
      <c r="B988" s="15">
        <f>DATEDIF(Loan_Data!K:K,Loan_Data!L:L,"D")</f>
        <v>4</v>
      </c>
      <c r="C988" s="15">
        <f ca="1">DATEDIF(LoanData[[#This Row],[Approval_Date]],TODAY(),"M")</f>
        <v>31</v>
      </c>
      <c r="D988" s="31">
        <f>EDATE(LoanData[[#This Row],[Approval_Date]],LoanData[[#This Row],[Loan_Term_Months]])</f>
        <v>52584</v>
      </c>
      <c r="E988" t="str">
        <f t="shared" ca="1" si="15"/>
        <v>NO</v>
      </c>
      <c r="F988" s="33">
        <f>IFERROR(LoanData[[#This Row],[EMI]]/LoanData[[#This Row],[Monthly_Income]]*100," ")</f>
        <v>11.491545487760321</v>
      </c>
      <c r="G988" t="str" cm="1">
        <f t="array" ref="G988">_xlfn.IFS(F988&gt;40, "High DTI Risk",F988&gt;=25, "Moderate DTI",F988&lt;25, "Low DTI")</f>
        <v>Low DTI</v>
      </c>
      <c r="H988" t="str" cm="1">
        <f t="array" ref="H9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88" t="str">
        <f>_xlfn.XLOOKUP(H988,Reference_Tables!$B$2:$B$7,Reference_Tables!$C$2:$C$7,,0,1)</f>
        <v>VHR</v>
      </c>
      <c r="J988" t="str">
        <f>INDEX(Reference_Tables!$D$11:$D$36,MATCH(LoanData[[#This Row],[Branch]],Reference_Tables!$A$11:$A$36,0))</f>
        <v>Rahul Kapoor</v>
      </c>
      <c r="L988" s="35"/>
    </row>
    <row r="989" spans="2:12" ht="15.6" x14ac:dyDescent="0.3">
      <c r="B989" s="15">
        <f>DATEDIF(Loan_Data!K:K,Loan_Data!L:L,"D")</f>
        <v>14</v>
      </c>
      <c r="C989" s="15">
        <f ca="1">DATEDIF(LoanData[[#This Row],[Approval_Date]],TODAY(),"M")</f>
        <v>43</v>
      </c>
      <c r="D989" s="31">
        <f>EDATE(LoanData[[#This Row],[Approval_Date]],LoanData[[#This Row],[Loan_Term_Months]])</f>
        <v>52236</v>
      </c>
      <c r="E989" t="str">
        <f t="shared" ca="1" si="15"/>
        <v>NO</v>
      </c>
      <c r="F989" s="33">
        <f>IFERROR(LoanData[[#This Row],[EMI]]/LoanData[[#This Row],[Monthly_Income]]*100," ")</f>
        <v>6.4644767899291899</v>
      </c>
      <c r="G989" t="str" cm="1">
        <f t="array" ref="G989">_xlfn.IFS(F989&gt;40, "High DTI Risk",F989&gt;=25, "Moderate DTI",F989&lt;25, "Low DTI")</f>
        <v>Low DTI</v>
      </c>
      <c r="H989" t="str" cm="1">
        <f t="array" ref="H9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89" t="str">
        <f>_xlfn.XLOOKUP(H989,Reference_Tables!$B$2:$B$7,Reference_Tables!$C$2:$C$7,,0,1)</f>
        <v>MR</v>
      </c>
      <c r="J989" t="str">
        <f>INDEX(Reference_Tables!$D$11:$D$36,MATCH(LoanData[[#This Row],[Branch]],Reference_Tables!$A$11:$A$36,0))</f>
        <v>Santhosh Rao</v>
      </c>
      <c r="L989" s="35"/>
    </row>
    <row r="990" spans="2:12" ht="15.6" x14ac:dyDescent="0.3">
      <c r="B990" s="15">
        <f>DATEDIF(Loan_Data!K:K,Loan_Data!L:L,"D")</f>
        <v>26</v>
      </c>
      <c r="C990" s="15">
        <f ca="1">DATEDIF(LoanData[[#This Row],[Approval_Date]],TODAY(),"M")</f>
        <v>41</v>
      </c>
      <c r="D990" s="31">
        <f>EDATE(LoanData[[#This Row],[Approval_Date]],LoanData[[#This Row],[Loan_Term_Months]])</f>
        <v>50481</v>
      </c>
      <c r="E990" t="str">
        <f t="shared" ca="1" si="15"/>
        <v>NO</v>
      </c>
      <c r="F990" s="33">
        <f>IFERROR(LoanData[[#This Row],[EMI]]/LoanData[[#This Row],[Monthly_Income]]*100," ")</f>
        <v>10.240707272993699</v>
      </c>
      <c r="G990" t="str" cm="1">
        <f t="array" ref="G990">_xlfn.IFS(F990&gt;40, "High DTI Risk",F990&gt;=25, "Moderate DTI",F990&lt;25, "Low DTI")</f>
        <v>Low DTI</v>
      </c>
      <c r="H990" t="str" cm="1">
        <f t="array" ref="H9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90" t="str">
        <f>_xlfn.XLOOKUP(H990,Reference_Tables!$B$2:$B$7,Reference_Tables!$C$2:$C$7,,0,1)</f>
        <v>HR</v>
      </c>
      <c r="J990" t="str">
        <f>INDEX(Reference_Tables!$D$11:$D$36,MATCH(LoanData[[#This Row],[Branch]],Reference_Tables!$A$11:$A$36,0))</f>
        <v>Hetal Patel</v>
      </c>
      <c r="L990" s="35"/>
    </row>
    <row r="991" spans="2:12" ht="15.6" x14ac:dyDescent="0.3">
      <c r="B991" s="15">
        <f>DATEDIF(Loan_Data!K:K,Loan_Data!L:L,"D")</f>
        <v>10</v>
      </c>
      <c r="C991" s="15">
        <f ca="1">DATEDIF(LoanData[[#This Row],[Approval_Date]],TODAY(),"M")</f>
        <v>64</v>
      </c>
      <c r="D991" s="31">
        <f>EDATE(LoanData[[#This Row],[Approval_Date]],LoanData[[#This Row],[Loan_Term_Months]])</f>
        <v>51598</v>
      </c>
      <c r="E991" t="str">
        <f t="shared" ca="1" si="15"/>
        <v>NO</v>
      </c>
      <c r="F991" s="33">
        <f>IFERROR(LoanData[[#This Row],[EMI]]/LoanData[[#This Row],[Monthly_Income]]*100," ")</f>
        <v>4.2528799615614492</v>
      </c>
      <c r="G991" t="str" cm="1">
        <f t="array" ref="G991">_xlfn.IFS(F991&gt;40, "High DTI Risk",F991&gt;=25, "Moderate DTI",F991&lt;25, "Low DTI")</f>
        <v>Low DTI</v>
      </c>
      <c r="H991" t="str" cm="1">
        <f t="array" ref="H9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91" t="str">
        <f>_xlfn.XLOOKUP(H991,Reference_Tables!$B$2:$B$7,Reference_Tables!$C$2:$C$7,,0,1)</f>
        <v>LR</v>
      </c>
      <c r="J991" t="str">
        <f>INDEX(Reference_Tables!$D$11:$D$36,MATCH(LoanData[[#This Row],[Branch]],Reference_Tables!$A$11:$A$36,0))</f>
        <v>Rahul Kapoor</v>
      </c>
      <c r="L991" s="35"/>
    </row>
    <row r="992" spans="2:12" ht="15.6" x14ac:dyDescent="0.3">
      <c r="B992" s="15">
        <f>DATEDIF(Loan_Data!K:K,Loan_Data!L:L,"D")</f>
        <v>5</v>
      </c>
      <c r="C992" s="15">
        <f ca="1">DATEDIF(LoanData[[#This Row],[Approval_Date]],TODAY(),"M")</f>
        <v>59</v>
      </c>
      <c r="D992" s="31">
        <f>EDATE(LoanData[[#This Row],[Approval_Date]],LoanData[[#This Row],[Loan_Term_Months]])</f>
        <v>45916</v>
      </c>
      <c r="E992" t="str">
        <f t="shared" ca="1" si="15"/>
        <v>YES</v>
      </c>
      <c r="F992" s="33">
        <f>IFERROR(LoanData[[#This Row],[EMI]]/LoanData[[#This Row],[Monthly_Income]]*100," ")</f>
        <v>27.031782594095922</v>
      </c>
      <c r="G992" t="str" cm="1">
        <f t="array" ref="G992">_xlfn.IFS(F992&gt;40, "High DTI Risk",F992&gt;=25, "Moderate DTI",F992&lt;25, "Low DTI")</f>
        <v>Moderate DTI</v>
      </c>
      <c r="H992" t="str" cm="1">
        <f t="array" ref="H9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92" t="str">
        <f>_xlfn.XLOOKUP(H992,Reference_Tables!$B$2:$B$7,Reference_Tables!$C$2:$C$7,,0,1)</f>
        <v>HR</v>
      </c>
      <c r="J992" t="str">
        <f>INDEX(Reference_Tables!$D$11:$D$36,MATCH(LoanData[[#This Row],[Branch]],Reference_Tables!$A$11:$A$36,0))</f>
        <v>Puja Chatterjee</v>
      </c>
      <c r="L992" s="35"/>
    </row>
    <row r="993" spans="2:12" ht="15.6" x14ac:dyDescent="0.3">
      <c r="B993" s="15">
        <f>DATEDIF(Loan_Data!K:K,Loan_Data!L:L,"D")</f>
        <v>13</v>
      </c>
      <c r="C993" s="15">
        <f ca="1">DATEDIF(LoanData[[#This Row],[Approval_Date]],TODAY(),"M")</f>
        <v>55</v>
      </c>
      <c r="D993" s="31">
        <f>EDATE(LoanData[[#This Row],[Approval_Date]],LoanData[[#This Row],[Loan_Term_Months]])</f>
        <v>48211</v>
      </c>
      <c r="E993" t="str">
        <f t="shared" ca="1" si="15"/>
        <v>NO</v>
      </c>
      <c r="F993" s="33">
        <f>IFERROR(LoanData[[#This Row],[EMI]]/LoanData[[#This Row],[Monthly_Income]]*100," ")</f>
        <v>24.147904287779028</v>
      </c>
      <c r="G993" t="str" cm="1">
        <f t="array" ref="G993">_xlfn.IFS(F993&gt;40, "High DTI Risk",F993&gt;=25, "Moderate DTI",F993&lt;25, "Low DTI")</f>
        <v>Low DTI</v>
      </c>
      <c r="H993" t="str" cm="1">
        <f t="array" ref="H9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993" t="str">
        <f>_xlfn.XLOOKUP(H993,Reference_Tables!$B$2:$B$7,Reference_Tables!$C$2:$C$7,,0,1)</f>
        <v>MR</v>
      </c>
      <c r="J993" t="str">
        <f>INDEX(Reference_Tables!$D$11:$D$36,MATCH(LoanData[[#This Row],[Branch]],Reference_Tables!$A$11:$A$36,0))</f>
        <v>Priya Yadav</v>
      </c>
      <c r="L993" s="35"/>
    </row>
    <row r="994" spans="2:12" ht="15.6" x14ac:dyDescent="0.3">
      <c r="B994" s="15">
        <f>DATEDIF(Loan_Data!K:K,Loan_Data!L:L,"D")</f>
        <v>16</v>
      </c>
      <c r="C994" s="15">
        <f ca="1">DATEDIF(LoanData[[#This Row],[Approval_Date]],TODAY(),"M")</f>
        <v>36</v>
      </c>
      <c r="D994" s="31">
        <f>EDATE(LoanData[[#This Row],[Approval_Date]],LoanData[[#This Row],[Loan_Term_Months]])</f>
        <v>52447</v>
      </c>
      <c r="E994" t="str">
        <f t="shared" ca="1" si="15"/>
        <v>NO</v>
      </c>
      <c r="F994" s="33">
        <f>IFERROR(LoanData[[#This Row],[EMI]]/LoanData[[#This Row],[Monthly_Income]]*100," ")</f>
        <v>4.5019800618769343</v>
      </c>
      <c r="G994" t="str" cm="1">
        <f t="array" ref="G994">_xlfn.IFS(F994&gt;40, "High DTI Risk",F994&gt;=25, "Moderate DTI",F994&lt;25, "Low DTI")</f>
        <v>Low DTI</v>
      </c>
      <c r="H994" t="str" cm="1">
        <f t="array" ref="H9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94" t="str">
        <f>_xlfn.XLOOKUP(H994,Reference_Tables!$B$2:$B$7,Reference_Tables!$C$2:$C$7,,0,1)</f>
        <v>VHR</v>
      </c>
      <c r="J994" t="str">
        <f>INDEX(Reference_Tables!$D$11:$D$36,MATCH(LoanData[[#This Row],[Branch]],Reference_Tables!$A$11:$A$36,0))</f>
        <v>Suresh Menon</v>
      </c>
      <c r="L994" s="35"/>
    </row>
    <row r="995" spans="2:12" ht="15.6" x14ac:dyDescent="0.3">
      <c r="B995" s="15">
        <f>DATEDIF(Loan_Data!K:K,Loan_Data!L:L,"D")</f>
        <v>4</v>
      </c>
      <c r="C995" s="15">
        <f ca="1">DATEDIF(LoanData[[#This Row],[Approval_Date]],TODAY(),"M")</f>
        <v>43</v>
      </c>
      <c r="D995" s="31">
        <f>EDATE(LoanData[[#This Row],[Approval_Date]],LoanData[[#This Row],[Loan_Term_Months]])</f>
        <v>52220</v>
      </c>
      <c r="E995" t="str">
        <f t="shared" ca="1" si="15"/>
        <v>NO</v>
      </c>
      <c r="F995" s="33">
        <f>IFERROR(LoanData[[#This Row],[EMI]]/LoanData[[#This Row],[Monthly_Income]]*100," ")</f>
        <v>9.5841057226574176</v>
      </c>
      <c r="G995" t="str" cm="1">
        <f t="array" ref="G995">_xlfn.IFS(F995&gt;40, "High DTI Risk",F995&gt;=25, "Moderate DTI",F995&lt;25, "Low DTI")</f>
        <v>Low DTI</v>
      </c>
      <c r="H995" t="str" cm="1">
        <f t="array" ref="H9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95" t="str">
        <f>_xlfn.XLOOKUP(H995,Reference_Tables!$B$2:$B$7,Reference_Tables!$C$2:$C$7,,0,1)</f>
        <v>VHR</v>
      </c>
      <c r="J995" t="str">
        <f>INDEX(Reference_Tables!$D$11:$D$36,MATCH(LoanData[[#This Row],[Branch]],Reference_Tables!$A$11:$A$36,0))</f>
        <v>Meena Iyer</v>
      </c>
      <c r="L995" s="35"/>
    </row>
    <row r="996" spans="2:12" ht="15.6" x14ac:dyDescent="0.3">
      <c r="B996" s="15">
        <f>DATEDIF(Loan_Data!K:K,Loan_Data!L:L,"D")</f>
        <v>5</v>
      </c>
      <c r="C996" s="15">
        <f ca="1">DATEDIF(LoanData[[#This Row],[Approval_Date]],TODAY(),"M")</f>
        <v>31</v>
      </c>
      <c r="D996" s="31">
        <f>EDATE(LoanData[[#This Row],[Approval_Date]],LoanData[[#This Row],[Loan_Term_Months]])</f>
        <v>48938</v>
      </c>
      <c r="E996" t="str">
        <f t="shared" ca="1" si="15"/>
        <v>NO</v>
      </c>
      <c r="F996" s="33">
        <f>IFERROR(LoanData[[#This Row],[EMI]]/LoanData[[#This Row],[Monthly_Income]]*100," ")</f>
        <v>7.9965054294175717</v>
      </c>
      <c r="G996" t="str" cm="1">
        <f t="array" ref="G996">_xlfn.IFS(F996&gt;40, "High DTI Risk",F996&gt;=25, "Moderate DTI",F996&lt;25, "Low DTI")</f>
        <v>Low DTI</v>
      </c>
      <c r="H996" t="str" cm="1">
        <f t="array" ref="H9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96" t="str">
        <f>_xlfn.XLOOKUP(H996,Reference_Tables!$B$2:$B$7,Reference_Tables!$C$2:$C$7,,0,1)</f>
        <v>VHR</v>
      </c>
      <c r="J996" t="str">
        <f>INDEX(Reference_Tables!$D$11:$D$36,MATCH(LoanData[[#This Row],[Branch]],Reference_Tables!$A$11:$A$36,0))</f>
        <v>Deepak Nair</v>
      </c>
      <c r="L996" s="35"/>
    </row>
    <row r="997" spans="2:12" ht="15.6" x14ac:dyDescent="0.3">
      <c r="B997" s="15">
        <f>DATEDIF(Loan_Data!K:K,Loan_Data!L:L,"D")</f>
        <v>6</v>
      </c>
      <c r="C997" s="15">
        <f ca="1">DATEDIF(LoanData[[#This Row],[Approval_Date]],TODAY(),"M")</f>
        <v>66</v>
      </c>
      <c r="D997" s="31">
        <f>EDATE(LoanData[[#This Row],[Approval_Date]],LoanData[[#This Row],[Loan_Term_Months]])</f>
        <v>46041</v>
      </c>
      <c r="E997" t="str">
        <f t="shared" ca="1" si="15"/>
        <v>YES</v>
      </c>
      <c r="F997" s="33">
        <f>IFERROR(LoanData[[#This Row],[EMI]]/LoanData[[#This Row],[Monthly_Income]]*100," ")</f>
        <v>2.6463296968088095</v>
      </c>
      <c r="G997" t="str" cm="1">
        <f t="array" ref="G997">_xlfn.IFS(F997&gt;40, "High DTI Risk",F997&gt;=25, "Moderate DTI",F997&lt;25, "Low DTI")</f>
        <v>Low DTI</v>
      </c>
      <c r="H997" t="str" cm="1">
        <f t="array" ref="H9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997" t="str">
        <f>_xlfn.XLOOKUP(H997,Reference_Tables!$B$2:$B$7,Reference_Tables!$C$2:$C$7,,0,1)</f>
        <v>HR</v>
      </c>
      <c r="J997" t="str">
        <f>INDEX(Reference_Tables!$D$11:$D$36,MATCH(LoanData[[#This Row],[Branch]],Reference_Tables!$A$11:$A$36,0))</f>
        <v>Sandeep Saxena</v>
      </c>
      <c r="L997" s="35"/>
    </row>
    <row r="998" spans="2:12" ht="15.6" x14ac:dyDescent="0.3">
      <c r="B998" s="15">
        <f>DATEDIF(Loan_Data!K:K,Loan_Data!L:L,"D")</f>
        <v>26</v>
      </c>
      <c r="C998" s="15">
        <f ca="1">DATEDIF(LoanData[[#This Row],[Approval_Date]],TODAY(),"M")</f>
        <v>34</v>
      </c>
      <c r="D998" s="31">
        <f>EDATE(LoanData[[#This Row],[Approval_Date]],LoanData[[#This Row],[Loan_Term_Months]])</f>
        <v>52518</v>
      </c>
      <c r="E998" t="str">
        <f t="shared" ca="1" si="15"/>
        <v>NO</v>
      </c>
      <c r="F998" s="33">
        <f>IFERROR(LoanData[[#This Row],[EMI]]/LoanData[[#This Row],[Monthly_Income]]*100," ")</f>
        <v>8.4302737110120951</v>
      </c>
      <c r="G998" t="str" cm="1">
        <f t="array" ref="G998">_xlfn.IFS(F998&gt;40, "High DTI Risk",F998&gt;=25, "Moderate DTI",F998&lt;25, "Low DTI")</f>
        <v>Low DTI</v>
      </c>
      <c r="H998" t="str" cm="1">
        <f t="array" ref="H9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998" t="str">
        <f>_xlfn.XLOOKUP(H998,Reference_Tables!$B$2:$B$7,Reference_Tables!$C$2:$C$7,,0,1)</f>
        <v>LR</v>
      </c>
      <c r="J998" t="str">
        <f>INDEX(Reference_Tables!$D$11:$D$36,MATCH(LoanData[[#This Row],[Branch]],Reference_Tables!$A$11:$A$36,0))</f>
        <v>Meena Iyer</v>
      </c>
      <c r="L998" s="35"/>
    </row>
    <row r="999" spans="2:12" ht="15.6" x14ac:dyDescent="0.3">
      <c r="B999" s="15">
        <f>DATEDIF(Loan_Data!K:K,Loan_Data!L:L,"D")</f>
        <v>6</v>
      </c>
      <c r="C999" s="15">
        <f ca="1">DATEDIF(LoanData[[#This Row],[Approval_Date]],TODAY(),"M")</f>
        <v>32</v>
      </c>
      <c r="D999" s="31">
        <f>EDATE(LoanData[[#This Row],[Approval_Date]],LoanData[[#This Row],[Loan_Term_Months]])</f>
        <v>52577</v>
      </c>
      <c r="E999" t="str">
        <f t="shared" ca="1" si="15"/>
        <v>NO</v>
      </c>
      <c r="F999" s="33">
        <f>IFERROR(LoanData[[#This Row],[EMI]]/LoanData[[#This Row],[Monthly_Income]]*100," ")</f>
        <v>0.51580423968917555</v>
      </c>
      <c r="G999" t="str" cm="1">
        <f t="array" ref="G999">_xlfn.IFS(F999&gt;40, "High DTI Risk",F999&gt;=25, "Moderate DTI",F999&lt;25, "Low DTI")</f>
        <v>Low DTI</v>
      </c>
      <c r="H999" t="str" cm="1">
        <f t="array" ref="H9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999" t="str">
        <f>_xlfn.XLOOKUP(H999,Reference_Tables!$B$2:$B$7,Reference_Tables!$C$2:$C$7,,0,1)</f>
        <v>VHR</v>
      </c>
      <c r="J999" t="str">
        <f>INDEX(Reference_Tables!$D$11:$D$36,MATCH(LoanData[[#This Row],[Branch]],Reference_Tables!$A$11:$A$36,0))</f>
        <v>Rahul Kapoor</v>
      </c>
      <c r="L999" s="35"/>
    </row>
    <row r="1000" spans="2:12" ht="15.6" x14ac:dyDescent="0.3">
      <c r="B1000" s="15">
        <f>DATEDIF(Loan_Data!K:K,Loan_Data!L:L,"D")</f>
        <v>23</v>
      </c>
      <c r="C1000" s="15">
        <f ca="1">DATEDIF(LoanData[[#This Row],[Approval_Date]],TODAY(),"M")</f>
        <v>45</v>
      </c>
      <c r="D1000" s="31">
        <f>EDATE(LoanData[[#This Row],[Approval_Date]],LoanData[[#This Row],[Loan_Term_Months]])</f>
        <v>47416</v>
      </c>
      <c r="E1000" t="str">
        <f t="shared" ca="1" si="15"/>
        <v>NO</v>
      </c>
      <c r="F1000" s="33">
        <f>IFERROR(LoanData[[#This Row],[EMI]]/LoanData[[#This Row],[Monthly_Income]]*100," ")</f>
        <v>0.58167731445745541</v>
      </c>
      <c r="G1000" t="str" cm="1">
        <f t="array" ref="G1000">_xlfn.IFS(F1000&gt;40, "High DTI Risk",F1000&gt;=25, "Moderate DTI",F1000&lt;25, "Low DTI")</f>
        <v>Low DTI</v>
      </c>
      <c r="H1000" t="str" cm="1">
        <f t="array" ref="H10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00" t="str">
        <f>_xlfn.XLOOKUP(H1000,Reference_Tables!$B$2:$B$7,Reference_Tables!$C$2:$C$7,,0,1)</f>
        <v>VHR</v>
      </c>
      <c r="J1000" t="str">
        <f>INDEX(Reference_Tables!$D$11:$D$36,MATCH(LoanData[[#This Row],[Branch]],Reference_Tables!$A$11:$A$36,0))</f>
        <v>Anil Mishra</v>
      </c>
      <c r="L1000" s="35"/>
    </row>
    <row r="1001" spans="2:12" ht="15.6" x14ac:dyDescent="0.3">
      <c r="B1001" s="15">
        <f>DATEDIF(Loan_Data!K:K,Loan_Data!L:L,"D")</f>
        <v>13</v>
      </c>
      <c r="C1001" s="15">
        <f ca="1">DATEDIF(LoanData[[#This Row],[Approval_Date]],TODAY(),"M")</f>
        <v>59</v>
      </c>
      <c r="D1001" s="31">
        <f>EDATE(LoanData[[#This Row],[Approval_Date]],LoanData[[#This Row],[Loan_Term_Months]])</f>
        <v>46255</v>
      </c>
      <c r="E1001" t="str">
        <f t="shared" ca="1" si="15"/>
        <v>NO</v>
      </c>
      <c r="F1001" s="33">
        <f>IFERROR(LoanData[[#This Row],[EMI]]/LoanData[[#This Row],[Monthly_Income]]*100," ")</f>
        <v>1.8940998153203197</v>
      </c>
      <c r="G1001" t="str" cm="1">
        <f t="array" ref="G1001">_xlfn.IFS(F1001&gt;40, "High DTI Risk",F1001&gt;=25, "Moderate DTI",F1001&lt;25, "Low DTI")</f>
        <v>Low DTI</v>
      </c>
      <c r="H1001" t="str" cm="1">
        <f t="array" ref="H10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01" t="str">
        <f>_xlfn.XLOOKUP(H1001,Reference_Tables!$B$2:$B$7,Reference_Tables!$C$2:$C$7,,0,1)</f>
        <v>LR</v>
      </c>
      <c r="J1001" t="str">
        <f>INDEX(Reference_Tables!$D$11:$D$36,MATCH(LoanData[[#This Row],[Branch]],Reference_Tables!$A$11:$A$36,0))</f>
        <v>Rahul Kapoor</v>
      </c>
      <c r="L1001" s="35"/>
    </row>
    <row r="1002" spans="2:12" ht="15.6" x14ac:dyDescent="0.3">
      <c r="B1002" s="15">
        <f>DATEDIF(Loan_Data!K:K,Loan_Data!L:L,"D")</f>
        <v>13</v>
      </c>
      <c r="C1002" s="15">
        <f ca="1">DATEDIF(LoanData[[#This Row],[Approval_Date]],TODAY(),"M")</f>
        <v>35</v>
      </c>
      <c r="D1002" s="31">
        <f>EDATE(LoanData[[#This Row],[Approval_Date]],LoanData[[#This Row],[Loan_Term_Months]])</f>
        <v>52463</v>
      </c>
      <c r="E1002" t="str">
        <f t="shared" ca="1" si="15"/>
        <v>NO</v>
      </c>
      <c r="F1002" s="33">
        <f>IFERROR(LoanData[[#This Row],[EMI]]/LoanData[[#This Row],[Monthly_Income]]*100," ")</f>
        <v>1.7045963720459638</v>
      </c>
      <c r="G1002" t="str" cm="1">
        <f t="array" ref="G1002">_xlfn.IFS(F1002&gt;40, "High DTI Risk",F1002&gt;=25, "Moderate DTI",F1002&lt;25, "Low DTI")</f>
        <v>Low DTI</v>
      </c>
      <c r="H1002" t="str" cm="1">
        <f t="array" ref="H10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02" t="str">
        <f>_xlfn.XLOOKUP(H1002,Reference_Tables!$B$2:$B$7,Reference_Tables!$C$2:$C$7,,0,1)</f>
        <v>VHR</v>
      </c>
      <c r="J1002" t="str">
        <f>INDEX(Reference_Tables!$D$11:$D$36,MATCH(LoanData[[#This Row],[Branch]],Reference_Tables!$A$11:$A$36,0))</f>
        <v>Priya Yadav</v>
      </c>
      <c r="L1002" s="35"/>
    </row>
    <row r="1003" spans="2:12" ht="15.6" x14ac:dyDescent="0.3">
      <c r="B1003" s="15">
        <f>DATEDIF(Loan_Data!K:K,Loan_Data!L:L,"D")</f>
        <v>4</v>
      </c>
      <c r="C1003" s="15">
        <f ca="1">DATEDIF(LoanData[[#This Row],[Approval_Date]],TODAY(),"M")</f>
        <v>42</v>
      </c>
      <c r="D1003" s="31">
        <f>EDATE(LoanData[[#This Row],[Approval_Date]],LoanData[[#This Row],[Loan_Term_Months]])</f>
        <v>48605</v>
      </c>
      <c r="E1003" t="str">
        <f t="shared" ca="1" si="15"/>
        <v>NO</v>
      </c>
      <c r="F1003" s="33">
        <f>IFERROR(LoanData[[#This Row],[EMI]]/LoanData[[#This Row],[Monthly_Income]]*100," ")</f>
        <v>2.2810612597066435</v>
      </c>
      <c r="G1003" t="str" cm="1">
        <f t="array" ref="G1003">_xlfn.IFS(F1003&gt;40, "High DTI Risk",F1003&gt;=25, "Moderate DTI",F1003&lt;25, "Low DTI")</f>
        <v>Low DTI</v>
      </c>
      <c r="H1003" t="str" cm="1">
        <f t="array" ref="H10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03" t="str">
        <f>_xlfn.XLOOKUP(H1003,Reference_Tables!$B$2:$B$7,Reference_Tables!$C$2:$C$7,,0,1)</f>
        <v>VHR</v>
      </c>
      <c r="J1003" t="str">
        <f>INDEX(Reference_Tables!$D$11:$D$36,MATCH(LoanData[[#This Row],[Branch]],Reference_Tables!$A$11:$A$36,0))</f>
        <v>Anil Mishra</v>
      </c>
      <c r="L1003" s="35"/>
    </row>
    <row r="1004" spans="2:12" ht="15.6" x14ac:dyDescent="0.3">
      <c r="B1004" s="15">
        <f>DATEDIF(Loan_Data!K:K,Loan_Data!L:L,"D")</f>
        <v>9</v>
      </c>
      <c r="C1004" s="15">
        <f ca="1">DATEDIF(LoanData[[#This Row],[Approval_Date]],TODAY(),"M")</f>
        <v>56</v>
      </c>
      <c r="D1004" s="31">
        <f>EDATE(LoanData[[#This Row],[Approval_Date]],LoanData[[#This Row],[Loan_Term_Months]])</f>
        <v>50027</v>
      </c>
      <c r="E1004" t="str">
        <f t="shared" ca="1" si="15"/>
        <v>NO</v>
      </c>
      <c r="F1004" s="33">
        <f>IFERROR(LoanData[[#This Row],[EMI]]/LoanData[[#This Row],[Monthly_Income]]*100," ")</f>
        <v>0.95882957958835435</v>
      </c>
      <c r="G1004" t="str" cm="1">
        <f t="array" ref="G1004">_xlfn.IFS(F1004&gt;40, "High DTI Risk",F1004&gt;=25, "Moderate DTI",F1004&lt;25, "Low DTI")</f>
        <v>Low DTI</v>
      </c>
      <c r="H1004" t="str" cm="1">
        <f t="array" ref="H10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04" t="str">
        <f>_xlfn.XLOOKUP(H1004,Reference_Tables!$B$2:$B$7,Reference_Tables!$C$2:$C$7,,0,1)</f>
        <v>MR</v>
      </c>
      <c r="J1004" t="str">
        <f>INDEX(Reference_Tables!$D$11:$D$36,MATCH(LoanData[[#This Row],[Branch]],Reference_Tables!$A$11:$A$36,0))</f>
        <v>Lakshmi Reddy</v>
      </c>
      <c r="L1004" s="35"/>
    </row>
    <row r="1005" spans="2:12" ht="15.6" x14ac:dyDescent="0.3">
      <c r="B1005" s="15">
        <f>DATEDIF(Loan_Data!K:K,Loan_Data!L:L,"D")</f>
        <v>11</v>
      </c>
      <c r="C1005" s="15">
        <f ca="1">DATEDIF(LoanData[[#This Row],[Approval_Date]],TODAY(),"M")</f>
        <v>45</v>
      </c>
      <c r="D1005" s="31">
        <f>EDATE(LoanData[[#This Row],[Approval_Date]],LoanData[[#This Row],[Loan_Term_Months]])</f>
        <v>50349</v>
      </c>
      <c r="E1005" t="str">
        <f t="shared" ca="1" si="15"/>
        <v>NO</v>
      </c>
      <c r="F1005" s="33">
        <f>IFERROR(LoanData[[#This Row],[EMI]]/LoanData[[#This Row],[Monthly_Income]]*100," ")</f>
        <v>3.794816361626336</v>
      </c>
      <c r="G1005" t="str" cm="1">
        <f t="array" ref="G1005">_xlfn.IFS(F1005&gt;40, "High DTI Risk",F1005&gt;=25, "Moderate DTI",F1005&lt;25, "Low DTI")</f>
        <v>Low DTI</v>
      </c>
      <c r="H1005" t="str" cm="1">
        <f t="array" ref="H10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05" t="str">
        <f>_xlfn.XLOOKUP(H1005,Reference_Tables!$B$2:$B$7,Reference_Tables!$C$2:$C$7,,0,1)</f>
        <v>LR</v>
      </c>
      <c r="J1005" t="str">
        <f>INDEX(Reference_Tables!$D$11:$D$36,MATCH(LoanData[[#This Row],[Branch]],Reference_Tables!$A$11:$A$36,0))</f>
        <v>Amit Kumar</v>
      </c>
      <c r="L1005" s="35"/>
    </row>
    <row r="1006" spans="2:12" ht="15.6" x14ac:dyDescent="0.3">
      <c r="B1006" s="15">
        <f>DATEDIF(Loan_Data!K:K,Loan_Data!L:L,"D")</f>
        <v>22</v>
      </c>
      <c r="C1006" s="15">
        <f ca="1">DATEDIF(LoanData[[#This Row],[Approval_Date]],TODAY(),"M")</f>
        <v>53</v>
      </c>
      <c r="D1006" s="31">
        <f>EDATE(LoanData[[#This Row],[Approval_Date]],LoanData[[#This Row],[Loan_Term_Months]])</f>
        <v>47186</v>
      </c>
      <c r="E1006" t="str">
        <f t="shared" ca="1" si="15"/>
        <v>NO</v>
      </c>
      <c r="F1006" s="33">
        <f>IFERROR(LoanData[[#This Row],[EMI]]/LoanData[[#This Row],[Monthly_Income]]*100," ")</f>
        <v>6.0830443527412701</v>
      </c>
      <c r="G1006" t="str" cm="1">
        <f t="array" ref="G1006">_xlfn.IFS(F1006&gt;40, "High DTI Risk",F1006&gt;=25, "Moderate DTI",F1006&lt;25, "Low DTI")</f>
        <v>Low DTI</v>
      </c>
      <c r="H1006" t="str" cm="1">
        <f t="array" ref="H10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06" t="str">
        <f>_xlfn.XLOOKUP(H1006,Reference_Tables!$B$2:$B$7,Reference_Tables!$C$2:$C$7,,0,1)</f>
        <v>HR</v>
      </c>
      <c r="J1006" t="str">
        <f>INDEX(Reference_Tables!$D$11:$D$36,MATCH(LoanData[[#This Row],[Branch]],Reference_Tables!$A$11:$A$36,0))</f>
        <v>Lakshmi Reddy</v>
      </c>
      <c r="L1006" s="35"/>
    </row>
    <row r="1007" spans="2:12" ht="15.6" x14ac:dyDescent="0.3">
      <c r="B1007" s="15">
        <f>DATEDIF(Loan_Data!K:K,Loan_Data!L:L,"D")</f>
        <v>18</v>
      </c>
      <c r="C1007" s="15">
        <f ca="1">DATEDIF(LoanData[[#This Row],[Approval_Date]],TODAY(),"M")</f>
        <v>57</v>
      </c>
      <c r="D1007" s="31">
        <f>EDATE(LoanData[[#This Row],[Approval_Date]],LoanData[[#This Row],[Loan_Term_Months]])</f>
        <v>51809</v>
      </c>
      <c r="E1007" t="str">
        <f t="shared" ca="1" si="15"/>
        <v>NO</v>
      </c>
      <c r="F1007" s="33">
        <f>IFERROR(LoanData[[#This Row],[EMI]]/LoanData[[#This Row],[Monthly_Income]]*100," ")</f>
        <v>35.591715136898848</v>
      </c>
      <c r="G1007" t="str" cm="1">
        <f t="array" ref="G1007">_xlfn.IFS(F1007&gt;40, "High DTI Risk",F1007&gt;=25, "Moderate DTI",F1007&lt;25, "Low DTI")</f>
        <v>Moderate DTI</v>
      </c>
      <c r="H1007" t="str" cm="1">
        <f t="array" ref="H10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07" t="str">
        <f>_xlfn.XLOOKUP(H1007,Reference_Tables!$B$2:$B$7,Reference_Tables!$C$2:$C$7,,0,1)</f>
        <v>LR</v>
      </c>
      <c r="J1007" t="str">
        <f>INDEX(Reference_Tables!$D$11:$D$36,MATCH(LoanData[[#This Row],[Branch]],Reference_Tables!$A$11:$A$36,0))</f>
        <v>Santhosh Rao</v>
      </c>
      <c r="L1007" s="35"/>
    </row>
    <row r="1008" spans="2:12" ht="15.6" x14ac:dyDescent="0.3">
      <c r="B1008" s="15">
        <f>DATEDIF(Loan_Data!K:K,Loan_Data!L:L,"D")</f>
        <v>6</v>
      </c>
      <c r="C1008" s="15">
        <f ca="1">DATEDIF(LoanData[[#This Row],[Approval_Date]],TODAY(),"M")</f>
        <v>32</v>
      </c>
      <c r="D1008" s="31">
        <f>EDATE(LoanData[[#This Row],[Approval_Date]],LoanData[[#This Row],[Loan_Term_Months]])</f>
        <v>50736</v>
      </c>
      <c r="E1008" t="str">
        <f t="shared" ca="1" si="15"/>
        <v>NO</v>
      </c>
      <c r="F1008" s="33">
        <f>IFERROR(LoanData[[#This Row],[EMI]]/LoanData[[#This Row],[Monthly_Income]]*100," ")</f>
        <v>2.9765012732082372</v>
      </c>
      <c r="G1008" t="str" cm="1">
        <f t="array" ref="G1008">_xlfn.IFS(F1008&gt;40, "High DTI Risk",F1008&gt;=25, "Moderate DTI",F1008&lt;25, "Low DTI")</f>
        <v>Low DTI</v>
      </c>
      <c r="H1008" t="str" cm="1">
        <f t="array" ref="H10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08" t="str">
        <f>_xlfn.XLOOKUP(H1008,Reference_Tables!$B$2:$B$7,Reference_Tables!$C$2:$C$7,,0,1)</f>
        <v>LR</v>
      </c>
      <c r="J1008" t="str">
        <f>INDEX(Reference_Tables!$D$11:$D$36,MATCH(LoanData[[#This Row],[Branch]],Reference_Tables!$A$11:$A$36,0))</f>
        <v>Meena Iyer</v>
      </c>
      <c r="L1008" s="35"/>
    </row>
    <row r="1009" spans="2:12" ht="15.6" x14ac:dyDescent="0.3">
      <c r="B1009" s="15">
        <f>DATEDIF(Loan_Data!K:K,Loan_Data!L:L,"D")</f>
        <v>19</v>
      </c>
      <c r="C1009" s="15">
        <f ca="1">DATEDIF(LoanData[[#This Row],[Approval_Date]],TODAY(),"M")</f>
        <v>34</v>
      </c>
      <c r="D1009" s="31">
        <f>EDATE(LoanData[[#This Row],[Approval_Date]],LoanData[[#This Row],[Loan_Term_Months]])</f>
        <v>52516</v>
      </c>
      <c r="E1009" t="str">
        <f t="shared" ca="1" si="15"/>
        <v>NO</v>
      </c>
      <c r="F1009" s="33">
        <f>IFERROR(LoanData[[#This Row],[EMI]]/LoanData[[#This Row],[Monthly_Income]]*100," ")</f>
        <v>2.7809903127646312</v>
      </c>
      <c r="G1009" t="str" cm="1">
        <f t="array" ref="G1009">_xlfn.IFS(F1009&gt;40, "High DTI Risk",F1009&gt;=25, "Moderate DTI",F1009&lt;25, "Low DTI")</f>
        <v>Low DTI</v>
      </c>
      <c r="H1009" t="str" cm="1">
        <f t="array" ref="H10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09" t="str">
        <f>_xlfn.XLOOKUP(H1009,Reference_Tables!$B$2:$B$7,Reference_Tables!$C$2:$C$7,,0,1)</f>
        <v>VHR</v>
      </c>
      <c r="J1009" t="str">
        <f>INDEX(Reference_Tables!$D$11:$D$36,MATCH(LoanData[[#This Row],[Branch]],Reference_Tables!$A$11:$A$36,0))</f>
        <v>Priyanka Gupta</v>
      </c>
      <c r="L1009" s="35"/>
    </row>
    <row r="1010" spans="2:12" ht="15.6" x14ac:dyDescent="0.3">
      <c r="B1010" s="15">
        <f>DATEDIF(Loan_Data!K:K,Loan_Data!L:L,"D")</f>
        <v>18</v>
      </c>
      <c r="C1010" s="15">
        <f ca="1">DATEDIF(LoanData[[#This Row],[Approval_Date]],TODAY(),"M")</f>
        <v>58</v>
      </c>
      <c r="D1010" s="31">
        <f>EDATE(LoanData[[#This Row],[Approval_Date]],LoanData[[#This Row],[Loan_Term_Months]])</f>
        <v>45581</v>
      </c>
      <c r="E1010" t="str">
        <f t="shared" ca="1" si="15"/>
        <v>YES</v>
      </c>
      <c r="F1010" s="33">
        <f>IFERROR(LoanData[[#This Row],[EMI]]/LoanData[[#This Row],[Monthly_Income]]*100," ")</f>
        <v>2.9642873500045801</v>
      </c>
      <c r="G1010" t="str" cm="1">
        <f t="array" ref="G1010">_xlfn.IFS(F1010&gt;40, "High DTI Risk",F1010&gt;=25, "Moderate DTI",F1010&lt;25, "Low DTI")</f>
        <v>Low DTI</v>
      </c>
      <c r="H1010" t="str" cm="1">
        <f t="array" ref="H10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10" t="str">
        <f>_xlfn.XLOOKUP(H1010,Reference_Tables!$B$2:$B$7,Reference_Tables!$C$2:$C$7,,0,1)</f>
        <v>LR</v>
      </c>
      <c r="J1010" t="str">
        <f>INDEX(Reference_Tables!$D$11:$D$36,MATCH(LoanData[[#This Row],[Branch]],Reference_Tables!$A$11:$A$36,0))</f>
        <v>Priyanka Gupta</v>
      </c>
      <c r="L1010" s="35"/>
    </row>
    <row r="1011" spans="2:12" ht="15.6" x14ac:dyDescent="0.3">
      <c r="B1011" s="15">
        <f>DATEDIF(Loan_Data!K:K,Loan_Data!L:L,"D")</f>
        <v>20</v>
      </c>
      <c r="C1011" s="15">
        <f ca="1">DATEDIF(LoanData[[#This Row],[Approval_Date]],TODAY(),"M")</f>
        <v>55</v>
      </c>
      <c r="D1011" s="31">
        <f>EDATE(LoanData[[#This Row],[Approval_Date]],LoanData[[#This Row],[Loan_Term_Months]])</f>
        <v>51854</v>
      </c>
      <c r="E1011" t="str">
        <f t="shared" ca="1" si="15"/>
        <v>NO</v>
      </c>
      <c r="F1011" s="33">
        <f>IFERROR(LoanData[[#This Row],[EMI]]/LoanData[[#This Row],[Monthly_Income]]*100," ")</f>
        <v>3.6079635124045204</v>
      </c>
      <c r="G1011" t="str" cm="1">
        <f t="array" ref="G1011">_xlfn.IFS(F1011&gt;40, "High DTI Risk",F1011&gt;=25, "Moderate DTI",F1011&lt;25, "Low DTI")</f>
        <v>Low DTI</v>
      </c>
      <c r="H1011" t="str" cm="1">
        <f t="array" ref="H10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11" t="str">
        <f>_xlfn.XLOOKUP(H1011,Reference_Tables!$B$2:$B$7,Reference_Tables!$C$2:$C$7,,0,1)</f>
        <v>MR</v>
      </c>
      <c r="J1011" t="str">
        <f>INDEX(Reference_Tables!$D$11:$D$36,MATCH(LoanData[[#This Row],[Branch]],Reference_Tables!$A$11:$A$36,0))</f>
        <v>Arvind Pillai</v>
      </c>
      <c r="L1011" s="35"/>
    </row>
    <row r="1012" spans="2:12" ht="15.6" x14ac:dyDescent="0.3">
      <c r="B1012" s="15">
        <f>DATEDIF(Loan_Data!K:K,Loan_Data!L:L,"D")</f>
        <v>8</v>
      </c>
      <c r="C1012" s="15">
        <f ca="1">DATEDIF(LoanData[[#This Row],[Approval_Date]],TODAY(),"M")</f>
        <v>47</v>
      </c>
      <c r="D1012" s="31">
        <f>EDATE(LoanData[[#This Row],[Approval_Date]],LoanData[[#This Row],[Loan_Term_Months]])</f>
        <v>50275</v>
      </c>
      <c r="E1012" t="str">
        <f t="shared" ca="1" si="15"/>
        <v>NO</v>
      </c>
      <c r="F1012" s="33">
        <f>IFERROR(LoanData[[#This Row],[EMI]]/LoanData[[#This Row],[Monthly_Income]]*100," ")</f>
        <v>3.3044395686475889</v>
      </c>
      <c r="G1012" t="str" cm="1">
        <f t="array" ref="G1012">_xlfn.IFS(F1012&gt;40, "High DTI Risk",F1012&gt;=25, "Moderate DTI",F1012&lt;25, "Low DTI")</f>
        <v>Low DTI</v>
      </c>
      <c r="H1012" t="str" cm="1">
        <f t="array" ref="H10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12" t="str">
        <f>_xlfn.XLOOKUP(H1012,Reference_Tables!$B$2:$B$7,Reference_Tables!$C$2:$C$7,,0,1)</f>
        <v>VHR</v>
      </c>
      <c r="J1012" t="str">
        <f>INDEX(Reference_Tables!$D$11:$D$36,MATCH(LoanData[[#This Row],[Branch]],Reference_Tables!$A$11:$A$36,0))</f>
        <v>Hetal Patel</v>
      </c>
      <c r="L1012" s="35"/>
    </row>
    <row r="1013" spans="2:12" ht="15.6" x14ac:dyDescent="0.3">
      <c r="B1013" s="15">
        <f>DATEDIF(Loan_Data!K:K,Loan_Data!L:L,"D")</f>
        <v>4</v>
      </c>
      <c r="C1013" s="15">
        <f ca="1">DATEDIF(LoanData[[#This Row],[Approval_Date]],TODAY(),"M")</f>
        <v>34</v>
      </c>
      <c r="D1013" s="31">
        <f>EDATE(LoanData[[#This Row],[Approval_Date]],LoanData[[#This Row],[Loan_Term_Months]])</f>
        <v>52510</v>
      </c>
      <c r="E1013" t="str">
        <f t="shared" ca="1" si="15"/>
        <v>NO</v>
      </c>
      <c r="F1013" s="33">
        <f>IFERROR(LoanData[[#This Row],[EMI]]/LoanData[[#This Row],[Monthly_Income]]*100," ")</f>
        <v>1.0173456680305994</v>
      </c>
      <c r="G1013" t="str" cm="1">
        <f t="array" ref="G1013">_xlfn.IFS(F1013&gt;40, "High DTI Risk",F1013&gt;=25, "Moderate DTI",F1013&lt;25, "Low DTI")</f>
        <v>Low DTI</v>
      </c>
      <c r="H1013" t="str" cm="1">
        <f t="array" ref="H10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13" t="str">
        <f>_xlfn.XLOOKUP(H1013,Reference_Tables!$B$2:$B$7,Reference_Tables!$C$2:$C$7,,0,1)</f>
        <v>VHR</v>
      </c>
      <c r="J1013" t="str">
        <f>INDEX(Reference_Tables!$D$11:$D$36,MATCH(LoanData[[#This Row],[Branch]],Reference_Tables!$A$11:$A$36,0))</f>
        <v>Lakshmi Reddy</v>
      </c>
      <c r="L1013" s="35"/>
    </row>
    <row r="1014" spans="2:12" ht="15.6" x14ac:dyDescent="0.3">
      <c r="B1014" s="15">
        <f>DATEDIF(Loan_Data!K:K,Loan_Data!L:L,"D")</f>
        <v>19</v>
      </c>
      <c r="C1014" s="15">
        <f ca="1">DATEDIF(LoanData[[#This Row],[Approval_Date]],TODAY(),"M")</f>
        <v>61</v>
      </c>
      <c r="D1014" s="31">
        <f>EDATE(LoanData[[#This Row],[Approval_Date]],LoanData[[#This Row],[Loan_Term_Months]])</f>
        <v>46930</v>
      </c>
      <c r="E1014" t="str">
        <f t="shared" ca="1" si="15"/>
        <v>NO</v>
      </c>
      <c r="F1014" s="33">
        <f>IFERROR(LoanData[[#This Row],[EMI]]/LoanData[[#This Row],[Monthly_Income]]*100," ")</f>
        <v>12.824799057649667</v>
      </c>
      <c r="G1014" t="str" cm="1">
        <f t="array" ref="G1014">_xlfn.IFS(F1014&gt;40, "High DTI Risk",F1014&gt;=25, "Moderate DTI",F1014&lt;25, "Low DTI")</f>
        <v>Low DTI</v>
      </c>
      <c r="H1014" t="str" cm="1">
        <f t="array" ref="H10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14" t="str">
        <f>_xlfn.XLOOKUP(H1014,Reference_Tables!$B$2:$B$7,Reference_Tables!$C$2:$C$7,,0,1)</f>
        <v>VHR</v>
      </c>
      <c r="J1014" t="str">
        <f>INDEX(Reference_Tables!$D$11:$D$36,MATCH(LoanData[[#This Row],[Branch]],Reference_Tables!$A$11:$A$36,0))</f>
        <v>Tapan Panda</v>
      </c>
      <c r="L1014" s="35"/>
    </row>
    <row r="1015" spans="2:12" ht="15.6" x14ac:dyDescent="0.3">
      <c r="B1015" s="15">
        <f>DATEDIF(Loan_Data!K:K,Loan_Data!L:L,"D")</f>
        <v>29</v>
      </c>
      <c r="C1015" s="15">
        <f ca="1">DATEDIF(LoanData[[#This Row],[Approval_Date]],TODAY(),"M")</f>
        <v>42</v>
      </c>
      <c r="D1015" s="31">
        <f>EDATE(LoanData[[#This Row],[Approval_Date]],LoanData[[#This Row],[Loan_Term_Months]])</f>
        <v>52251</v>
      </c>
      <c r="E1015" t="str">
        <f t="shared" ca="1" si="15"/>
        <v>NO</v>
      </c>
      <c r="F1015" s="33">
        <f>IFERROR(LoanData[[#This Row],[EMI]]/LoanData[[#This Row],[Monthly_Income]]*100," ")</f>
        <v>0.52457641888486417</v>
      </c>
      <c r="G1015" t="str" cm="1">
        <f t="array" ref="G1015">_xlfn.IFS(F1015&gt;40, "High DTI Risk",F1015&gt;=25, "Moderate DTI",F1015&lt;25, "Low DTI")</f>
        <v>Low DTI</v>
      </c>
      <c r="H1015" t="str" cm="1">
        <f t="array" ref="H10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15" t="str">
        <f>_xlfn.XLOOKUP(H1015,Reference_Tables!$B$2:$B$7,Reference_Tables!$C$2:$C$7,,0,1)</f>
        <v>HR</v>
      </c>
      <c r="J1015" t="str">
        <f>INDEX(Reference_Tables!$D$11:$D$36,MATCH(LoanData[[#This Row],[Branch]],Reference_Tables!$A$11:$A$36,0))</f>
        <v>Tapan Panda</v>
      </c>
      <c r="L1015" s="35"/>
    </row>
    <row r="1016" spans="2:12" ht="15.6" x14ac:dyDescent="0.3">
      <c r="B1016" s="15">
        <f>DATEDIF(Loan_Data!K:K,Loan_Data!L:L,"D")</f>
        <v>19</v>
      </c>
      <c r="C1016" s="15">
        <f ca="1">DATEDIF(LoanData[[#This Row],[Approval_Date]],TODAY(),"M")</f>
        <v>66</v>
      </c>
      <c r="D1016" s="31">
        <f>EDATE(LoanData[[#This Row],[Approval_Date]],LoanData[[#This Row],[Loan_Term_Months]])</f>
        <v>51549</v>
      </c>
      <c r="E1016" t="str">
        <f t="shared" ca="1" si="15"/>
        <v>NO</v>
      </c>
      <c r="F1016" s="33">
        <f>IFERROR(LoanData[[#This Row],[EMI]]/LoanData[[#This Row],[Monthly_Income]]*100," ")</f>
        <v>1.4970137989508698</v>
      </c>
      <c r="G1016" t="str" cm="1">
        <f t="array" ref="G1016">_xlfn.IFS(F1016&gt;40, "High DTI Risk",F1016&gt;=25, "Moderate DTI",F1016&lt;25, "Low DTI")</f>
        <v>Low DTI</v>
      </c>
      <c r="H1016" t="str" cm="1">
        <f t="array" ref="H10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16" t="str">
        <f>_xlfn.XLOOKUP(H1016,Reference_Tables!$B$2:$B$7,Reference_Tables!$C$2:$C$7,,0,1)</f>
        <v>LR</v>
      </c>
      <c r="J1016" t="str">
        <f>INDEX(Reference_Tables!$D$11:$D$36,MATCH(LoanData[[#This Row],[Branch]],Reference_Tables!$A$11:$A$36,0))</f>
        <v>Ravi Verma</v>
      </c>
      <c r="L1016" s="35"/>
    </row>
    <row r="1017" spans="2:12" ht="15.6" x14ac:dyDescent="0.3">
      <c r="B1017" s="15">
        <f>DATEDIF(Loan_Data!K:K,Loan_Data!L:L,"D")</f>
        <v>8</v>
      </c>
      <c r="C1017" s="15">
        <f ca="1">DATEDIF(LoanData[[#This Row],[Approval_Date]],TODAY(),"M")</f>
        <v>65</v>
      </c>
      <c r="D1017" s="31">
        <f>EDATE(LoanData[[#This Row],[Approval_Date]],LoanData[[#This Row],[Loan_Term_Months]])</f>
        <v>49738</v>
      </c>
      <c r="E1017" t="str">
        <f t="shared" ca="1" si="15"/>
        <v>NO</v>
      </c>
      <c r="F1017" s="33">
        <f>IFERROR(LoanData[[#This Row],[EMI]]/LoanData[[#This Row],[Monthly_Income]]*100," ")</f>
        <v>5.5859804747509783</v>
      </c>
      <c r="G1017" t="str" cm="1">
        <f t="array" ref="G1017">_xlfn.IFS(F1017&gt;40, "High DTI Risk",F1017&gt;=25, "Moderate DTI",F1017&lt;25, "Low DTI")</f>
        <v>Low DTI</v>
      </c>
      <c r="H1017" t="str" cm="1">
        <f t="array" ref="H10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17" t="str">
        <f>_xlfn.XLOOKUP(H1017,Reference_Tables!$B$2:$B$7,Reference_Tables!$C$2:$C$7,,0,1)</f>
        <v>VHR</v>
      </c>
      <c r="J1017" t="str">
        <f>INDEX(Reference_Tables!$D$11:$D$36,MATCH(LoanData[[#This Row],[Branch]],Reference_Tables!$A$11:$A$36,0))</f>
        <v>Ananya Sharma</v>
      </c>
      <c r="L1017" s="35"/>
    </row>
    <row r="1018" spans="2:12" ht="15.6" x14ac:dyDescent="0.3">
      <c r="B1018" s="15">
        <f>DATEDIF(Loan_Data!K:K,Loan_Data!L:L,"D")</f>
        <v>27</v>
      </c>
      <c r="C1018" s="15">
        <f ca="1">DATEDIF(LoanData[[#This Row],[Approval_Date]],TODAY(),"M")</f>
        <v>42</v>
      </c>
      <c r="D1018" s="31">
        <f>EDATE(LoanData[[#This Row],[Approval_Date]],LoanData[[#This Row],[Loan_Term_Months]])</f>
        <v>52251</v>
      </c>
      <c r="E1018" t="str">
        <f t="shared" ca="1" si="15"/>
        <v>NO</v>
      </c>
      <c r="F1018" s="33">
        <f>IFERROR(LoanData[[#This Row],[EMI]]/LoanData[[#This Row],[Monthly_Income]]*100," ")</f>
        <v>0.35814749563739995</v>
      </c>
      <c r="G1018" t="str" cm="1">
        <f t="array" ref="G1018">_xlfn.IFS(F1018&gt;40, "High DTI Risk",F1018&gt;=25, "Moderate DTI",F1018&lt;25, "Low DTI")</f>
        <v>Low DTI</v>
      </c>
      <c r="H1018" t="str" cm="1">
        <f t="array" ref="H10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18" t="str">
        <f>_xlfn.XLOOKUP(H1018,Reference_Tables!$B$2:$B$7,Reference_Tables!$C$2:$C$7,,0,1)</f>
        <v>LR</v>
      </c>
      <c r="J1018" t="str">
        <f>INDEX(Reference_Tables!$D$11:$D$36,MATCH(LoanData[[#This Row],[Branch]],Reference_Tables!$A$11:$A$36,0))</f>
        <v>Priya Yadav</v>
      </c>
      <c r="L1018" s="35"/>
    </row>
    <row r="1019" spans="2:12" ht="15.6" x14ac:dyDescent="0.3">
      <c r="B1019" s="15">
        <f>DATEDIF(Loan_Data!K:K,Loan_Data!L:L,"D")</f>
        <v>21</v>
      </c>
      <c r="C1019" s="15">
        <f ca="1">DATEDIF(LoanData[[#This Row],[Approval_Date]],TODAY(),"M")</f>
        <v>41</v>
      </c>
      <c r="D1019" s="31">
        <f>EDATE(LoanData[[#This Row],[Approval_Date]],LoanData[[#This Row],[Loan_Term_Months]])</f>
        <v>52296</v>
      </c>
      <c r="E1019" t="str">
        <f t="shared" ca="1" si="15"/>
        <v>NO</v>
      </c>
      <c r="F1019" s="33">
        <f>IFERROR(LoanData[[#This Row],[EMI]]/LoanData[[#This Row],[Monthly_Income]]*100," ")</f>
        <v>2.7909341670712644</v>
      </c>
      <c r="G1019" t="str" cm="1">
        <f t="array" ref="G1019">_xlfn.IFS(F1019&gt;40, "High DTI Risk",F1019&gt;=25, "Moderate DTI",F1019&lt;25, "Low DTI")</f>
        <v>Low DTI</v>
      </c>
      <c r="H1019" t="str" cm="1">
        <f t="array" ref="H10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19" t="str">
        <f>_xlfn.XLOOKUP(H1019,Reference_Tables!$B$2:$B$7,Reference_Tables!$C$2:$C$7,,0,1)</f>
        <v>VHR</v>
      </c>
      <c r="J1019" t="str">
        <f>INDEX(Reference_Tables!$D$11:$D$36,MATCH(LoanData[[#This Row],[Branch]],Reference_Tables!$A$11:$A$36,0))</f>
        <v>Jigar Mehta</v>
      </c>
      <c r="L1019" s="35"/>
    </row>
    <row r="1020" spans="2:12" ht="15.6" x14ac:dyDescent="0.3">
      <c r="B1020" s="15">
        <f>DATEDIF(Loan_Data!K:K,Loan_Data!L:L,"D")</f>
        <v>30</v>
      </c>
      <c r="C1020" s="15">
        <f ca="1">DATEDIF(LoanData[[#This Row],[Approval_Date]],TODAY(),"M")</f>
        <v>31</v>
      </c>
      <c r="D1020" s="31">
        <f>EDATE(LoanData[[#This Row],[Approval_Date]],LoanData[[#This Row],[Loan_Term_Months]])</f>
        <v>48937</v>
      </c>
      <c r="E1020" t="str">
        <f t="shared" ca="1" si="15"/>
        <v>NO</v>
      </c>
      <c r="F1020" s="33">
        <f>IFERROR(LoanData[[#This Row],[EMI]]/LoanData[[#This Row],[Monthly_Income]]*100," ")</f>
        <v>2.3356803887053106</v>
      </c>
      <c r="G1020" t="str" cm="1">
        <f t="array" ref="G1020">_xlfn.IFS(F1020&gt;40, "High DTI Risk",F1020&gt;=25, "Moderate DTI",F1020&lt;25, "Low DTI")</f>
        <v>Low DTI</v>
      </c>
      <c r="H1020" t="str" cm="1">
        <f t="array" ref="H10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20" t="str">
        <f>_xlfn.XLOOKUP(H1020,Reference_Tables!$B$2:$B$7,Reference_Tables!$C$2:$C$7,,0,1)</f>
        <v>LR</v>
      </c>
      <c r="J1020" t="str">
        <f>INDEX(Reference_Tables!$D$11:$D$36,MATCH(LoanData[[#This Row],[Branch]],Reference_Tables!$A$11:$A$36,0))</f>
        <v>Santhosh Rao</v>
      </c>
      <c r="L1020" s="35"/>
    </row>
    <row r="1021" spans="2:12" ht="15.6" x14ac:dyDescent="0.3">
      <c r="B1021" s="15">
        <f>DATEDIF(Loan_Data!K:K,Loan_Data!L:L,"D")</f>
        <v>7</v>
      </c>
      <c r="C1021" s="15">
        <f ca="1">DATEDIF(LoanData[[#This Row],[Approval_Date]],TODAY(),"M")</f>
        <v>36</v>
      </c>
      <c r="D1021" s="31">
        <f>EDATE(LoanData[[#This Row],[Approval_Date]],LoanData[[#This Row],[Loan_Term_Months]])</f>
        <v>52456</v>
      </c>
      <c r="E1021" t="str">
        <f t="shared" ca="1" si="15"/>
        <v>NO</v>
      </c>
      <c r="F1021" s="33">
        <f>IFERROR(LoanData[[#This Row],[EMI]]/LoanData[[#This Row],[Monthly_Income]]*100," ")</f>
        <v>19.223952039607212</v>
      </c>
      <c r="G1021" t="str" cm="1">
        <f t="array" ref="G1021">_xlfn.IFS(F1021&gt;40, "High DTI Risk",F1021&gt;=25, "Moderate DTI",F1021&lt;25, "Low DTI")</f>
        <v>Low DTI</v>
      </c>
      <c r="H1021" t="str" cm="1">
        <f t="array" ref="H10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21" t="str">
        <f>_xlfn.XLOOKUP(H1021,Reference_Tables!$B$2:$B$7,Reference_Tables!$C$2:$C$7,,0,1)</f>
        <v>LR</v>
      </c>
      <c r="J1021" t="str">
        <f>INDEX(Reference_Tables!$D$11:$D$36,MATCH(LoanData[[#This Row],[Branch]],Reference_Tables!$A$11:$A$36,0))</f>
        <v>Deepak Nair</v>
      </c>
      <c r="L1021" s="35"/>
    </row>
    <row r="1022" spans="2:12" ht="15.6" x14ac:dyDescent="0.3">
      <c r="B1022" s="15">
        <f>DATEDIF(Loan_Data!K:K,Loan_Data!L:L,"D")</f>
        <v>11</v>
      </c>
      <c r="C1022" s="15">
        <f ca="1">DATEDIF(LoanData[[#This Row],[Approval_Date]],TODAY(),"M")</f>
        <v>56</v>
      </c>
      <c r="D1022" s="31">
        <f>EDATE(LoanData[[#This Row],[Approval_Date]],LoanData[[#This Row],[Loan_Term_Months]])</f>
        <v>48188</v>
      </c>
      <c r="E1022" t="str">
        <f t="shared" ca="1" si="15"/>
        <v>NO</v>
      </c>
      <c r="F1022" s="33">
        <f>IFERROR(LoanData[[#This Row],[EMI]]/LoanData[[#This Row],[Monthly_Income]]*100," ")</f>
        <v>1.830434948218435</v>
      </c>
      <c r="G1022" t="str" cm="1">
        <f t="array" ref="G1022">_xlfn.IFS(F1022&gt;40, "High DTI Risk",F1022&gt;=25, "Moderate DTI",F1022&lt;25, "Low DTI")</f>
        <v>Low DTI</v>
      </c>
      <c r="H1022" t="str" cm="1">
        <f t="array" ref="H10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22" t="str">
        <f>_xlfn.XLOOKUP(H1022,Reference_Tables!$B$2:$B$7,Reference_Tables!$C$2:$C$7,,0,1)</f>
        <v>VHR</v>
      </c>
      <c r="J1022" t="str">
        <f>INDEX(Reference_Tables!$D$11:$D$36,MATCH(LoanData[[#This Row],[Branch]],Reference_Tables!$A$11:$A$36,0))</f>
        <v>Sachin Deshpande</v>
      </c>
      <c r="L1022" s="35"/>
    </row>
    <row r="1023" spans="2:12" ht="15.6" x14ac:dyDescent="0.3">
      <c r="B1023" s="15">
        <f>DATEDIF(Loan_Data!K:K,Loan_Data!L:L,"D")</f>
        <v>13</v>
      </c>
      <c r="C1023" s="15">
        <f ca="1">DATEDIF(LoanData[[#This Row],[Approval_Date]],TODAY(),"M")</f>
        <v>61</v>
      </c>
      <c r="D1023" s="31">
        <f>EDATE(LoanData[[#This Row],[Approval_Date]],LoanData[[#This Row],[Loan_Term_Months]])</f>
        <v>46207</v>
      </c>
      <c r="E1023" t="str">
        <f t="shared" ca="1" si="15"/>
        <v>YES</v>
      </c>
      <c r="F1023" s="33">
        <f>IFERROR(LoanData[[#This Row],[EMI]]/LoanData[[#This Row],[Monthly_Income]]*100," ")</f>
        <v>60.141097695106183</v>
      </c>
      <c r="G1023" t="str" cm="1">
        <f t="array" ref="G1023">_xlfn.IFS(F1023&gt;40, "High DTI Risk",F1023&gt;=25, "Moderate DTI",F1023&lt;25, "Low DTI")</f>
        <v>High DTI Risk</v>
      </c>
      <c r="H1023" t="str" cm="1">
        <f t="array" ref="H10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23" t="str">
        <f>_xlfn.XLOOKUP(H1023,Reference_Tables!$B$2:$B$7,Reference_Tables!$C$2:$C$7,,0,1)</f>
        <v>VHR</v>
      </c>
      <c r="J1023" t="str">
        <f>INDEX(Reference_Tables!$D$11:$D$36,MATCH(LoanData[[#This Row],[Branch]],Reference_Tables!$A$11:$A$36,0))</f>
        <v>Nilesh Shah</v>
      </c>
      <c r="L1023" s="35"/>
    </row>
    <row r="1024" spans="2:12" ht="15.6" x14ac:dyDescent="0.3">
      <c r="B1024" s="15">
        <f>DATEDIF(Loan_Data!K:K,Loan_Data!L:L,"D")</f>
        <v>16</v>
      </c>
      <c r="C1024" s="15">
        <f ca="1">DATEDIF(LoanData[[#This Row],[Approval_Date]],TODAY(),"M")</f>
        <v>51</v>
      </c>
      <c r="D1024" s="31">
        <f>EDATE(LoanData[[#This Row],[Approval_Date]],LoanData[[#This Row],[Loan_Term_Months]])</f>
        <v>45427</v>
      </c>
      <c r="E1024" t="str">
        <f t="shared" ca="1" si="15"/>
        <v>YES</v>
      </c>
      <c r="F1024" s="33">
        <f>IFERROR(LoanData[[#This Row],[EMI]]/LoanData[[#This Row],[Monthly_Income]]*100," ")</f>
        <v>48.702842010076218</v>
      </c>
      <c r="G1024" t="str" cm="1">
        <f t="array" ref="G1024">_xlfn.IFS(F1024&gt;40, "High DTI Risk",F1024&gt;=25, "Moderate DTI",F1024&lt;25, "Low DTI")</f>
        <v>High DTI Risk</v>
      </c>
      <c r="H1024" t="str" cm="1">
        <f t="array" ref="H10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24" t="str">
        <f>_xlfn.XLOOKUP(H1024,Reference_Tables!$B$2:$B$7,Reference_Tables!$C$2:$C$7,,0,1)</f>
        <v>HR</v>
      </c>
      <c r="J1024" t="str">
        <f>INDEX(Reference_Tables!$D$11:$D$36,MATCH(LoanData[[#This Row],[Branch]],Reference_Tables!$A$11:$A$36,0))</f>
        <v>Priya Yadav</v>
      </c>
      <c r="L1024" s="35"/>
    </row>
    <row r="1025" spans="2:12" ht="15.6" x14ac:dyDescent="0.3">
      <c r="B1025" s="15">
        <f>DATEDIF(Loan_Data!K:K,Loan_Data!L:L,"D")</f>
        <v>29</v>
      </c>
      <c r="C1025" s="15">
        <f ca="1">DATEDIF(LoanData[[#This Row],[Approval_Date]],TODAY(),"M")</f>
        <v>38</v>
      </c>
      <c r="D1025" s="31">
        <f>EDATE(LoanData[[#This Row],[Approval_Date]],LoanData[[#This Row],[Loan_Term_Months]])</f>
        <v>47628</v>
      </c>
      <c r="E1025" t="str">
        <f t="shared" ca="1" si="15"/>
        <v>NO</v>
      </c>
      <c r="F1025" s="33">
        <f>IFERROR(LoanData[[#This Row],[EMI]]/LoanData[[#This Row],[Monthly_Income]]*100," ")</f>
        <v>17.192386957859121</v>
      </c>
      <c r="G1025" t="str" cm="1">
        <f t="array" ref="G1025">_xlfn.IFS(F1025&gt;40, "High DTI Risk",F1025&gt;=25, "Moderate DTI",F1025&lt;25, "Low DTI")</f>
        <v>Low DTI</v>
      </c>
      <c r="H1025" t="str" cm="1">
        <f t="array" ref="H10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25" t="str">
        <f>_xlfn.XLOOKUP(H1025,Reference_Tables!$B$2:$B$7,Reference_Tables!$C$2:$C$7,,0,1)</f>
        <v>VHR</v>
      </c>
      <c r="J1025" t="str">
        <f>INDEX(Reference_Tables!$D$11:$D$36,MATCH(LoanData[[#This Row],[Branch]],Reference_Tables!$A$11:$A$36,0))</f>
        <v>Debashis Das</v>
      </c>
      <c r="L1025" s="35"/>
    </row>
    <row r="1026" spans="2:12" ht="15.6" x14ac:dyDescent="0.3">
      <c r="B1026" s="15">
        <f>DATEDIF(Loan_Data!K:K,Loan_Data!L:L,"D")</f>
        <v>5</v>
      </c>
      <c r="C1026" s="15">
        <f ca="1">DATEDIF(LoanData[[#This Row],[Approval_Date]],TODAY(),"M")</f>
        <v>50</v>
      </c>
      <c r="D1026" s="31">
        <f>EDATE(LoanData[[#This Row],[Approval_Date]],LoanData[[#This Row],[Loan_Term_Months]])</f>
        <v>47283</v>
      </c>
      <c r="E1026" t="str">
        <f t="shared" ref="E1026:E1089" ca="1" si="16">IF(D1026&lt;TODAY(),"YES","NO")</f>
        <v>NO</v>
      </c>
      <c r="F1026" s="33">
        <f>IFERROR(LoanData[[#This Row],[EMI]]/LoanData[[#This Row],[Monthly_Income]]*100," ")</f>
        <v>1.6820627347477417</v>
      </c>
      <c r="G1026" t="str" cm="1">
        <f t="array" ref="G1026">_xlfn.IFS(F1026&gt;40, "High DTI Risk",F1026&gt;=25, "Moderate DTI",F1026&lt;25, "Low DTI")</f>
        <v>Low DTI</v>
      </c>
      <c r="H1026" t="str" cm="1">
        <f t="array" ref="H10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26" t="str">
        <f>_xlfn.XLOOKUP(H1026,Reference_Tables!$B$2:$B$7,Reference_Tables!$C$2:$C$7,,0,1)</f>
        <v>VHR</v>
      </c>
      <c r="J1026" t="str">
        <f>INDEX(Reference_Tables!$D$11:$D$36,MATCH(LoanData[[#This Row],[Branch]],Reference_Tables!$A$11:$A$36,0))</f>
        <v>Hetal Patel</v>
      </c>
      <c r="L1026" s="35"/>
    </row>
    <row r="1027" spans="2:12" ht="15.6" x14ac:dyDescent="0.3">
      <c r="B1027" s="15">
        <f>DATEDIF(Loan_Data!K:K,Loan_Data!L:L,"D")</f>
        <v>15</v>
      </c>
      <c r="C1027" s="15">
        <f ca="1">DATEDIF(LoanData[[#This Row],[Approval_Date]],TODAY(),"M")</f>
        <v>46</v>
      </c>
      <c r="D1027" s="31">
        <f>EDATE(LoanData[[#This Row],[Approval_Date]],LoanData[[#This Row],[Loan_Term_Months]])</f>
        <v>47388</v>
      </c>
      <c r="E1027" t="str">
        <f t="shared" ca="1" si="16"/>
        <v>NO</v>
      </c>
      <c r="F1027" s="33">
        <f>IFERROR(LoanData[[#This Row],[EMI]]/LoanData[[#This Row],[Monthly_Income]]*100," ")</f>
        <v>12.222812883675976</v>
      </c>
      <c r="G1027" t="str" cm="1">
        <f t="array" ref="G1027">_xlfn.IFS(F1027&gt;40, "High DTI Risk",F1027&gt;=25, "Moderate DTI",F1027&lt;25, "Low DTI")</f>
        <v>Low DTI</v>
      </c>
      <c r="H1027" t="str" cm="1">
        <f t="array" ref="H10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27" t="str">
        <f>_xlfn.XLOOKUP(H1027,Reference_Tables!$B$2:$B$7,Reference_Tables!$C$2:$C$7,,0,1)</f>
        <v>VHR</v>
      </c>
      <c r="J1027" t="str">
        <f>INDEX(Reference_Tables!$D$11:$D$36,MATCH(LoanData[[#This Row],[Branch]],Reference_Tables!$A$11:$A$36,0))</f>
        <v>Rituparna Bora</v>
      </c>
      <c r="L1027" s="35"/>
    </row>
    <row r="1028" spans="2:12" ht="15.6" x14ac:dyDescent="0.3">
      <c r="B1028" s="15">
        <f>DATEDIF(Loan_Data!K:K,Loan_Data!L:L,"D")</f>
        <v>19</v>
      </c>
      <c r="C1028" s="15">
        <f ca="1">DATEDIF(LoanData[[#This Row],[Approval_Date]],TODAY(),"M")</f>
        <v>49</v>
      </c>
      <c r="D1028" s="31">
        <f>EDATE(LoanData[[#This Row],[Approval_Date]],LoanData[[#This Row],[Loan_Term_Months]])</f>
        <v>50235</v>
      </c>
      <c r="E1028" t="str">
        <f t="shared" ca="1" si="16"/>
        <v>NO</v>
      </c>
      <c r="F1028" s="33">
        <f>IFERROR(LoanData[[#This Row],[EMI]]/LoanData[[#This Row],[Monthly_Income]]*100," ")</f>
        <v>6.6475391330523781</v>
      </c>
      <c r="G1028" t="str" cm="1">
        <f t="array" ref="G1028">_xlfn.IFS(F1028&gt;40, "High DTI Risk",F1028&gt;=25, "Moderate DTI",F1028&lt;25, "Low DTI")</f>
        <v>Low DTI</v>
      </c>
      <c r="H1028" t="str" cm="1">
        <f t="array" ref="H10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28" t="str">
        <f>_xlfn.XLOOKUP(H1028,Reference_Tables!$B$2:$B$7,Reference_Tables!$C$2:$C$7,,0,1)</f>
        <v>MR</v>
      </c>
      <c r="J1028" t="str">
        <f>INDEX(Reference_Tables!$D$11:$D$36,MATCH(LoanData[[#This Row],[Branch]],Reference_Tables!$A$11:$A$36,0))</f>
        <v>Sachin Deshpande</v>
      </c>
      <c r="L1028" s="35"/>
    </row>
    <row r="1029" spans="2:12" ht="15.6" x14ac:dyDescent="0.3">
      <c r="B1029" s="15">
        <f>DATEDIF(Loan_Data!K:K,Loan_Data!L:L,"D")</f>
        <v>16</v>
      </c>
      <c r="C1029" s="15">
        <f ca="1">DATEDIF(LoanData[[#This Row],[Approval_Date]],TODAY(),"M")</f>
        <v>54</v>
      </c>
      <c r="D1029" s="31">
        <f>EDATE(LoanData[[#This Row],[Approval_Date]],LoanData[[#This Row],[Loan_Term_Months]])</f>
        <v>51887</v>
      </c>
      <c r="E1029" t="str">
        <f t="shared" ca="1" si="16"/>
        <v>NO</v>
      </c>
      <c r="F1029" s="33">
        <f>IFERROR(LoanData[[#This Row],[EMI]]/LoanData[[#This Row],[Monthly_Income]]*100," ")</f>
        <v>2.6527895825649086</v>
      </c>
      <c r="G1029" t="str" cm="1">
        <f t="array" ref="G1029">_xlfn.IFS(F1029&gt;40, "High DTI Risk",F1029&gt;=25, "Moderate DTI",F1029&lt;25, "Low DTI")</f>
        <v>Low DTI</v>
      </c>
      <c r="H1029" t="str" cm="1">
        <f t="array" ref="H10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29" t="str">
        <f>_xlfn.XLOOKUP(H1029,Reference_Tables!$B$2:$B$7,Reference_Tables!$C$2:$C$7,,0,1)</f>
        <v>LR</v>
      </c>
      <c r="J1029" t="str">
        <f>INDEX(Reference_Tables!$D$11:$D$36,MATCH(LoanData[[#This Row],[Branch]],Reference_Tables!$A$11:$A$36,0))</f>
        <v>Deepak Nair</v>
      </c>
      <c r="L1029" s="35"/>
    </row>
    <row r="1030" spans="2:12" ht="15.6" x14ac:dyDescent="0.3">
      <c r="B1030" s="15">
        <f>DATEDIF(Loan_Data!K:K,Loan_Data!L:L,"D")</f>
        <v>24</v>
      </c>
      <c r="C1030" s="15">
        <f ca="1">DATEDIF(LoanData[[#This Row],[Approval_Date]],TODAY(),"M")</f>
        <v>45</v>
      </c>
      <c r="D1030" s="31">
        <f>EDATE(LoanData[[#This Row],[Approval_Date]],LoanData[[#This Row],[Loan_Term_Months]])</f>
        <v>46682</v>
      </c>
      <c r="E1030" t="str">
        <f t="shared" ca="1" si="16"/>
        <v>NO</v>
      </c>
      <c r="F1030" s="33">
        <f>IFERROR(LoanData[[#This Row],[EMI]]/LoanData[[#This Row],[Monthly_Income]]*100," ")</f>
        <v>3.3903820114070005</v>
      </c>
      <c r="G1030" t="str" cm="1">
        <f t="array" ref="G1030">_xlfn.IFS(F1030&gt;40, "High DTI Risk",F1030&gt;=25, "Moderate DTI",F1030&lt;25, "Low DTI")</f>
        <v>Low DTI</v>
      </c>
      <c r="H1030" t="str" cm="1">
        <f t="array" ref="H10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30" t="str">
        <f>_xlfn.XLOOKUP(H1030,Reference_Tables!$B$2:$B$7,Reference_Tables!$C$2:$C$7,,0,1)</f>
        <v>VHR</v>
      </c>
      <c r="J1030" t="str">
        <f>INDEX(Reference_Tables!$D$11:$D$36,MATCH(LoanData[[#This Row],[Branch]],Reference_Tables!$A$11:$A$36,0))</f>
        <v>Amit Kumar</v>
      </c>
      <c r="L1030" s="35"/>
    </row>
    <row r="1031" spans="2:12" ht="15.6" x14ac:dyDescent="0.3">
      <c r="B1031" s="15">
        <f>DATEDIF(Loan_Data!K:K,Loan_Data!L:L,"D")</f>
        <v>5</v>
      </c>
      <c r="C1031" s="15">
        <f ca="1">DATEDIF(LoanData[[#This Row],[Approval_Date]],TODAY(),"M")</f>
        <v>38</v>
      </c>
      <c r="D1031" s="31">
        <f>EDATE(LoanData[[#This Row],[Approval_Date]],LoanData[[#This Row],[Loan_Term_Months]])</f>
        <v>52373</v>
      </c>
      <c r="E1031" t="str">
        <f t="shared" ca="1" si="16"/>
        <v>NO</v>
      </c>
      <c r="F1031" s="33">
        <f>IFERROR(LoanData[[#This Row],[EMI]]/LoanData[[#This Row],[Monthly_Income]]*100," ")</f>
        <v>1.0634917230403618</v>
      </c>
      <c r="G1031" t="str" cm="1">
        <f t="array" ref="G1031">_xlfn.IFS(F1031&gt;40, "High DTI Risk",F1031&gt;=25, "Moderate DTI",F1031&lt;25, "Low DTI")</f>
        <v>Low DTI</v>
      </c>
      <c r="H1031" t="str" cm="1">
        <f t="array" ref="H10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31" t="str">
        <f>_xlfn.XLOOKUP(H1031,Reference_Tables!$B$2:$B$7,Reference_Tables!$C$2:$C$7,,0,1)</f>
        <v>MR</v>
      </c>
      <c r="J1031" t="str">
        <f>INDEX(Reference_Tables!$D$11:$D$36,MATCH(LoanData[[#This Row],[Branch]],Reference_Tables!$A$11:$A$36,0))</f>
        <v>Sachin Deshpande</v>
      </c>
      <c r="L1031" s="35"/>
    </row>
    <row r="1032" spans="2:12" ht="15.6" x14ac:dyDescent="0.3">
      <c r="B1032" s="15">
        <f>DATEDIF(Loan_Data!K:K,Loan_Data!L:L,"D")</f>
        <v>3</v>
      </c>
      <c r="C1032" s="15">
        <f ca="1">DATEDIF(LoanData[[#This Row],[Approval_Date]],TODAY(),"M")</f>
        <v>33</v>
      </c>
      <c r="D1032" s="31">
        <f>EDATE(LoanData[[#This Row],[Approval_Date]],LoanData[[#This Row],[Loan_Term_Months]])</f>
        <v>48884</v>
      </c>
      <c r="E1032" t="str">
        <f t="shared" ca="1" si="16"/>
        <v>NO</v>
      </c>
      <c r="F1032" s="33">
        <f>IFERROR(LoanData[[#This Row],[EMI]]/LoanData[[#This Row],[Monthly_Income]]*100," ")</f>
        <v>2.5386930352536545</v>
      </c>
      <c r="G1032" t="str" cm="1">
        <f t="array" ref="G1032">_xlfn.IFS(F1032&gt;40, "High DTI Risk",F1032&gt;=25, "Moderate DTI",F1032&lt;25, "Low DTI")</f>
        <v>Low DTI</v>
      </c>
      <c r="H1032" t="str" cm="1">
        <f t="array" ref="H10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32" t="str">
        <f>_xlfn.XLOOKUP(H1032,Reference_Tables!$B$2:$B$7,Reference_Tables!$C$2:$C$7,,0,1)</f>
        <v>MR</v>
      </c>
      <c r="J1032" t="str">
        <f>INDEX(Reference_Tables!$D$11:$D$36,MATCH(LoanData[[#This Row],[Branch]],Reference_Tables!$A$11:$A$36,0))</f>
        <v>Rituparna Bora</v>
      </c>
      <c r="L1032" s="35"/>
    </row>
    <row r="1033" spans="2:12" ht="15.6" x14ac:dyDescent="0.3">
      <c r="B1033" s="15">
        <f>DATEDIF(Loan_Data!K:K,Loan_Data!L:L,"D")</f>
        <v>22</v>
      </c>
      <c r="C1033" s="15">
        <f ca="1">DATEDIF(LoanData[[#This Row],[Approval_Date]],TODAY(),"M")</f>
        <v>44</v>
      </c>
      <c r="D1033" s="31">
        <f>EDATE(LoanData[[#This Row],[Approval_Date]],LoanData[[#This Row],[Loan_Term_Months]])</f>
        <v>46374</v>
      </c>
      <c r="E1033" t="str">
        <f t="shared" ca="1" si="16"/>
        <v>NO</v>
      </c>
      <c r="F1033" s="33">
        <f>IFERROR(LoanData[[#This Row],[EMI]]/LoanData[[#This Row],[Monthly_Income]]*100," ")</f>
        <v>45.542331491712709</v>
      </c>
      <c r="G1033" t="str" cm="1">
        <f t="array" ref="G1033">_xlfn.IFS(F1033&gt;40, "High DTI Risk",F1033&gt;=25, "Moderate DTI",F1033&lt;25, "Low DTI")</f>
        <v>High DTI Risk</v>
      </c>
      <c r="H1033" t="str" cm="1">
        <f t="array" ref="H10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33" t="str">
        <f>_xlfn.XLOOKUP(H1033,Reference_Tables!$B$2:$B$7,Reference_Tables!$C$2:$C$7,,0,1)</f>
        <v>VHR</v>
      </c>
      <c r="J1033" t="str">
        <f>INDEX(Reference_Tables!$D$11:$D$36,MATCH(LoanData[[#This Row],[Branch]],Reference_Tables!$A$11:$A$36,0))</f>
        <v>Suman Tiwari</v>
      </c>
      <c r="L1033" s="35"/>
    </row>
    <row r="1034" spans="2:12" ht="15.6" x14ac:dyDescent="0.3">
      <c r="B1034" s="15">
        <f>DATEDIF(Loan_Data!K:K,Loan_Data!L:L,"D")</f>
        <v>3</v>
      </c>
      <c r="C1034" s="15">
        <f ca="1">DATEDIF(LoanData[[#This Row],[Approval_Date]],TODAY(),"M")</f>
        <v>64</v>
      </c>
      <c r="D1034" s="31">
        <f>EDATE(LoanData[[#This Row],[Approval_Date]],LoanData[[#This Row],[Loan_Term_Months]])</f>
        <v>49775</v>
      </c>
      <c r="E1034" t="str">
        <f t="shared" ca="1" si="16"/>
        <v>NO</v>
      </c>
      <c r="F1034" s="33">
        <f>IFERROR(LoanData[[#This Row],[EMI]]/LoanData[[#This Row],[Monthly_Income]]*100," ")</f>
        <v>13.557881949406889</v>
      </c>
      <c r="G1034" t="str" cm="1">
        <f t="array" ref="G1034">_xlfn.IFS(F1034&gt;40, "High DTI Risk",F1034&gt;=25, "Moderate DTI",F1034&lt;25, "Low DTI")</f>
        <v>Low DTI</v>
      </c>
      <c r="H1034" t="str" cm="1">
        <f t="array" ref="H10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34" t="str">
        <f>_xlfn.XLOOKUP(H1034,Reference_Tables!$B$2:$B$7,Reference_Tables!$C$2:$C$7,,0,1)</f>
        <v>LR</v>
      </c>
      <c r="J1034" t="str">
        <f>INDEX(Reference_Tables!$D$11:$D$36,MATCH(LoanData[[#This Row],[Branch]],Reference_Tables!$A$11:$A$36,0))</f>
        <v>Puja Chatterjee</v>
      </c>
      <c r="L1034" s="35"/>
    </row>
    <row r="1035" spans="2:12" ht="15.6" x14ac:dyDescent="0.3">
      <c r="B1035" s="15">
        <f>DATEDIF(Loan_Data!K:K,Loan_Data!L:L,"D")</f>
        <v>5</v>
      </c>
      <c r="C1035" s="15">
        <f ca="1">DATEDIF(LoanData[[#This Row],[Approval_Date]],TODAY(),"M")</f>
        <v>55</v>
      </c>
      <c r="D1035" s="31">
        <f>EDATE(LoanData[[#This Row],[Approval_Date]],LoanData[[#This Row],[Loan_Term_Months]])</f>
        <v>50031</v>
      </c>
      <c r="E1035" t="str">
        <f t="shared" ca="1" si="16"/>
        <v>NO</v>
      </c>
      <c r="F1035" s="33">
        <f>IFERROR(LoanData[[#This Row],[EMI]]/LoanData[[#This Row],[Monthly_Income]]*100," ")</f>
        <v>5.9461250238150676</v>
      </c>
      <c r="G1035" t="str" cm="1">
        <f t="array" ref="G1035">_xlfn.IFS(F1035&gt;40, "High DTI Risk",F1035&gt;=25, "Moderate DTI",F1035&lt;25, "Low DTI")</f>
        <v>Low DTI</v>
      </c>
      <c r="H1035" t="str" cm="1">
        <f t="array" ref="H10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35" t="str">
        <f>_xlfn.XLOOKUP(H1035,Reference_Tables!$B$2:$B$7,Reference_Tables!$C$2:$C$7,,0,1)</f>
        <v>HR</v>
      </c>
      <c r="J1035" t="str">
        <f>INDEX(Reference_Tables!$D$11:$D$36,MATCH(LoanData[[#This Row],[Branch]],Reference_Tables!$A$11:$A$36,0))</f>
        <v>Sachin Deshpande</v>
      </c>
      <c r="L1035" s="35"/>
    </row>
    <row r="1036" spans="2:12" ht="15.6" x14ac:dyDescent="0.3">
      <c r="B1036" s="15">
        <f>DATEDIF(Loan_Data!K:K,Loan_Data!L:L,"D")</f>
        <v>14</v>
      </c>
      <c r="C1036" s="15">
        <f ca="1">DATEDIF(LoanData[[#This Row],[Approval_Date]],TODAY(),"M")</f>
        <v>45</v>
      </c>
      <c r="D1036" s="31">
        <f>EDATE(LoanData[[#This Row],[Approval_Date]],LoanData[[#This Row],[Loan_Term_Months]])</f>
        <v>52158</v>
      </c>
      <c r="E1036" t="str">
        <f t="shared" ca="1" si="16"/>
        <v>NO</v>
      </c>
      <c r="F1036" s="33">
        <f>IFERROR(LoanData[[#This Row],[EMI]]/LoanData[[#This Row],[Monthly_Income]]*100," ")</f>
        <v>0.55103975461308086</v>
      </c>
      <c r="G1036" t="str" cm="1">
        <f t="array" ref="G1036">_xlfn.IFS(F1036&gt;40, "High DTI Risk",F1036&gt;=25, "Moderate DTI",F1036&lt;25, "Low DTI")</f>
        <v>Low DTI</v>
      </c>
      <c r="H1036" t="str" cm="1">
        <f t="array" ref="H10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36" t="str">
        <f>_xlfn.XLOOKUP(H1036,Reference_Tables!$B$2:$B$7,Reference_Tables!$C$2:$C$7,,0,1)</f>
        <v>MR</v>
      </c>
      <c r="J1036" t="str">
        <f>INDEX(Reference_Tables!$D$11:$D$36,MATCH(LoanData[[#This Row],[Branch]],Reference_Tables!$A$11:$A$36,0))</f>
        <v>Anil Mishra</v>
      </c>
      <c r="L1036" s="35"/>
    </row>
    <row r="1037" spans="2:12" ht="15.6" x14ac:dyDescent="0.3">
      <c r="B1037" s="15">
        <f>DATEDIF(Loan_Data!K:K,Loan_Data!L:L,"D")</f>
        <v>29</v>
      </c>
      <c r="C1037" s="15">
        <f ca="1">DATEDIF(LoanData[[#This Row],[Approval_Date]],TODAY(),"M")</f>
        <v>62</v>
      </c>
      <c r="D1037" s="31">
        <f>EDATE(LoanData[[#This Row],[Approval_Date]],LoanData[[#This Row],[Loan_Term_Months]])</f>
        <v>51653</v>
      </c>
      <c r="E1037" t="str">
        <f t="shared" ca="1" si="16"/>
        <v>NO</v>
      </c>
      <c r="F1037" s="33">
        <f>IFERROR(LoanData[[#This Row],[EMI]]/LoanData[[#This Row],[Monthly_Income]]*100," ")</f>
        <v>3.3067316334736745</v>
      </c>
      <c r="G1037" t="str" cm="1">
        <f t="array" ref="G1037">_xlfn.IFS(F1037&gt;40, "High DTI Risk",F1037&gt;=25, "Moderate DTI",F1037&lt;25, "Low DTI")</f>
        <v>Low DTI</v>
      </c>
      <c r="H1037" t="str" cm="1">
        <f t="array" ref="H10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37" t="str">
        <f>_xlfn.XLOOKUP(H1037,Reference_Tables!$B$2:$B$7,Reference_Tables!$C$2:$C$7,,0,1)</f>
        <v>HR</v>
      </c>
      <c r="J1037" t="str">
        <f>INDEX(Reference_Tables!$D$11:$D$36,MATCH(LoanData[[#This Row],[Branch]],Reference_Tables!$A$11:$A$36,0))</f>
        <v>Jigar Mehta</v>
      </c>
      <c r="L1037" s="35"/>
    </row>
    <row r="1038" spans="2:12" ht="15.6" x14ac:dyDescent="0.3">
      <c r="B1038" s="15">
        <f>DATEDIF(Loan_Data!K:K,Loan_Data!L:L,"D")</f>
        <v>26</v>
      </c>
      <c r="C1038" s="15">
        <f ca="1">DATEDIF(LoanData[[#This Row],[Approval_Date]],TODAY(),"M")</f>
        <v>36</v>
      </c>
      <c r="D1038" s="31">
        <f>EDATE(LoanData[[#This Row],[Approval_Date]],LoanData[[#This Row],[Loan_Term_Months]])</f>
        <v>48783</v>
      </c>
      <c r="E1038" t="str">
        <f t="shared" ca="1" si="16"/>
        <v>NO</v>
      </c>
      <c r="F1038" s="33">
        <f>IFERROR(LoanData[[#This Row],[EMI]]/LoanData[[#This Row],[Monthly_Income]]*100," ")</f>
        <v>5.9446708422527026</v>
      </c>
      <c r="G1038" t="str" cm="1">
        <f t="array" ref="G1038">_xlfn.IFS(F1038&gt;40, "High DTI Risk",F1038&gt;=25, "Moderate DTI",F1038&lt;25, "Low DTI")</f>
        <v>Low DTI</v>
      </c>
      <c r="H1038" t="str" cm="1">
        <f t="array" ref="H10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38" t="str">
        <f>_xlfn.XLOOKUP(H1038,Reference_Tables!$B$2:$B$7,Reference_Tables!$C$2:$C$7,,0,1)</f>
        <v>HR</v>
      </c>
      <c r="J1038" t="str">
        <f>INDEX(Reference_Tables!$D$11:$D$36,MATCH(LoanData[[#This Row],[Branch]],Reference_Tables!$A$11:$A$36,0))</f>
        <v>Ravi Verma</v>
      </c>
      <c r="L1038" s="35"/>
    </row>
    <row r="1039" spans="2:12" ht="15.6" x14ac:dyDescent="0.3">
      <c r="B1039" s="15">
        <f>DATEDIF(Loan_Data!K:K,Loan_Data!L:L,"D")</f>
        <v>5</v>
      </c>
      <c r="C1039" s="15">
        <f ca="1">DATEDIF(LoanData[[#This Row],[Approval_Date]],TODAY(),"M")</f>
        <v>37</v>
      </c>
      <c r="D1039" s="31">
        <f>EDATE(LoanData[[#This Row],[Approval_Date]],LoanData[[#This Row],[Loan_Term_Months]])</f>
        <v>52416</v>
      </c>
      <c r="E1039" t="str">
        <f t="shared" ca="1" si="16"/>
        <v>NO</v>
      </c>
      <c r="F1039" s="33">
        <f>IFERROR(LoanData[[#This Row],[EMI]]/LoanData[[#This Row],[Monthly_Income]]*100," ")</f>
        <v>3.665996380454454</v>
      </c>
      <c r="G1039" t="str" cm="1">
        <f t="array" ref="G1039">_xlfn.IFS(F1039&gt;40, "High DTI Risk",F1039&gt;=25, "Moderate DTI",F1039&lt;25, "Low DTI")</f>
        <v>Low DTI</v>
      </c>
      <c r="H1039" t="str" cm="1">
        <f t="array" ref="H10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39" t="str">
        <f>_xlfn.XLOOKUP(H1039,Reference_Tables!$B$2:$B$7,Reference_Tables!$C$2:$C$7,,0,1)</f>
        <v>HR</v>
      </c>
      <c r="J1039" t="str">
        <f>INDEX(Reference_Tables!$D$11:$D$36,MATCH(LoanData[[#This Row],[Branch]],Reference_Tables!$A$11:$A$36,0))</f>
        <v>Meena Iyer</v>
      </c>
      <c r="L1039" s="35"/>
    </row>
    <row r="1040" spans="2:12" ht="15.6" x14ac:dyDescent="0.3">
      <c r="B1040" s="15">
        <f>DATEDIF(Loan_Data!K:K,Loan_Data!L:L,"D")</f>
        <v>14</v>
      </c>
      <c r="C1040" s="15">
        <f ca="1">DATEDIF(LoanData[[#This Row],[Approval_Date]],TODAY(),"M")</f>
        <v>58</v>
      </c>
      <c r="D1040" s="31">
        <f>EDATE(LoanData[[#This Row],[Approval_Date]],LoanData[[#This Row],[Loan_Term_Months]])</f>
        <v>49942</v>
      </c>
      <c r="E1040" t="str">
        <f t="shared" ca="1" si="16"/>
        <v>NO</v>
      </c>
      <c r="F1040" s="33">
        <f>IFERROR(LoanData[[#This Row],[EMI]]/LoanData[[#This Row],[Monthly_Income]]*100," ")</f>
        <v>9.917573461385965</v>
      </c>
      <c r="G1040" t="str" cm="1">
        <f t="array" ref="G1040">_xlfn.IFS(F1040&gt;40, "High DTI Risk",F1040&gt;=25, "Moderate DTI",F1040&lt;25, "Low DTI")</f>
        <v>Low DTI</v>
      </c>
      <c r="H1040" t="str" cm="1">
        <f t="array" ref="H10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40" t="str">
        <f>_xlfn.XLOOKUP(H1040,Reference_Tables!$B$2:$B$7,Reference_Tables!$C$2:$C$7,,0,1)</f>
        <v>VHR</v>
      </c>
      <c r="J1040" t="str">
        <f>INDEX(Reference_Tables!$D$11:$D$36,MATCH(LoanData[[#This Row],[Branch]],Reference_Tables!$A$11:$A$36,0))</f>
        <v>Ravi Verma</v>
      </c>
      <c r="L1040" s="35"/>
    </row>
    <row r="1041" spans="2:12" ht="15.6" x14ac:dyDescent="0.3">
      <c r="B1041" s="15">
        <f>DATEDIF(Loan_Data!K:K,Loan_Data!L:L,"D")</f>
        <v>27</v>
      </c>
      <c r="C1041" s="15">
        <f ca="1">DATEDIF(LoanData[[#This Row],[Approval_Date]],TODAY(),"M")</f>
        <v>37</v>
      </c>
      <c r="D1041" s="31">
        <f>EDATE(LoanData[[#This Row],[Approval_Date]],LoanData[[#This Row],[Loan_Term_Months]])</f>
        <v>46583</v>
      </c>
      <c r="E1041" t="str">
        <f t="shared" ca="1" si="16"/>
        <v>NO</v>
      </c>
      <c r="F1041" s="33">
        <f>IFERROR(LoanData[[#This Row],[EMI]]/LoanData[[#This Row],[Monthly_Income]]*100," ")</f>
        <v>28.825487069264373</v>
      </c>
      <c r="G1041" t="str" cm="1">
        <f t="array" ref="G1041">_xlfn.IFS(F1041&gt;40, "High DTI Risk",F1041&gt;=25, "Moderate DTI",F1041&lt;25, "Low DTI")</f>
        <v>Moderate DTI</v>
      </c>
      <c r="H1041" t="str" cm="1">
        <f t="array" ref="H10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41" t="str">
        <f>_xlfn.XLOOKUP(H1041,Reference_Tables!$B$2:$B$7,Reference_Tables!$C$2:$C$7,,0,1)</f>
        <v>HR</v>
      </c>
      <c r="J1041" t="str">
        <f>INDEX(Reference_Tables!$D$11:$D$36,MATCH(LoanData[[#This Row],[Branch]],Reference_Tables!$A$11:$A$36,0))</f>
        <v>Suman Tiwari</v>
      </c>
      <c r="L1041" s="35"/>
    </row>
    <row r="1042" spans="2:12" ht="15.6" x14ac:dyDescent="0.3">
      <c r="B1042" s="15">
        <f>DATEDIF(Loan_Data!K:K,Loan_Data!L:L,"D")</f>
        <v>19</v>
      </c>
      <c r="C1042" s="15">
        <f ca="1">DATEDIF(LoanData[[#This Row],[Approval_Date]],TODAY(),"M")</f>
        <v>37</v>
      </c>
      <c r="D1042" s="31">
        <f>EDATE(LoanData[[#This Row],[Approval_Date]],LoanData[[#This Row],[Loan_Term_Months]])</f>
        <v>50587</v>
      </c>
      <c r="E1042" t="str">
        <f t="shared" ca="1" si="16"/>
        <v>NO</v>
      </c>
      <c r="F1042" s="33">
        <f>IFERROR(LoanData[[#This Row],[EMI]]/LoanData[[#This Row],[Monthly_Income]]*100," ")</f>
        <v>11.546513686745282</v>
      </c>
      <c r="G1042" t="str" cm="1">
        <f t="array" ref="G1042">_xlfn.IFS(F1042&gt;40, "High DTI Risk",F1042&gt;=25, "Moderate DTI",F1042&lt;25, "Low DTI")</f>
        <v>Low DTI</v>
      </c>
      <c r="H1042" t="str" cm="1">
        <f t="array" ref="H10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42" t="str">
        <f>_xlfn.XLOOKUP(H1042,Reference_Tables!$B$2:$B$7,Reference_Tables!$C$2:$C$7,,0,1)</f>
        <v>VHR</v>
      </c>
      <c r="J1042" t="str">
        <f>INDEX(Reference_Tables!$D$11:$D$36,MATCH(LoanData[[#This Row],[Branch]],Reference_Tables!$A$11:$A$36,0))</f>
        <v>Vikram Malhotra</v>
      </c>
      <c r="L1042" s="35"/>
    </row>
    <row r="1043" spans="2:12" ht="15.6" x14ac:dyDescent="0.3">
      <c r="B1043" s="15">
        <f>DATEDIF(Loan_Data!K:K,Loan_Data!L:L,"D")</f>
        <v>30</v>
      </c>
      <c r="C1043" s="15">
        <f ca="1">DATEDIF(LoanData[[#This Row],[Approval_Date]],TODAY(),"M")</f>
        <v>44</v>
      </c>
      <c r="D1043" s="31">
        <f>EDATE(LoanData[[#This Row],[Approval_Date]],LoanData[[#This Row],[Loan_Term_Months]])</f>
        <v>46366</v>
      </c>
      <c r="E1043" t="str">
        <f t="shared" ca="1" si="16"/>
        <v>NO</v>
      </c>
      <c r="F1043" s="33">
        <f>IFERROR(LoanData[[#This Row],[EMI]]/LoanData[[#This Row],[Monthly_Income]]*100," ")</f>
        <v>6.7593621647740996</v>
      </c>
      <c r="G1043" t="str" cm="1">
        <f t="array" ref="G1043">_xlfn.IFS(F1043&gt;40, "High DTI Risk",F1043&gt;=25, "Moderate DTI",F1043&lt;25, "Low DTI")</f>
        <v>Low DTI</v>
      </c>
      <c r="H1043" t="str" cm="1">
        <f t="array" ref="H10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43" t="str">
        <f>_xlfn.XLOOKUP(H1043,Reference_Tables!$B$2:$B$7,Reference_Tables!$C$2:$C$7,,0,1)</f>
        <v>VHR</v>
      </c>
      <c r="J1043" t="str">
        <f>INDEX(Reference_Tables!$D$11:$D$36,MATCH(LoanData[[#This Row],[Branch]],Reference_Tables!$A$11:$A$36,0))</f>
        <v>Hetal Patel</v>
      </c>
      <c r="L1043" s="35"/>
    </row>
    <row r="1044" spans="2:12" ht="15.6" x14ac:dyDescent="0.3">
      <c r="B1044" s="15">
        <f>DATEDIF(Loan_Data!K:K,Loan_Data!L:L,"D")</f>
        <v>14</v>
      </c>
      <c r="C1044" s="15">
        <f ca="1">DATEDIF(LoanData[[#This Row],[Approval_Date]],TODAY(),"M")</f>
        <v>32</v>
      </c>
      <c r="D1044" s="31">
        <f>EDATE(LoanData[[#This Row],[Approval_Date]],LoanData[[#This Row],[Loan_Term_Months]])</f>
        <v>46714</v>
      </c>
      <c r="E1044" t="str">
        <f t="shared" ca="1" si="16"/>
        <v>NO</v>
      </c>
      <c r="F1044" s="33">
        <f>IFERROR(LoanData[[#This Row],[EMI]]/LoanData[[#This Row],[Monthly_Income]]*100," ")</f>
        <v>4.7571556857161346</v>
      </c>
      <c r="G1044" t="str" cm="1">
        <f t="array" ref="G1044">_xlfn.IFS(F1044&gt;40, "High DTI Risk",F1044&gt;=25, "Moderate DTI",F1044&lt;25, "Low DTI")</f>
        <v>Low DTI</v>
      </c>
      <c r="H1044" t="str" cm="1">
        <f t="array" ref="H10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44" t="str">
        <f>_xlfn.XLOOKUP(H1044,Reference_Tables!$B$2:$B$7,Reference_Tables!$C$2:$C$7,,0,1)</f>
        <v>VHR</v>
      </c>
      <c r="J1044" t="str">
        <f>INDEX(Reference_Tables!$D$11:$D$36,MATCH(LoanData[[#This Row],[Branch]],Reference_Tables!$A$11:$A$36,0))</f>
        <v>Suresh Menon</v>
      </c>
      <c r="L1044" s="35"/>
    </row>
    <row r="1045" spans="2:12" ht="15.6" x14ac:dyDescent="0.3">
      <c r="B1045" s="15">
        <f>DATEDIF(Loan_Data!K:K,Loan_Data!L:L,"D")</f>
        <v>9</v>
      </c>
      <c r="C1045" s="15">
        <f ca="1">DATEDIF(LoanData[[#This Row],[Approval_Date]],TODAY(),"M")</f>
        <v>64</v>
      </c>
      <c r="D1045" s="31">
        <f>EDATE(LoanData[[#This Row],[Approval_Date]],LoanData[[#This Row],[Loan_Term_Months]])</f>
        <v>51585</v>
      </c>
      <c r="E1045" t="str">
        <f t="shared" ca="1" si="16"/>
        <v>NO</v>
      </c>
      <c r="F1045" s="33">
        <f>IFERROR(LoanData[[#This Row],[EMI]]/LoanData[[#This Row],[Monthly_Income]]*100," ")</f>
        <v>1.8712767750056993</v>
      </c>
      <c r="G1045" t="str" cm="1">
        <f t="array" ref="G1045">_xlfn.IFS(F1045&gt;40, "High DTI Risk",F1045&gt;=25, "Moderate DTI",F1045&lt;25, "Low DTI")</f>
        <v>Low DTI</v>
      </c>
      <c r="H1045" t="str" cm="1">
        <f t="array" ref="H10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45" t="str">
        <f>_xlfn.XLOOKUP(H1045,Reference_Tables!$B$2:$B$7,Reference_Tables!$C$2:$C$7,,0,1)</f>
        <v>LR</v>
      </c>
      <c r="J1045" t="str">
        <f>INDEX(Reference_Tables!$D$11:$D$36,MATCH(LoanData[[#This Row],[Branch]],Reference_Tables!$A$11:$A$36,0))</f>
        <v>Rituparna Bora</v>
      </c>
      <c r="L1045" s="35"/>
    </row>
    <row r="1046" spans="2:12" ht="15.6" x14ac:dyDescent="0.3">
      <c r="B1046" s="15">
        <f>DATEDIF(Loan_Data!K:K,Loan_Data!L:L,"D")</f>
        <v>28</v>
      </c>
      <c r="C1046" s="15">
        <f ca="1">DATEDIF(LoanData[[#This Row],[Approval_Date]],TODAY(),"M")</f>
        <v>61</v>
      </c>
      <c r="D1046" s="31">
        <f>EDATE(LoanData[[#This Row],[Approval_Date]],LoanData[[#This Row],[Loan_Term_Months]])</f>
        <v>49864</v>
      </c>
      <c r="E1046" t="str">
        <f t="shared" ca="1" si="16"/>
        <v>NO</v>
      </c>
      <c r="F1046" s="33">
        <f>IFERROR(LoanData[[#This Row],[EMI]]/LoanData[[#This Row],[Monthly_Income]]*100," ")</f>
        <v>5.2595558452441926</v>
      </c>
      <c r="G1046" t="str" cm="1">
        <f t="array" ref="G1046">_xlfn.IFS(F1046&gt;40, "High DTI Risk",F1046&gt;=25, "Moderate DTI",F1046&lt;25, "Low DTI")</f>
        <v>Low DTI</v>
      </c>
      <c r="H1046" t="str" cm="1">
        <f t="array" ref="H10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1046" t="str">
        <f>_xlfn.XLOOKUP(H1046,Reference_Tables!$B$2:$B$7,Reference_Tables!$C$2:$C$7,,0,1)</f>
        <v>UC</v>
      </c>
      <c r="J1046" t="str">
        <f>INDEX(Reference_Tables!$D$11:$D$36,MATCH(LoanData[[#This Row],[Branch]],Reference_Tables!$A$11:$A$36,0))</f>
        <v>Priyanka Gupta</v>
      </c>
      <c r="L1046" s="35"/>
    </row>
    <row r="1047" spans="2:12" ht="15.6" x14ac:dyDescent="0.3">
      <c r="B1047" s="15">
        <f>DATEDIF(Loan_Data!K:K,Loan_Data!L:L,"D")</f>
        <v>4</v>
      </c>
      <c r="C1047" s="15">
        <f ca="1">DATEDIF(LoanData[[#This Row],[Approval_Date]],TODAY(),"M")</f>
        <v>55</v>
      </c>
      <c r="D1047" s="31">
        <f>EDATE(LoanData[[#This Row],[Approval_Date]],LoanData[[#This Row],[Loan_Term_Months]])</f>
        <v>50043</v>
      </c>
      <c r="E1047" t="str">
        <f t="shared" ca="1" si="16"/>
        <v>NO</v>
      </c>
      <c r="F1047" s="33">
        <f>IFERROR(LoanData[[#This Row],[EMI]]/LoanData[[#This Row],[Monthly_Income]]*100," ")</f>
        <v>1.3143051220539805</v>
      </c>
      <c r="G1047" t="str" cm="1">
        <f t="array" ref="G1047">_xlfn.IFS(F1047&gt;40, "High DTI Risk",F1047&gt;=25, "Moderate DTI",F1047&lt;25, "Low DTI")</f>
        <v>Low DTI</v>
      </c>
      <c r="H1047" t="str" cm="1">
        <f t="array" ref="H10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47" t="str">
        <f>_xlfn.XLOOKUP(H1047,Reference_Tables!$B$2:$B$7,Reference_Tables!$C$2:$C$7,,0,1)</f>
        <v>HR</v>
      </c>
      <c r="J1047" t="str">
        <f>INDEX(Reference_Tables!$D$11:$D$36,MATCH(LoanData[[#This Row],[Branch]],Reference_Tables!$A$11:$A$36,0))</f>
        <v>Vikram Malhotra</v>
      </c>
      <c r="L1047" s="35"/>
    </row>
    <row r="1048" spans="2:12" ht="15.6" x14ac:dyDescent="0.3">
      <c r="B1048" s="15">
        <f>DATEDIF(Loan_Data!K:K,Loan_Data!L:L,"D")</f>
        <v>15</v>
      </c>
      <c r="C1048" s="15">
        <f ca="1">DATEDIF(LoanData[[#This Row],[Approval_Date]],TODAY(),"M")</f>
        <v>47</v>
      </c>
      <c r="D1048" s="31">
        <f>EDATE(LoanData[[#This Row],[Approval_Date]],LoanData[[#This Row],[Loan_Term_Months]])</f>
        <v>50300</v>
      </c>
      <c r="E1048" t="str">
        <f t="shared" ca="1" si="16"/>
        <v>NO</v>
      </c>
      <c r="F1048" s="33">
        <f>IFERROR(LoanData[[#This Row],[EMI]]/LoanData[[#This Row],[Monthly_Income]]*100," ")</f>
        <v>3.278256474585767</v>
      </c>
      <c r="G1048" t="str" cm="1">
        <f t="array" ref="G1048">_xlfn.IFS(F1048&gt;40, "High DTI Risk",F1048&gt;=25, "Moderate DTI",F1048&lt;25, "Low DTI")</f>
        <v>Low DTI</v>
      </c>
      <c r="H1048" t="str" cm="1">
        <f t="array" ref="H10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48" t="str">
        <f>_xlfn.XLOOKUP(H1048,Reference_Tables!$B$2:$B$7,Reference_Tables!$C$2:$C$7,,0,1)</f>
        <v>VHR</v>
      </c>
      <c r="J1048" t="str">
        <f>INDEX(Reference_Tables!$D$11:$D$36,MATCH(LoanData[[#This Row],[Branch]],Reference_Tables!$A$11:$A$36,0))</f>
        <v>Amit Kumar</v>
      </c>
      <c r="L1048" s="35"/>
    </row>
    <row r="1049" spans="2:12" ht="15.6" x14ac:dyDescent="0.3">
      <c r="B1049" s="15">
        <f>DATEDIF(Loan_Data!K:K,Loan_Data!L:L,"D")</f>
        <v>25</v>
      </c>
      <c r="C1049" s="15">
        <f ca="1">DATEDIF(LoanData[[#This Row],[Approval_Date]],TODAY(),"M")</f>
        <v>50</v>
      </c>
      <c r="D1049" s="31">
        <f>EDATE(LoanData[[#This Row],[Approval_Date]],LoanData[[#This Row],[Loan_Term_Months]])</f>
        <v>45814</v>
      </c>
      <c r="E1049" t="str">
        <f t="shared" ca="1" si="16"/>
        <v>YES</v>
      </c>
      <c r="F1049" s="33">
        <f>IFERROR(LoanData[[#This Row],[EMI]]/LoanData[[#This Row],[Monthly_Income]]*100," ")</f>
        <v>3.0977272163977494</v>
      </c>
      <c r="G1049" t="str" cm="1">
        <f t="array" ref="G1049">_xlfn.IFS(F1049&gt;40, "High DTI Risk",F1049&gt;=25, "Moderate DTI",F1049&lt;25, "Low DTI")</f>
        <v>Low DTI</v>
      </c>
      <c r="H1049" t="str" cm="1">
        <f t="array" ref="H10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49" t="str">
        <f>_xlfn.XLOOKUP(H1049,Reference_Tables!$B$2:$B$7,Reference_Tables!$C$2:$C$7,,0,1)</f>
        <v>LR</v>
      </c>
      <c r="J1049" t="str">
        <f>INDEX(Reference_Tables!$D$11:$D$36,MATCH(LoanData[[#This Row],[Branch]],Reference_Tables!$A$11:$A$36,0))</f>
        <v>Nilesh Shah</v>
      </c>
      <c r="L1049" s="35"/>
    </row>
    <row r="1050" spans="2:12" ht="15.6" x14ac:dyDescent="0.3">
      <c r="B1050" s="15">
        <f>DATEDIF(Loan_Data!K:K,Loan_Data!L:L,"D")</f>
        <v>5</v>
      </c>
      <c r="C1050" s="15">
        <f ca="1">DATEDIF(LoanData[[#This Row],[Approval_Date]],TODAY(),"M")</f>
        <v>67</v>
      </c>
      <c r="D1050" s="31">
        <f>EDATE(LoanData[[#This Row],[Approval_Date]],LoanData[[#This Row],[Loan_Term_Months]])</f>
        <v>45675</v>
      </c>
      <c r="E1050" t="str">
        <f t="shared" ca="1" si="16"/>
        <v>YES</v>
      </c>
      <c r="F1050" s="33">
        <f>IFERROR(LoanData[[#This Row],[EMI]]/LoanData[[#This Row],[Monthly_Income]]*100," ")</f>
        <v>12.663293276172283</v>
      </c>
      <c r="G1050" t="str" cm="1">
        <f t="array" ref="G1050">_xlfn.IFS(F1050&gt;40, "High DTI Risk",F1050&gt;=25, "Moderate DTI",F1050&lt;25, "Low DTI")</f>
        <v>Low DTI</v>
      </c>
      <c r="H1050" t="str" cm="1">
        <f t="array" ref="H10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50" t="str">
        <f>_xlfn.XLOOKUP(H1050,Reference_Tables!$B$2:$B$7,Reference_Tables!$C$2:$C$7,,0,1)</f>
        <v>LR</v>
      </c>
      <c r="J1050" t="str">
        <f>INDEX(Reference_Tables!$D$11:$D$36,MATCH(LoanData[[#This Row],[Branch]],Reference_Tables!$A$11:$A$36,0))</f>
        <v>Puja Chatterjee</v>
      </c>
      <c r="L1050" s="35"/>
    </row>
    <row r="1051" spans="2:12" ht="15.6" x14ac:dyDescent="0.3">
      <c r="B1051" s="15">
        <f>DATEDIF(Loan_Data!K:K,Loan_Data!L:L,"D")</f>
        <v>27</v>
      </c>
      <c r="C1051" s="15">
        <f ca="1">DATEDIF(LoanData[[#This Row],[Approval_Date]],TODAY(),"M")</f>
        <v>61</v>
      </c>
      <c r="D1051" s="31">
        <f>EDATE(LoanData[[#This Row],[Approval_Date]],LoanData[[#This Row],[Loan_Term_Months]])</f>
        <v>49873</v>
      </c>
      <c r="E1051" t="str">
        <f t="shared" ca="1" si="16"/>
        <v>NO</v>
      </c>
      <c r="F1051" s="33">
        <f>IFERROR(LoanData[[#This Row],[EMI]]/LoanData[[#This Row],[Monthly_Income]]*100," ")</f>
        <v>1.1621439096267192</v>
      </c>
      <c r="G1051" t="str" cm="1">
        <f t="array" ref="G1051">_xlfn.IFS(F1051&gt;40, "High DTI Risk",F1051&gt;=25, "Moderate DTI",F1051&lt;25, "Low DTI")</f>
        <v>Low DTI</v>
      </c>
      <c r="H1051" t="str" cm="1">
        <f t="array" ref="H10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51" t="str">
        <f>_xlfn.XLOOKUP(H1051,Reference_Tables!$B$2:$B$7,Reference_Tables!$C$2:$C$7,,0,1)</f>
        <v>VHR</v>
      </c>
      <c r="J1051" t="str">
        <f>INDEX(Reference_Tables!$D$11:$D$36,MATCH(LoanData[[#This Row],[Branch]],Reference_Tables!$A$11:$A$36,0))</f>
        <v>Nilesh Shah</v>
      </c>
      <c r="L1051" s="35"/>
    </row>
    <row r="1052" spans="2:12" ht="15.6" x14ac:dyDescent="0.3">
      <c r="B1052" s="15">
        <f>DATEDIF(Loan_Data!K:K,Loan_Data!L:L,"D")</f>
        <v>11</v>
      </c>
      <c r="C1052" s="15">
        <f ca="1">DATEDIF(LoanData[[#This Row],[Approval_Date]],TODAY(),"M")</f>
        <v>37</v>
      </c>
      <c r="D1052" s="31">
        <f>EDATE(LoanData[[#This Row],[Approval_Date]],LoanData[[#This Row],[Loan_Term_Months]])</f>
        <v>45467</v>
      </c>
      <c r="E1052" t="str">
        <f t="shared" ca="1" si="16"/>
        <v>YES</v>
      </c>
      <c r="F1052" s="33">
        <f>IFERROR(LoanData[[#This Row],[EMI]]/LoanData[[#This Row],[Monthly_Income]]*100," ")</f>
        <v>83.33807501559113</v>
      </c>
      <c r="G1052" t="str" cm="1">
        <f t="array" ref="G1052">_xlfn.IFS(F1052&gt;40, "High DTI Risk",F1052&gt;=25, "Moderate DTI",F1052&lt;25, "Low DTI")</f>
        <v>High DTI Risk</v>
      </c>
      <c r="H1052" t="str" cm="1">
        <f t="array" ref="H10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52" t="str">
        <f>_xlfn.XLOOKUP(H1052,Reference_Tables!$B$2:$B$7,Reference_Tables!$C$2:$C$7,,0,1)</f>
        <v>MR</v>
      </c>
      <c r="J1052" t="str">
        <f>INDEX(Reference_Tables!$D$11:$D$36,MATCH(LoanData[[#This Row],[Branch]],Reference_Tables!$A$11:$A$36,0))</f>
        <v>Suman Tiwari</v>
      </c>
      <c r="L1052" s="35"/>
    </row>
    <row r="1053" spans="2:12" ht="15.6" x14ac:dyDescent="0.3">
      <c r="B1053" s="15">
        <f>DATEDIF(Loan_Data!K:K,Loan_Data!L:L,"D")</f>
        <v>3</v>
      </c>
      <c r="C1053" s="15">
        <f ca="1">DATEDIF(LoanData[[#This Row],[Approval_Date]],TODAY(),"M")</f>
        <v>56</v>
      </c>
      <c r="D1053" s="31">
        <f>EDATE(LoanData[[#This Row],[Approval_Date]],LoanData[[#This Row],[Loan_Term_Months]])</f>
        <v>50009</v>
      </c>
      <c r="E1053" t="str">
        <f t="shared" ca="1" si="16"/>
        <v>NO</v>
      </c>
      <c r="F1053" s="33">
        <f>IFERROR(LoanData[[#This Row],[EMI]]/LoanData[[#This Row],[Monthly_Income]]*100," ")</f>
        <v>16.569120781740232</v>
      </c>
      <c r="G1053" t="str" cm="1">
        <f t="array" ref="G1053">_xlfn.IFS(F1053&gt;40, "High DTI Risk",F1053&gt;=25, "Moderate DTI",F1053&lt;25, "Low DTI")</f>
        <v>Low DTI</v>
      </c>
      <c r="H1053" t="str" cm="1">
        <f t="array" ref="H10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53" t="str">
        <f>_xlfn.XLOOKUP(H1053,Reference_Tables!$B$2:$B$7,Reference_Tables!$C$2:$C$7,,0,1)</f>
        <v>HR</v>
      </c>
      <c r="J1053" t="str">
        <f>INDEX(Reference_Tables!$D$11:$D$36,MATCH(LoanData[[#This Row],[Branch]],Reference_Tables!$A$11:$A$36,0))</f>
        <v>Suresh Menon</v>
      </c>
      <c r="L1053" s="35"/>
    </row>
    <row r="1054" spans="2:12" ht="15.6" x14ac:dyDescent="0.3">
      <c r="B1054" s="15">
        <f>DATEDIF(Loan_Data!K:K,Loan_Data!L:L,"D")</f>
        <v>14</v>
      </c>
      <c r="C1054" s="15">
        <f ca="1">DATEDIF(LoanData[[#This Row],[Approval_Date]],TODAY(),"M")</f>
        <v>61</v>
      </c>
      <c r="D1054" s="31">
        <f>EDATE(LoanData[[#This Row],[Approval_Date]],LoanData[[#This Row],[Loan_Term_Months]])</f>
        <v>46934</v>
      </c>
      <c r="E1054" t="str">
        <f t="shared" ca="1" si="16"/>
        <v>NO</v>
      </c>
      <c r="F1054" s="33">
        <f>IFERROR(LoanData[[#This Row],[EMI]]/LoanData[[#This Row],[Monthly_Income]]*100," ")</f>
        <v>115.20553747610931</v>
      </c>
      <c r="G1054" t="str" cm="1">
        <f t="array" ref="G1054">_xlfn.IFS(F1054&gt;40, "High DTI Risk",F1054&gt;=25, "Moderate DTI",F1054&lt;25, "Low DTI")</f>
        <v>High DTI Risk</v>
      </c>
      <c r="H1054" t="str" cm="1">
        <f t="array" ref="H10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54" t="str">
        <f>_xlfn.XLOOKUP(H1054,Reference_Tables!$B$2:$B$7,Reference_Tables!$C$2:$C$7,,0,1)</f>
        <v>LR</v>
      </c>
      <c r="J1054" t="str">
        <f>INDEX(Reference_Tables!$D$11:$D$36,MATCH(LoanData[[#This Row],[Branch]],Reference_Tables!$A$11:$A$36,0))</f>
        <v>Suresh Menon</v>
      </c>
      <c r="L1054" s="35"/>
    </row>
    <row r="1055" spans="2:12" ht="15.6" x14ac:dyDescent="0.3">
      <c r="B1055" s="15">
        <f>DATEDIF(Loan_Data!K:K,Loan_Data!L:L,"D")</f>
        <v>28</v>
      </c>
      <c r="C1055" s="15">
        <f ca="1">DATEDIF(LoanData[[#This Row],[Approval_Date]],TODAY(),"M")</f>
        <v>37</v>
      </c>
      <c r="D1055" s="31">
        <f>EDATE(LoanData[[#This Row],[Approval_Date]],LoanData[[#This Row],[Loan_Term_Months]])</f>
        <v>47676</v>
      </c>
      <c r="E1055" t="str">
        <f t="shared" ca="1" si="16"/>
        <v>NO</v>
      </c>
      <c r="F1055" s="33">
        <f>IFERROR(LoanData[[#This Row],[EMI]]/LoanData[[#This Row],[Monthly_Income]]*100," ")</f>
        <v>115.17296166167202</v>
      </c>
      <c r="G1055" t="str" cm="1">
        <f t="array" ref="G1055">_xlfn.IFS(F1055&gt;40, "High DTI Risk",F1055&gt;=25, "Moderate DTI",F1055&lt;25, "Low DTI")</f>
        <v>High DTI Risk</v>
      </c>
      <c r="H1055" t="str" cm="1">
        <f t="array" ref="H10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55" t="str">
        <f>_xlfn.XLOOKUP(H1055,Reference_Tables!$B$2:$B$7,Reference_Tables!$C$2:$C$7,,0,1)</f>
        <v>MR</v>
      </c>
      <c r="J1055" t="str">
        <f>INDEX(Reference_Tables!$D$11:$D$36,MATCH(LoanData[[#This Row],[Branch]],Reference_Tables!$A$11:$A$36,0))</f>
        <v>Hetal Patel</v>
      </c>
      <c r="L1055" s="35"/>
    </row>
    <row r="1056" spans="2:12" ht="15.6" x14ac:dyDescent="0.3">
      <c r="B1056" s="15">
        <f>DATEDIF(Loan_Data!K:K,Loan_Data!L:L,"D")</f>
        <v>6</v>
      </c>
      <c r="C1056" s="15">
        <f ca="1">DATEDIF(LoanData[[#This Row],[Approval_Date]],TODAY(),"M")</f>
        <v>52</v>
      </c>
      <c r="D1056" s="31">
        <f>EDATE(LoanData[[#This Row],[Approval_Date]],LoanData[[#This Row],[Loan_Term_Months]])</f>
        <v>46118</v>
      </c>
      <c r="E1056" t="str">
        <f t="shared" ca="1" si="16"/>
        <v>YES</v>
      </c>
      <c r="F1056" s="33">
        <f>IFERROR(LoanData[[#This Row],[EMI]]/LoanData[[#This Row],[Monthly_Income]]*100," ")</f>
        <v>8.9324846770391311</v>
      </c>
      <c r="G1056" t="str" cm="1">
        <f t="array" ref="G1056">_xlfn.IFS(F1056&gt;40, "High DTI Risk",F1056&gt;=25, "Moderate DTI",F1056&lt;25, "Low DTI")</f>
        <v>Low DTI</v>
      </c>
      <c r="H1056" t="str" cm="1">
        <f t="array" ref="H10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56" t="str">
        <f>_xlfn.XLOOKUP(H1056,Reference_Tables!$B$2:$B$7,Reference_Tables!$C$2:$C$7,,0,1)</f>
        <v>HR</v>
      </c>
      <c r="J1056" t="str">
        <f>INDEX(Reference_Tables!$D$11:$D$36,MATCH(LoanData[[#This Row],[Branch]],Reference_Tables!$A$11:$A$36,0))</f>
        <v>Puja Chatterjee</v>
      </c>
      <c r="L1056" s="35"/>
    </row>
    <row r="1057" spans="2:12" ht="15.6" x14ac:dyDescent="0.3">
      <c r="B1057" s="15">
        <f>DATEDIF(Loan_Data!K:K,Loan_Data!L:L,"D")</f>
        <v>29</v>
      </c>
      <c r="C1057" s="15">
        <f ca="1">DATEDIF(LoanData[[#This Row],[Approval_Date]],TODAY(),"M")</f>
        <v>56</v>
      </c>
      <c r="D1057" s="31">
        <f>EDATE(LoanData[[#This Row],[Approval_Date]],LoanData[[#This Row],[Loan_Term_Months]])</f>
        <v>50017</v>
      </c>
      <c r="E1057" t="str">
        <f t="shared" ca="1" si="16"/>
        <v>NO</v>
      </c>
      <c r="F1057" s="33">
        <f>IFERROR(LoanData[[#This Row],[EMI]]/LoanData[[#This Row],[Monthly_Income]]*100," ")</f>
        <v>26.203534718456904</v>
      </c>
      <c r="G1057" t="str" cm="1">
        <f t="array" ref="G1057">_xlfn.IFS(F1057&gt;40, "High DTI Risk",F1057&gt;=25, "Moderate DTI",F1057&lt;25, "Low DTI")</f>
        <v>Moderate DTI</v>
      </c>
      <c r="H1057" t="str" cm="1">
        <f t="array" ref="H10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57" t="str">
        <f>_xlfn.XLOOKUP(H1057,Reference_Tables!$B$2:$B$7,Reference_Tables!$C$2:$C$7,,0,1)</f>
        <v>LR</v>
      </c>
      <c r="J1057" t="str">
        <f>INDEX(Reference_Tables!$D$11:$D$36,MATCH(LoanData[[#This Row],[Branch]],Reference_Tables!$A$11:$A$36,0))</f>
        <v>Amit Kumar</v>
      </c>
      <c r="L1057" s="35"/>
    </row>
    <row r="1058" spans="2:12" ht="15.6" x14ac:dyDescent="0.3">
      <c r="B1058" s="15">
        <f>DATEDIF(Loan_Data!K:K,Loan_Data!L:L,"D")</f>
        <v>10</v>
      </c>
      <c r="C1058" s="15">
        <f ca="1">DATEDIF(LoanData[[#This Row],[Approval_Date]],TODAY(),"M")</f>
        <v>32</v>
      </c>
      <c r="D1058" s="31">
        <f>EDATE(LoanData[[#This Row],[Approval_Date]],LoanData[[#This Row],[Loan_Term_Months]])</f>
        <v>50729</v>
      </c>
      <c r="E1058" t="str">
        <f t="shared" ca="1" si="16"/>
        <v>NO</v>
      </c>
      <c r="F1058" s="33">
        <f>IFERROR(LoanData[[#This Row],[EMI]]/LoanData[[#This Row],[Monthly_Income]]*100," ")</f>
        <v>14.390528538315012</v>
      </c>
      <c r="G1058" t="str" cm="1">
        <f t="array" ref="G1058">_xlfn.IFS(F1058&gt;40, "High DTI Risk",F1058&gt;=25, "Moderate DTI",F1058&lt;25, "Low DTI")</f>
        <v>Low DTI</v>
      </c>
      <c r="H1058" t="str" cm="1">
        <f t="array" ref="H10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58" t="str">
        <f>_xlfn.XLOOKUP(H1058,Reference_Tables!$B$2:$B$7,Reference_Tables!$C$2:$C$7,,0,1)</f>
        <v>VHR</v>
      </c>
      <c r="J1058" t="str">
        <f>INDEX(Reference_Tables!$D$11:$D$36,MATCH(LoanData[[#This Row],[Branch]],Reference_Tables!$A$11:$A$36,0))</f>
        <v>Ananya Sharma</v>
      </c>
      <c r="L1058" s="35"/>
    </row>
    <row r="1059" spans="2:12" ht="15.6" x14ac:dyDescent="0.3">
      <c r="B1059" s="15">
        <f>DATEDIF(Loan_Data!K:K,Loan_Data!L:L,"D")</f>
        <v>27</v>
      </c>
      <c r="C1059" s="15">
        <f ca="1">DATEDIF(LoanData[[#This Row],[Approval_Date]],TODAY(),"M")</f>
        <v>58</v>
      </c>
      <c r="D1059" s="31">
        <f>EDATE(LoanData[[#This Row],[Approval_Date]],LoanData[[#This Row],[Loan_Term_Months]])</f>
        <v>51783</v>
      </c>
      <c r="E1059" t="str">
        <f t="shared" ca="1" si="16"/>
        <v>NO</v>
      </c>
      <c r="F1059" s="33">
        <f>IFERROR(LoanData[[#This Row],[EMI]]/LoanData[[#This Row],[Monthly_Income]]*100," ")</f>
        <v>6.8078761069431879</v>
      </c>
      <c r="G1059" t="str" cm="1">
        <f t="array" ref="G1059">_xlfn.IFS(F1059&gt;40, "High DTI Risk",F1059&gt;=25, "Moderate DTI",F1059&lt;25, "Low DTI")</f>
        <v>Low DTI</v>
      </c>
      <c r="H1059" t="str" cm="1">
        <f t="array" ref="H10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1059" t="str">
        <f>_xlfn.XLOOKUP(H1059,Reference_Tables!$B$2:$B$7,Reference_Tables!$C$2:$C$7,,0,1)</f>
        <v>UC</v>
      </c>
      <c r="J1059" t="str">
        <f>INDEX(Reference_Tables!$D$11:$D$36,MATCH(LoanData[[#This Row],[Branch]],Reference_Tables!$A$11:$A$36,0))</f>
        <v>Sandeep Saxena</v>
      </c>
      <c r="L1059" s="35"/>
    </row>
    <row r="1060" spans="2:12" ht="15.6" x14ac:dyDescent="0.3">
      <c r="B1060" s="15">
        <f>DATEDIF(Loan_Data!K:K,Loan_Data!L:L,"D")</f>
        <v>11</v>
      </c>
      <c r="C1060" s="15">
        <f ca="1">DATEDIF(LoanData[[#This Row],[Approval_Date]],TODAY(),"M")</f>
        <v>51</v>
      </c>
      <c r="D1060" s="31">
        <f>EDATE(LoanData[[#This Row],[Approval_Date]],LoanData[[#This Row],[Loan_Term_Months]])</f>
        <v>48323</v>
      </c>
      <c r="E1060" t="str">
        <f t="shared" ca="1" si="16"/>
        <v>NO</v>
      </c>
      <c r="F1060" s="33">
        <f>IFERROR(LoanData[[#This Row],[EMI]]/LoanData[[#This Row],[Monthly_Income]]*100," ")</f>
        <v>3.1850530877350089</v>
      </c>
      <c r="G1060" t="str" cm="1">
        <f t="array" ref="G1060">_xlfn.IFS(F1060&gt;40, "High DTI Risk",F1060&gt;=25, "Moderate DTI",F1060&lt;25, "Low DTI")</f>
        <v>Low DTI</v>
      </c>
      <c r="H1060" t="str" cm="1">
        <f t="array" ref="H10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60" t="str">
        <f>_xlfn.XLOOKUP(H1060,Reference_Tables!$B$2:$B$7,Reference_Tables!$C$2:$C$7,,0,1)</f>
        <v>MR</v>
      </c>
      <c r="J1060" t="str">
        <f>INDEX(Reference_Tables!$D$11:$D$36,MATCH(LoanData[[#This Row],[Branch]],Reference_Tables!$A$11:$A$36,0))</f>
        <v>Tapan Panda</v>
      </c>
      <c r="L1060" s="35"/>
    </row>
    <row r="1061" spans="2:12" ht="15.6" x14ac:dyDescent="0.3">
      <c r="B1061" s="15">
        <f>DATEDIF(Loan_Data!K:K,Loan_Data!L:L,"D")</f>
        <v>30</v>
      </c>
      <c r="C1061" s="15">
        <f ca="1">DATEDIF(LoanData[[#This Row],[Approval_Date]],TODAY(),"M")</f>
        <v>45</v>
      </c>
      <c r="D1061" s="31">
        <f>EDATE(LoanData[[#This Row],[Approval_Date]],LoanData[[#This Row],[Loan_Term_Months]])</f>
        <v>52172</v>
      </c>
      <c r="E1061" t="str">
        <f t="shared" ca="1" si="16"/>
        <v>NO</v>
      </c>
      <c r="F1061" s="33">
        <f>IFERROR(LoanData[[#This Row],[EMI]]/LoanData[[#This Row],[Monthly_Income]]*100," ")</f>
        <v>6.1492010766851841</v>
      </c>
      <c r="G1061" t="str" cm="1">
        <f t="array" ref="G1061">_xlfn.IFS(F1061&gt;40, "High DTI Risk",F1061&gt;=25, "Moderate DTI",F1061&lt;25, "Low DTI")</f>
        <v>Low DTI</v>
      </c>
      <c r="H1061" t="str" cm="1">
        <f t="array" ref="H10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61" t="str">
        <f>_xlfn.XLOOKUP(H1061,Reference_Tables!$B$2:$B$7,Reference_Tables!$C$2:$C$7,,0,1)</f>
        <v>HR</v>
      </c>
      <c r="J1061" t="str">
        <f>INDEX(Reference_Tables!$D$11:$D$36,MATCH(LoanData[[#This Row],[Branch]],Reference_Tables!$A$11:$A$36,0))</f>
        <v>Priyanka Gupta</v>
      </c>
      <c r="L1061" s="35"/>
    </row>
    <row r="1062" spans="2:12" ht="15.6" x14ac:dyDescent="0.3">
      <c r="B1062" s="15">
        <f>DATEDIF(Loan_Data!K:K,Loan_Data!L:L,"D")</f>
        <v>9</v>
      </c>
      <c r="C1062" s="15">
        <f ca="1">DATEDIF(LoanData[[#This Row],[Approval_Date]],TODAY(),"M")</f>
        <v>34</v>
      </c>
      <c r="D1062" s="31">
        <f>EDATE(LoanData[[#This Row],[Approval_Date]],LoanData[[#This Row],[Loan_Term_Months]])</f>
        <v>47770</v>
      </c>
      <c r="E1062" t="str">
        <f t="shared" ca="1" si="16"/>
        <v>NO</v>
      </c>
      <c r="F1062" s="33">
        <f>IFERROR(LoanData[[#This Row],[EMI]]/LoanData[[#This Row],[Monthly_Income]]*100," ")</f>
        <v>2.6053327763854082</v>
      </c>
      <c r="G1062" t="str" cm="1">
        <f t="array" ref="G1062">_xlfn.IFS(F1062&gt;40, "High DTI Risk",F1062&gt;=25, "Moderate DTI",F1062&lt;25, "Low DTI")</f>
        <v>Low DTI</v>
      </c>
      <c r="H1062" t="str" cm="1">
        <f t="array" ref="H10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62" t="str">
        <f>_xlfn.XLOOKUP(H1062,Reference_Tables!$B$2:$B$7,Reference_Tables!$C$2:$C$7,,0,1)</f>
        <v>MR</v>
      </c>
      <c r="J1062" t="str">
        <f>INDEX(Reference_Tables!$D$11:$D$36,MATCH(LoanData[[#This Row],[Branch]],Reference_Tables!$A$11:$A$36,0))</f>
        <v>Debashis Das</v>
      </c>
      <c r="L1062" s="35"/>
    </row>
    <row r="1063" spans="2:12" ht="15.6" x14ac:dyDescent="0.3">
      <c r="B1063" s="15">
        <f>DATEDIF(Loan_Data!K:K,Loan_Data!L:L,"D")</f>
        <v>10</v>
      </c>
      <c r="C1063" s="15">
        <f ca="1">DATEDIF(LoanData[[#This Row],[Approval_Date]],TODAY(),"M")</f>
        <v>54</v>
      </c>
      <c r="D1063" s="31">
        <f>EDATE(LoanData[[#This Row],[Approval_Date]],LoanData[[#This Row],[Loan_Term_Months]])</f>
        <v>50068</v>
      </c>
      <c r="E1063" t="str">
        <f t="shared" ca="1" si="16"/>
        <v>NO</v>
      </c>
      <c r="F1063" s="33">
        <f>IFERROR(LoanData[[#This Row],[EMI]]/LoanData[[#This Row],[Monthly_Income]]*100," ")</f>
        <v>2.1929776300876971</v>
      </c>
      <c r="G1063" t="str" cm="1">
        <f t="array" ref="G1063">_xlfn.IFS(F1063&gt;40, "High DTI Risk",F1063&gt;=25, "Moderate DTI",F1063&lt;25, "Low DTI")</f>
        <v>Low DTI</v>
      </c>
      <c r="H1063" t="str" cm="1">
        <f t="array" ref="H10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63" t="str">
        <f>_xlfn.XLOOKUP(H1063,Reference_Tables!$B$2:$B$7,Reference_Tables!$C$2:$C$7,,0,1)</f>
        <v>HR</v>
      </c>
      <c r="J1063" t="str">
        <f>INDEX(Reference_Tables!$D$11:$D$36,MATCH(LoanData[[#This Row],[Branch]],Reference_Tables!$A$11:$A$36,0))</f>
        <v>Suman Tiwari</v>
      </c>
      <c r="L1063" s="35"/>
    </row>
    <row r="1064" spans="2:12" ht="15.6" x14ac:dyDescent="0.3">
      <c r="B1064" s="15">
        <f>DATEDIF(Loan_Data!K:K,Loan_Data!L:L,"D")</f>
        <v>25</v>
      </c>
      <c r="C1064" s="15">
        <f ca="1">DATEDIF(LoanData[[#This Row],[Approval_Date]],TODAY(),"M")</f>
        <v>46</v>
      </c>
      <c r="D1064" s="31">
        <f>EDATE(LoanData[[#This Row],[Approval_Date]],LoanData[[#This Row],[Loan_Term_Months]])</f>
        <v>45945</v>
      </c>
      <c r="E1064" t="str">
        <f t="shared" ca="1" si="16"/>
        <v>YES</v>
      </c>
      <c r="F1064" s="33">
        <f>IFERROR(LoanData[[#This Row],[EMI]]/LoanData[[#This Row],[Monthly_Income]]*100," ")</f>
        <v>5.8800566879054283</v>
      </c>
      <c r="G1064" t="str" cm="1">
        <f t="array" ref="G1064">_xlfn.IFS(F1064&gt;40, "High DTI Risk",F1064&gt;=25, "Moderate DTI",F1064&lt;25, "Low DTI")</f>
        <v>Low DTI</v>
      </c>
      <c r="H1064" t="str" cm="1">
        <f t="array" ref="H10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64" t="str">
        <f>_xlfn.XLOOKUP(H1064,Reference_Tables!$B$2:$B$7,Reference_Tables!$C$2:$C$7,,0,1)</f>
        <v>VHR</v>
      </c>
      <c r="J1064" t="str">
        <f>INDEX(Reference_Tables!$D$11:$D$36,MATCH(LoanData[[#This Row],[Branch]],Reference_Tables!$A$11:$A$36,0))</f>
        <v>Rahul Kapoor</v>
      </c>
      <c r="L1064" s="35"/>
    </row>
    <row r="1065" spans="2:12" ht="15.6" x14ac:dyDescent="0.3">
      <c r="B1065" s="15">
        <f>DATEDIF(Loan_Data!K:K,Loan_Data!L:L,"D")</f>
        <v>28</v>
      </c>
      <c r="C1065" s="15">
        <f ca="1">DATEDIF(LoanData[[#This Row],[Approval_Date]],TODAY(),"M")</f>
        <v>32</v>
      </c>
      <c r="D1065" s="31">
        <f>EDATE(LoanData[[#This Row],[Approval_Date]],LoanData[[#This Row],[Loan_Term_Months]])</f>
        <v>50735</v>
      </c>
      <c r="E1065" t="str">
        <f t="shared" ca="1" si="16"/>
        <v>NO</v>
      </c>
      <c r="F1065" s="33">
        <f>IFERROR(LoanData[[#This Row],[EMI]]/LoanData[[#This Row],[Monthly_Income]]*100," ")</f>
        <v>1.5153087389220981</v>
      </c>
      <c r="G1065" t="str" cm="1">
        <f t="array" ref="G1065">_xlfn.IFS(F1065&gt;40, "High DTI Risk",F1065&gt;=25, "Moderate DTI",F1065&lt;25, "Low DTI")</f>
        <v>Low DTI</v>
      </c>
      <c r="H1065" t="str" cm="1">
        <f t="array" ref="H10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65" t="str">
        <f>_xlfn.XLOOKUP(H1065,Reference_Tables!$B$2:$B$7,Reference_Tables!$C$2:$C$7,,0,1)</f>
        <v>MR</v>
      </c>
      <c r="J1065" t="str">
        <f>INDEX(Reference_Tables!$D$11:$D$36,MATCH(LoanData[[#This Row],[Branch]],Reference_Tables!$A$11:$A$36,0))</f>
        <v>Rahul Kapoor</v>
      </c>
      <c r="L1065" s="35"/>
    </row>
    <row r="1066" spans="2:12" ht="15.6" x14ac:dyDescent="0.3">
      <c r="B1066" s="15">
        <f>DATEDIF(Loan_Data!K:K,Loan_Data!L:L,"D")</f>
        <v>29</v>
      </c>
      <c r="C1066" s="15">
        <f ca="1">DATEDIF(LoanData[[#This Row],[Approval_Date]],TODAY(),"M")</f>
        <v>65</v>
      </c>
      <c r="D1066" s="31">
        <f>EDATE(LoanData[[#This Row],[Approval_Date]],LoanData[[#This Row],[Loan_Term_Months]])</f>
        <v>46073</v>
      </c>
      <c r="E1066" t="str">
        <f t="shared" ca="1" si="16"/>
        <v>YES</v>
      </c>
      <c r="F1066" s="33">
        <f>IFERROR(LoanData[[#This Row],[EMI]]/LoanData[[#This Row],[Monthly_Income]]*100," ")</f>
        <v>6.346437788848208</v>
      </c>
      <c r="G1066" t="str" cm="1">
        <f t="array" ref="G1066">_xlfn.IFS(F1066&gt;40, "High DTI Risk",F1066&gt;=25, "Moderate DTI",F1066&lt;25, "Low DTI")</f>
        <v>Low DTI</v>
      </c>
      <c r="H1066" t="str" cm="1">
        <f t="array" ref="H10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66" t="str">
        <f>_xlfn.XLOOKUP(H1066,Reference_Tables!$B$2:$B$7,Reference_Tables!$C$2:$C$7,,0,1)</f>
        <v>HR</v>
      </c>
      <c r="J1066" t="str">
        <f>INDEX(Reference_Tables!$D$11:$D$36,MATCH(LoanData[[#This Row],[Branch]],Reference_Tables!$A$11:$A$36,0))</f>
        <v>Debashis Das</v>
      </c>
      <c r="L1066" s="35"/>
    </row>
    <row r="1067" spans="2:12" ht="15.6" x14ac:dyDescent="0.3">
      <c r="B1067" s="15">
        <f>DATEDIF(Loan_Data!K:K,Loan_Data!L:L,"D")</f>
        <v>3</v>
      </c>
      <c r="C1067" s="15">
        <f ca="1">DATEDIF(LoanData[[#This Row],[Approval_Date]],TODAY(),"M")</f>
        <v>56</v>
      </c>
      <c r="D1067" s="31">
        <f>EDATE(LoanData[[#This Row],[Approval_Date]],LoanData[[#This Row],[Loan_Term_Months]])</f>
        <v>48175</v>
      </c>
      <c r="E1067" t="str">
        <f t="shared" ca="1" si="16"/>
        <v>NO</v>
      </c>
      <c r="F1067" s="33">
        <f>IFERROR(LoanData[[#This Row],[EMI]]/LoanData[[#This Row],[Monthly_Income]]*100," ")</f>
        <v>0.35878883246770793</v>
      </c>
      <c r="G1067" t="str" cm="1">
        <f t="array" ref="G1067">_xlfn.IFS(F1067&gt;40, "High DTI Risk",F1067&gt;=25, "Moderate DTI",F1067&lt;25, "Low DTI")</f>
        <v>Low DTI</v>
      </c>
      <c r="H1067" t="str" cm="1">
        <f t="array" ref="H10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67" t="str">
        <f>_xlfn.XLOOKUP(H1067,Reference_Tables!$B$2:$B$7,Reference_Tables!$C$2:$C$7,,0,1)</f>
        <v>LR</v>
      </c>
      <c r="J1067" t="str">
        <f>INDEX(Reference_Tables!$D$11:$D$36,MATCH(LoanData[[#This Row],[Branch]],Reference_Tables!$A$11:$A$36,0))</f>
        <v>Rahul Kapoor</v>
      </c>
      <c r="L1067" s="35"/>
    </row>
    <row r="1068" spans="2:12" ht="15.6" x14ac:dyDescent="0.3">
      <c r="B1068" s="15">
        <f>DATEDIF(Loan_Data!K:K,Loan_Data!L:L,"D")</f>
        <v>26</v>
      </c>
      <c r="C1068" s="15">
        <f ca="1">DATEDIF(LoanData[[#This Row],[Approval_Date]],TODAY(),"M")</f>
        <v>40</v>
      </c>
      <c r="D1068" s="31">
        <f>EDATE(LoanData[[#This Row],[Approval_Date]],LoanData[[#This Row],[Loan_Term_Months]])</f>
        <v>45389</v>
      </c>
      <c r="E1068" t="str">
        <f t="shared" ca="1" si="16"/>
        <v>YES</v>
      </c>
      <c r="F1068" s="33">
        <f>IFERROR(LoanData[[#This Row],[EMI]]/LoanData[[#This Row],[Monthly_Income]]*100," ")</f>
        <v>47.400568037733933</v>
      </c>
      <c r="G1068" t="str" cm="1">
        <f t="array" ref="G1068">_xlfn.IFS(F1068&gt;40, "High DTI Risk",F1068&gt;=25, "Moderate DTI",F1068&lt;25, "Low DTI")</f>
        <v>High DTI Risk</v>
      </c>
      <c r="H1068" t="str" cm="1">
        <f t="array" ref="H10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68" t="str">
        <f>_xlfn.XLOOKUP(H1068,Reference_Tables!$B$2:$B$7,Reference_Tables!$C$2:$C$7,,0,1)</f>
        <v>MR</v>
      </c>
      <c r="J1068" t="str">
        <f>INDEX(Reference_Tables!$D$11:$D$36,MATCH(LoanData[[#This Row],[Branch]],Reference_Tables!$A$11:$A$36,0))</f>
        <v>Suman Tiwari</v>
      </c>
      <c r="L1068" s="35"/>
    </row>
    <row r="1069" spans="2:12" ht="15.6" x14ac:dyDescent="0.3">
      <c r="B1069" s="15">
        <f>DATEDIF(Loan_Data!K:K,Loan_Data!L:L,"D")</f>
        <v>12</v>
      </c>
      <c r="C1069" s="15">
        <f ca="1">DATEDIF(LoanData[[#This Row],[Approval_Date]],TODAY(),"M")</f>
        <v>64</v>
      </c>
      <c r="D1069" s="31">
        <f>EDATE(LoanData[[#This Row],[Approval_Date]],LoanData[[#This Row],[Loan_Term_Months]])</f>
        <v>51590</v>
      </c>
      <c r="E1069" t="str">
        <f t="shared" ca="1" si="16"/>
        <v>NO</v>
      </c>
      <c r="F1069" s="33">
        <f>IFERROR(LoanData[[#This Row],[EMI]]/LoanData[[#This Row],[Monthly_Income]]*100," ")</f>
        <v>2.6425043935868358</v>
      </c>
      <c r="G1069" t="str" cm="1">
        <f t="array" ref="G1069">_xlfn.IFS(F1069&gt;40, "High DTI Risk",F1069&gt;=25, "Moderate DTI",F1069&lt;25, "Low DTI")</f>
        <v>Low DTI</v>
      </c>
      <c r="H1069" t="str" cm="1">
        <f t="array" ref="H10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69" t="str">
        <f>_xlfn.XLOOKUP(H1069,Reference_Tables!$B$2:$B$7,Reference_Tables!$C$2:$C$7,,0,1)</f>
        <v>VHR</v>
      </c>
      <c r="J1069" t="str">
        <f>INDEX(Reference_Tables!$D$11:$D$36,MATCH(LoanData[[#This Row],[Branch]],Reference_Tables!$A$11:$A$36,0))</f>
        <v>Priya Yadav</v>
      </c>
      <c r="L1069" s="35"/>
    </row>
    <row r="1070" spans="2:12" ht="15.6" x14ac:dyDescent="0.3">
      <c r="B1070" s="15">
        <f>DATEDIF(Loan_Data!K:K,Loan_Data!L:L,"D")</f>
        <v>20</v>
      </c>
      <c r="C1070" s="15">
        <f ca="1">DATEDIF(LoanData[[#This Row],[Approval_Date]],TODAY(),"M")</f>
        <v>64</v>
      </c>
      <c r="D1070" s="31">
        <f>EDATE(LoanData[[#This Row],[Approval_Date]],LoanData[[#This Row],[Loan_Term_Months]])</f>
        <v>46852</v>
      </c>
      <c r="E1070" t="str">
        <f t="shared" ca="1" si="16"/>
        <v>NO</v>
      </c>
      <c r="F1070" s="33">
        <f>IFERROR(LoanData[[#This Row],[EMI]]/LoanData[[#This Row],[Monthly_Income]]*100," ")</f>
        <v>18.334702194357369</v>
      </c>
      <c r="G1070" t="str" cm="1">
        <f t="array" ref="G1070">_xlfn.IFS(F1070&gt;40, "High DTI Risk",F1070&gt;=25, "Moderate DTI",F1070&lt;25, "Low DTI")</f>
        <v>Low DTI</v>
      </c>
      <c r="H1070" t="str" cm="1">
        <f t="array" ref="H10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70" t="str">
        <f>_xlfn.XLOOKUP(H1070,Reference_Tables!$B$2:$B$7,Reference_Tables!$C$2:$C$7,,0,1)</f>
        <v>VHR</v>
      </c>
      <c r="J1070" t="str">
        <f>INDEX(Reference_Tables!$D$11:$D$36,MATCH(LoanData[[#This Row],[Branch]],Reference_Tables!$A$11:$A$36,0))</f>
        <v>Nilesh Shah</v>
      </c>
      <c r="L1070" s="35"/>
    </row>
    <row r="1071" spans="2:12" ht="15.6" x14ac:dyDescent="0.3">
      <c r="B1071" s="15">
        <f>DATEDIF(Loan_Data!K:K,Loan_Data!L:L,"D")</f>
        <v>20</v>
      </c>
      <c r="C1071" s="15">
        <f ca="1">DATEDIF(LoanData[[#This Row],[Approval_Date]],TODAY(),"M")</f>
        <v>34</v>
      </c>
      <c r="D1071" s="31">
        <f>EDATE(LoanData[[#This Row],[Approval_Date]],LoanData[[#This Row],[Loan_Term_Months]])</f>
        <v>47747</v>
      </c>
      <c r="E1071" t="str">
        <f t="shared" ca="1" si="16"/>
        <v>NO</v>
      </c>
      <c r="F1071" s="33">
        <f>IFERROR(LoanData[[#This Row],[EMI]]/LoanData[[#This Row],[Monthly_Income]]*100," ")</f>
        <v>17.663947797716151</v>
      </c>
      <c r="G1071" t="str" cm="1">
        <f t="array" ref="G1071">_xlfn.IFS(F1071&gt;40, "High DTI Risk",F1071&gt;=25, "Moderate DTI",F1071&lt;25, "Low DTI")</f>
        <v>Low DTI</v>
      </c>
      <c r="H1071" t="str" cm="1">
        <f t="array" ref="H10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71" t="str">
        <f>_xlfn.XLOOKUP(H1071,Reference_Tables!$B$2:$B$7,Reference_Tables!$C$2:$C$7,,0,1)</f>
        <v>VHR</v>
      </c>
      <c r="J1071" t="str">
        <f>INDEX(Reference_Tables!$D$11:$D$36,MATCH(LoanData[[#This Row],[Branch]],Reference_Tables!$A$11:$A$36,0))</f>
        <v>Arvind Pillai</v>
      </c>
      <c r="L1071" s="35"/>
    </row>
    <row r="1072" spans="2:12" ht="15.6" x14ac:dyDescent="0.3">
      <c r="B1072" s="15">
        <f>DATEDIF(Loan_Data!K:K,Loan_Data!L:L,"D")</f>
        <v>19</v>
      </c>
      <c r="C1072" s="15">
        <f ca="1">DATEDIF(LoanData[[#This Row],[Approval_Date]],TODAY(),"M")</f>
        <v>38</v>
      </c>
      <c r="D1072" s="31">
        <f>EDATE(LoanData[[#This Row],[Approval_Date]],LoanData[[#This Row],[Loan_Term_Months]])</f>
        <v>50567</v>
      </c>
      <c r="E1072" t="str">
        <f t="shared" ca="1" si="16"/>
        <v>NO</v>
      </c>
      <c r="F1072" s="33">
        <f>IFERROR(LoanData[[#This Row],[EMI]]/LoanData[[#This Row],[Monthly_Income]]*100," ")</f>
        <v>0.78398968748721165</v>
      </c>
      <c r="G1072" t="str" cm="1">
        <f t="array" ref="G1072">_xlfn.IFS(F1072&gt;40, "High DTI Risk",F1072&gt;=25, "Moderate DTI",F1072&lt;25, "Low DTI")</f>
        <v>Low DTI</v>
      </c>
      <c r="H1072" t="str" cm="1">
        <f t="array" ref="H10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72" t="str">
        <f>_xlfn.XLOOKUP(H1072,Reference_Tables!$B$2:$B$7,Reference_Tables!$C$2:$C$7,,0,1)</f>
        <v>MR</v>
      </c>
      <c r="J1072" t="str">
        <f>INDEX(Reference_Tables!$D$11:$D$36,MATCH(LoanData[[#This Row],[Branch]],Reference_Tables!$A$11:$A$36,0))</f>
        <v>Sachin Deshpande</v>
      </c>
      <c r="L1072" s="35"/>
    </row>
    <row r="1073" spans="2:12" ht="15.6" x14ac:dyDescent="0.3">
      <c r="B1073" s="15">
        <f>DATEDIF(Loan_Data!K:K,Loan_Data!L:L,"D")</f>
        <v>6</v>
      </c>
      <c r="C1073" s="15">
        <f ca="1">DATEDIF(LoanData[[#This Row],[Approval_Date]],TODAY(),"M")</f>
        <v>51</v>
      </c>
      <c r="D1073" s="31">
        <f>EDATE(LoanData[[#This Row],[Approval_Date]],LoanData[[#This Row],[Loan_Term_Months]])</f>
        <v>48329</v>
      </c>
      <c r="E1073" t="str">
        <f t="shared" ca="1" si="16"/>
        <v>NO</v>
      </c>
      <c r="F1073" s="33">
        <f>IFERROR(LoanData[[#This Row],[EMI]]/LoanData[[#This Row],[Monthly_Income]]*100," ")</f>
        <v>1.6037447249109704</v>
      </c>
      <c r="G1073" t="str" cm="1">
        <f t="array" ref="G1073">_xlfn.IFS(F1073&gt;40, "High DTI Risk",F1073&gt;=25, "Moderate DTI",F1073&lt;25, "Low DTI")</f>
        <v>Low DTI</v>
      </c>
      <c r="H1073" t="str" cm="1">
        <f t="array" ref="H10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73" t="str">
        <f>_xlfn.XLOOKUP(H1073,Reference_Tables!$B$2:$B$7,Reference_Tables!$C$2:$C$7,,0,1)</f>
        <v>MR</v>
      </c>
      <c r="J1073" t="str">
        <f>INDEX(Reference_Tables!$D$11:$D$36,MATCH(LoanData[[#This Row],[Branch]],Reference_Tables!$A$11:$A$36,0))</f>
        <v>Rituparna Bora</v>
      </c>
      <c r="L1073" s="35"/>
    </row>
    <row r="1074" spans="2:12" ht="15.6" x14ac:dyDescent="0.3">
      <c r="B1074" s="15">
        <f>DATEDIF(Loan_Data!K:K,Loan_Data!L:L,"D")</f>
        <v>17</v>
      </c>
      <c r="C1074" s="15">
        <f ca="1">DATEDIF(LoanData[[#This Row],[Approval_Date]],TODAY(),"M")</f>
        <v>58</v>
      </c>
      <c r="D1074" s="31">
        <f>EDATE(LoanData[[#This Row],[Approval_Date]],LoanData[[#This Row],[Loan_Term_Months]])</f>
        <v>51786</v>
      </c>
      <c r="E1074" t="str">
        <f t="shared" ca="1" si="16"/>
        <v>NO</v>
      </c>
      <c r="F1074" s="33">
        <f>IFERROR(LoanData[[#This Row],[EMI]]/LoanData[[#This Row],[Monthly_Income]]*100," ")</f>
        <v>1.6017597968069668</v>
      </c>
      <c r="G1074" t="str" cm="1">
        <f t="array" ref="G1074">_xlfn.IFS(F1074&gt;40, "High DTI Risk",F1074&gt;=25, "Moderate DTI",F1074&lt;25, "Low DTI")</f>
        <v>Low DTI</v>
      </c>
      <c r="H1074" t="str" cm="1">
        <f t="array" ref="H10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74" t="str">
        <f>_xlfn.XLOOKUP(H1074,Reference_Tables!$B$2:$B$7,Reference_Tables!$C$2:$C$7,,0,1)</f>
        <v>LR</v>
      </c>
      <c r="J1074" t="str">
        <f>INDEX(Reference_Tables!$D$11:$D$36,MATCH(LoanData[[#This Row],[Branch]],Reference_Tables!$A$11:$A$36,0))</f>
        <v>Nilesh Shah</v>
      </c>
      <c r="L1074" s="35"/>
    </row>
    <row r="1075" spans="2:12" ht="15.6" x14ac:dyDescent="0.3">
      <c r="B1075" s="15">
        <f>DATEDIF(Loan_Data!K:K,Loan_Data!L:L,"D")</f>
        <v>16</v>
      </c>
      <c r="C1075" s="15">
        <f ca="1">DATEDIF(LoanData[[#This Row],[Approval_Date]],TODAY(),"M")</f>
        <v>45</v>
      </c>
      <c r="D1075" s="31">
        <f>EDATE(LoanData[[#This Row],[Approval_Date]],LoanData[[#This Row],[Loan_Term_Months]])</f>
        <v>48526</v>
      </c>
      <c r="E1075" t="str">
        <f t="shared" ca="1" si="16"/>
        <v>NO</v>
      </c>
      <c r="F1075" s="33">
        <f>IFERROR(LoanData[[#This Row],[EMI]]/LoanData[[#This Row],[Monthly_Income]]*100," ")</f>
        <v>1.9065810572362107</v>
      </c>
      <c r="G1075" t="str" cm="1">
        <f t="array" ref="G1075">_xlfn.IFS(F1075&gt;40, "High DTI Risk",F1075&gt;=25, "Moderate DTI",F1075&lt;25, "Low DTI")</f>
        <v>Low DTI</v>
      </c>
      <c r="H1075" t="str" cm="1">
        <f t="array" ref="H10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75" t="str">
        <f>_xlfn.XLOOKUP(H1075,Reference_Tables!$B$2:$B$7,Reference_Tables!$C$2:$C$7,,0,1)</f>
        <v>MR</v>
      </c>
      <c r="J1075" t="str">
        <f>INDEX(Reference_Tables!$D$11:$D$36,MATCH(LoanData[[#This Row],[Branch]],Reference_Tables!$A$11:$A$36,0))</f>
        <v>Ananya Sharma</v>
      </c>
      <c r="L1075" s="35"/>
    </row>
    <row r="1076" spans="2:12" ht="15.6" x14ac:dyDescent="0.3">
      <c r="B1076" s="15">
        <f>DATEDIF(Loan_Data!K:K,Loan_Data!L:L,"D")</f>
        <v>11</v>
      </c>
      <c r="C1076" s="15">
        <f ca="1">DATEDIF(LoanData[[#This Row],[Approval_Date]],TODAY(),"M")</f>
        <v>63</v>
      </c>
      <c r="D1076" s="31">
        <f>EDATE(LoanData[[#This Row],[Approval_Date]],LoanData[[#This Row],[Loan_Term_Months]])</f>
        <v>47967</v>
      </c>
      <c r="E1076" t="str">
        <f t="shared" ca="1" si="16"/>
        <v>NO</v>
      </c>
      <c r="F1076" s="33">
        <f>IFERROR(LoanData[[#This Row],[EMI]]/LoanData[[#This Row],[Monthly_Income]]*100," ")</f>
        <v>8.5031373672692236</v>
      </c>
      <c r="G1076" t="str" cm="1">
        <f t="array" ref="G1076">_xlfn.IFS(F1076&gt;40, "High DTI Risk",F1076&gt;=25, "Moderate DTI",F1076&lt;25, "Low DTI")</f>
        <v>Low DTI</v>
      </c>
      <c r="H1076" t="str" cm="1">
        <f t="array" ref="H10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1076" t="str">
        <f>_xlfn.XLOOKUP(H1076,Reference_Tables!$B$2:$B$7,Reference_Tables!$C$2:$C$7,,0,1)</f>
        <v>UC</v>
      </c>
      <c r="J1076" t="str">
        <f>INDEX(Reference_Tables!$D$11:$D$36,MATCH(LoanData[[#This Row],[Branch]],Reference_Tables!$A$11:$A$36,0))</f>
        <v>Rituparna Bora</v>
      </c>
      <c r="L1076" s="35"/>
    </row>
    <row r="1077" spans="2:12" ht="15.6" x14ac:dyDescent="0.3">
      <c r="B1077" s="15">
        <f>DATEDIF(Loan_Data!K:K,Loan_Data!L:L,"D")</f>
        <v>7</v>
      </c>
      <c r="C1077" s="15">
        <f ca="1">DATEDIF(LoanData[[#This Row],[Approval_Date]],TODAY(),"M")</f>
        <v>59</v>
      </c>
      <c r="D1077" s="31">
        <f>EDATE(LoanData[[#This Row],[Approval_Date]],LoanData[[#This Row],[Loan_Term_Months]])</f>
        <v>47006</v>
      </c>
      <c r="E1077" t="str">
        <f t="shared" ca="1" si="16"/>
        <v>NO</v>
      </c>
      <c r="F1077" s="33">
        <f>IFERROR(LoanData[[#This Row],[EMI]]/LoanData[[#This Row],[Monthly_Income]]*100," ")</f>
        <v>11.945631796025497</v>
      </c>
      <c r="G1077" t="str" cm="1">
        <f t="array" ref="G1077">_xlfn.IFS(F1077&gt;40, "High DTI Risk",F1077&gt;=25, "Moderate DTI",F1077&lt;25, "Low DTI")</f>
        <v>Low DTI</v>
      </c>
      <c r="H1077" t="str" cm="1">
        <f t="array" ref="H10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77" t="str">
        <f>_xlfn.XLOOKUP(H1077,Reference_Tables!$B$2:$B$7,Reference_Tables!$C$2:$C$7,,0,1)</f>
        <v>HR</v>
      </c>
      <c r="J1077" t="str">
        <f>INDEX(Reference_Tables!$D$11:$D$36,MATCH(LoanData[[#This Row],[Branch]],Reference_Tables!$A$11:$A$36,0))</f>
        <v>Meena Iyer</v>
      </c>
      <c r="L1077" s="35"/>
    </row>
    <row r="1078" spans="2:12" ht="15.6" x14ac:dyDescent="0.3">
      <c r="B1078" s="15">
        <f>DATEDIF(Loan_Data!K:K,Loan_Data!L:L,"D")</f>
        <v>26</v>
      </c>
      <c r="C1078" s="15">
        <f ca="1">DATEDIF(LoanData[[#This Row],[Approval_Date]],TODAY(),"M")</f>
        <v>40</v>
      </c>
      <c r="D1078" s="31">
        <f>EDATE(LoanData[[#This Row],[Approval_Date]],LoanData[[#This Row],[Loan_Term_Months]])</f>
        <v>52311</v>
      </c>
      <c r="E1078" t="str">
        <f t="shared" ca="1" si="16"/>
        <v>NO</v>
      </c>
      <c r="F1078" s="33">
        <f>IFERROR(LoanData[[#This Row],[EMI]]/LoanData[[#This Row],[Monthly_Income]]*100," ")</f>
        <v>2.301215171228673</v>
      </c>
      <c r="G1078" t="str" cm="1">
        <f t="array" ref="G1078">_xlfn.IFS(F1078&gt;40, "High DTI Risk",F1078&gt;=25, "Moderate DTI",F1078&lt;25, "Low DTI")</f>
        <v>Low DTI</v>
      </c>
      <c r="H1078" t="str" cm="1">
        <f t="array" ref="H10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78" t="str">
        <f>_xlfn.XLOOKUP(H1078,Reference_Tables!$B$2:$B$7,Reference_Tables!$C$2:$C$7,,0,1)</f>
        <v>HR</v>
      </c>
      <c r="J1078" t="str">
        <f>INDEX(Reference_Tables!$D$11:$D$36,MATCH(LoanData[[#This Row],[Branch]],Reference_Tables!$A$11:$A$36,0))</f>
        <v>Debashis Das</v>
      </c>
      <c r="L1078" s="35"/>
    </row>
    <row r="1079" spans="2:12" ht="15.6" x14ac:dyDescent="0.3">
      <c r="B1079" s="15">
        <f>DATEDIF(Loan_Data!K:K,Loan_Data!L:L,"D")</f>
        <v>12</v>
      </c>
      <c r="C1079" s="15">
        <f ca="1">DATEDIF(LoanData[[#This Row],[Approval_Date]],TODAY(),"M")</f>
        <v>53</v>
      </c>
      <c r="D1079" s="31">
        <f>EDATE(LoanData[[#This Row],[Approval_Date]],LoanData[[#This Row],[Loan_Term_Months]])</f>
        <v>47174</v>
      </c>
      <c r="E1079" t="str">
        <f t="shared" ca="1" si="16"/>
        <v>NO</v>
      </c>
      <c r="F1079" s="33">
        <f>IFERROR(LoanData[[#This Row],[EMI]]/LoanData[[#This Row],[Monthly_Income]]*100," ")</f>
        <v>16.792156043513916</v>
      </c>
      <c r="G1079" t="str" cm="1">
        <f t="array" ref="G1079">_xlfn.IFS(F1079&gt;40, "High DTI Risk",F1079&gt;=25, "Moderate DTI",F1079&lt;25, "Low DTI")</f>
        <v>Low DTI</v>
      </c>
      <c r="H1079" t="str" cm="1">
        <f t="array" ref="H10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79" t="str">
        <f>_xlfn.XLOOKUP(H1079,Reference_Tables!$B$2:$B$7,Reference_Tables!$C$2:$C$7,,0,1)</f>
        <v>VHR</v>
      </c>
      <c r="J1079" t="str">
        <f>INDEX(Reference_Tables!$D$11:$D$36,MATCH(LoanData[[#This Row],[Branch]],Reference_Tables!$A$11:$A$36,0))</f>
        <v>Puja Chatterjee</v>
      </c>
      <c r="L1079" s="35"/>
    </row>
    <row r="1080" spans="2:12" ht="15.6" x14ac:dyDescent="0.3">
      <c r="B1080" s="15">
        <f>DATEDIF(Loan_Data!K:K,Loan_Data!L:L,"D")</f>
        <v>19</v>
      </c>
      <c r="C1080" s="15">
        <f ca="1">DATEDIF(LoanData[[#This Row],[Approval_Date]],TODAY(),"M")</f>
        <v>45</v>
      </c>
      <c r="D1080" s="31">
        <f>EDATE(LoanData[[#This Row],[Approval_Date]],LoanData[[#This Row],[Loan_Term_Months]])</f>
        <v>52162</v>
      </c>
      <c r="E1080" t="str">
        <f t="shared" ca="1" si="16"/>
        <v>NO</v>
      </c>
      <c r="F1080" s="33">
        <f>IFERROR(LoanData[[#This Row],[EMI]]/LoanData[[#This Row],[Monthly_Income]]*100," ")</f>
        <v>2.1715986867731343</v>
      </c>
      <c r="G1080" t="str" cm="1">
        <f t="array" ref="G1080">_xlfn.IFS(F1080&gt;40, "High DTI Risk",F1080&gt;=25, "Moderate DTI",F1080&lt;25, "Low DTI")</f>
        <v>Low DTI</v>
      </c>
      <c r="H1080" t="str" cm="1">
        <f t="array" ref="H10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80" t="str">
        <f>_xlfn.XLOOKUP(H1080,Reference_Tables!$B$2:$B$7,Reference_Tables!$C$2:$C$7,,0,1)</f>
        <v>VHR</v>
      </c>
      <c r="J1080" t="str">
        <f>INDEX(Reference_Tables!$D$11:$D$36,MATCH(LoanData[[#This Row],[Branch]],Reference_Tables!$A$11:$A$36,0))</f>
        <v>Suresh Menon</v>
      </c>
      <c r="L1080" s="35"/>
    </row>
    <row r="1081" spans="2:12" ht="15.6" x14ac:dyDescent="0.3">
      <c r="B1081" s="15">
        <f>DATEDIF(Loan_Data!K:K,Loan_Data!L:L,"D")</f>
        <v>17</v>
      </c>
      <c r="C1081" s="15">
        <f ca="1">DATEDIF(LoanData[[#This Row],[Approval_Date]],TODAY(),"M")</f>
        <v>66</v>
      </c>
      <c r="D1081" s="31">
        <f>EDATE(LoanData[[#This Row],[Approval_Date]],LoanData[[#This Row],[Loan_Term_Months]])</f>
        <v>51531</v>
      </c>
      <c r="E1081" t="str">
        <f t="shared" ca="1" si="16"/>
        <v>NO</v>
      </c>
      <c r="F1081" s="33">
        <f>IFERROR(LoanData[[#This Row],[EMI]]/LoanData[[#This Row],[Monthly_Income]]*100," ")</f>
        <v>1.5443053684135877</v>
      </c>
      <c r="G1081" t="str" cm="1">
        <f t="array" ref="G1081">_xlfn.IFS(F1081&gt;40, "High DTI Risk",F1081&gt;=25, "Moderate DTI",F1081&lt;25, "Low DTI")</f>
        <v>Low DTI</v>
      </c>
      <c r="H1081" t="str" cm="1">
        <f t="array" ref="H10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81" t="str">
        <f>_xlfn.XLOOKUP(H1081,Reference_Tables!$B$2:$B$7,Reference_Tables!$C$2:$C$7,,0,1)</f>
        <v>VHR</v>
      </c>
      <c r="J1081" t="str">
        <f>INDEX(Reference_Tables!$D$11:$D$36,MATCH(LoanData[[#This Row],[Branch]],Reference_Tables!$A$11:$A$36,0))</f>
        <v>Kavita Joshi</v>
      </c>
      <c r="L1081" s="35"/>
    </row>
    <row r="1082" spans="2:12" ht="15.6" x14ac:dyDescent="0.3">
      <c r="B1082" s="15">
        <f>DATEDIF(Loan_Data!K:K,Loan_Data!L:L,"D")</f>
        <v>6</v>
      </c>
      <c r="C1082" s="15">
        <f ca="1">DATEDIF(LoanData[[#This Row],[Approval_Date]],TODAY(),"M")</f>
        <v>53</v>
      </c>
      <c r="D1082" s="31">
        <f>EDATE(LoanData[[#This Row],[Approval_Date]],LoanData[[#This Row],[Loan_Term_Months]])</f>
        <v>50093</v>
      </c>
      <c r="E1082" t="str">
        <f t="shared" ca="1" si="16"/>
        <v>NO</v>
      </c>
      <c r="F1082" s="33">
        <f>IFERROR(LoanData[[#This Row],[EMI]]/LoanData[[#This Row],[Monthly_Income]]*100," ")</f>
        <v>9.8793096915965766</v>
      </c>
      <c r="G1082" t="str" cm="1">
        <f t="array" ref="G1082">_xlfn.IFS(F1082&gt;40, "High DTI Risk",F1082&gt;=25, "Moderate DTI",F1082&lt;25, "Low DTI")</f>
        <v>Low DTI</v>
      </c>
      <c r="H1082" t="str" cm="1">
        <f t="array" ref="H10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82" t="str">
        <f>_xlfn.XLOOKUP(H1082,Reference_Tables!$B$2:$B$7,Reference_Tables!$C$2:$C$7,,0,1)</f>
        <v>HR</v>
      </c>
      <c r="J1082" t="str">
        <f>INDEX(Reference_Tables!$D$11:$D$36,MATCH(LoanData[[#This Row],[Branch]],Reference_Tables!$A$11:$A$36,0))</f>
        <v>Debashis Das</v>
      </c>
      <c r="L1082" s="35"/>
    </row>
    <row r="1083" spans="2:12" ht="15.6" x14ac:dyDescent="0.3">
      <c r="B1083" s="15">
        <f>DATEDIF(Loan_Data!K:K,Loan_Data!L:L,"D")</f>
        <v>24</v>
      </c>
      <c r="C1083" s="15">
        <f ca="1">DATEDIF(LoanData[[#This Row],[Approval_Date]],TODAY(),"M")</f>
        <v>42</v>
      </c>
      <c r="D1083" s="31">
        <f>EDATE(LoanData[[#This Row],[Approval_Date]],LoanData[[#This Row],[Loan_Term_Months]])</f>
        <v>52278</v>
      </c>
      <c r="E1083" t="str">
        <f t="shared" ca="1" si="16"/>
        <v>NO</v>
      </c>
      <c r="F1083" s="33">
        <f>IFERROR(LoanData[[#This Row],[EMI]]/LoanData[[#This Row],[Monthly_Income]]*100," ")</f>
        <v>7.1077155217694425</v>
      </c>
      <c r="G1083" t="str" cm="1">
        <f t="array" ref="G1083">_xlfn.IFS(F1083&gt;40, "High DTI Risk",F1083&gt;=25, "Moderate DTI",F1083&lt;25, "Low DTI")</f>
        <v>Low DTI</v>
      </c>
      <c r="H1083" t="str" cm="1">
        <f t="array" ref="H10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83" t="str">
        <f>_xlfn.XLOOKUP(H1083,Reference_Tables!$B$2:$B$7,Reference_Tables!$C$2:$C$7,,0,1)</f>
        <v>HR</v>
      </c>
      <c r="J1083" t="str">
        <f>INDEX(Reference_Tables!$D$11:$D$36,MATCH(LoanData[[#This Row],[Branch]],Reference_Tables!$A$11:$A$36,0))</f>
        <v>Debashis Das</v>
      </c>
      <c r="L1083" s="35"/>
    </row>
    <row r="1084" spans="2:12" ht="15.6" x14ac:dyDescent="0.3">
      <c r="B1084" s="15">
        <f>DATEDIF(Loan_Data!K:K,Loan_Data!L:L,"D")</f>
        <v>15</v>
      </c>
      <c r="C1084" s="15">
        <f ca="1">DATEDIF(LoanData[[#This Row],[Approval_Date]],TODAY(),"M")</f>
        <v>34</v>
      </c>
      <c r="D1084" s="31">
        <f>EDATE(LoanData[[#This Row],[Approval_Date]],LoanData[[#This Row],[Loan_Term_Months]])</f>
        <v>47759</v>
      </c>
      <c r="E1084" t="str">
        <f t="shared" ca="1" si="16"/>
        <v>NO</v>
      </c>
      <c r="F1084" s="33">
        <f>IFERROR(LoanData[[#This Row],[EMI]]/LoanData[[#This Row],[Monthly_Income]]*100," ")</f>
        <v>17.557521051110136</v>
      </c>
      <c r="G1084" t="str" cm="1">
        <f t="array" ref="G1084">_xlfn.IFS(F1084&gt;40, "High DTI Risk",F1084&gt;=25, "Moderate DTI",F1084&lt;25, "Low DTI")</f>
        <v>Low DTI</v>
      </c>
      <c r="H1084" t="str" cm="1">
        <f t="array" ref="H10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84" t="str">
        <f>_xlfn.XLOOKUP(H1084,Reference_Tables!$B$2:$B$7,Reference_Tables!$C$2:$C$7,,0,1)</f>
        <v>HR</v>
      </c>
      <c r="J1084" t="str">
        <f>INDEX(Reference_Tables!$D$11:$D$36,MATCH(LoanData[[#This Row],[Branch]],Reference_Tables!$A$11:$A$36,0))</f>
        <v>Amit Kumar</v>
      </c>
      <c r="L1084" s="35"/>
    </row>
    <row r="1085" spans="2:12" ht="15.6" x14ac:dyDescent="0.3">
      <c r="B1085" s="15">
        <f>DATEDIF(Loan_Data!K:K,Loan_Data!L:L,"D")</f>
        <v>5</v>
      </c>
      <c r="C1085" s="15">
        <f ca="1">DATEDIF(LoanData[[#This Row],[Approval_Date]],TODAY(),"M")</f>
        <v>40</v>
      </c>
      <c r="D1085" s="31">
        <f>EDATE(LoanData[[#This Row],[Approval_Date]],LoanData[[#This Row],[Loan_Term_Months]])</f>
        <v>52333</v>
      </c>
      <c r="E1085" t="str">
        <f t="shared" ca="1" si="16"/>
        <v>NO</v>
      </c>
      <c r="F1085" s="33" t="str">
        <f>IFERROR(LoanData[[#This Row],[EMI]]/LoanData[[#This Row],[Monthly_Income]]*100," ")</f>
        <v xml:space="preserve"> </v>
      </c>
      <c r="G1085" t="str" cm="1">
        <f t="array" ref="G1085">_xlfn.IFS(F1085&gt;40, "High DTI Risk",F1085&gt;=25, "Moderate DTI",F1085&lt;25, "Low DTI")</f>
        <v>High DTI Risk</v>
      </c>
      <c r="H1085" t="str" cm="1">
        <f t="array" ref="H10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85" t="str">
        <f>_xlfn.XLOOKUP(H1085,Reference_Tables!$B$2:$B$7,Reference_Tables!$C$2:$C$7,,0,1)</f>
        <v>LR</v>
      </c>
      <c r="J1085" t="str">
        <f>INDEX(Reference_Tables!$D$11:$D$36,MATCH(LoanData[[#This Row],[Branch]],Reference_Tables!$A$11:$A$36,0))</f>
        <v>Rituparna Bora</v>
      </c>
      <c r="L1085" s="35"/>
    </row>
    <row r="1086" spans="2:12" ht="15.6" x14ac:dyDescent="0.3">
      <c r="B1086" s="15">
        <f>DATEDIF(Loan_Data!K:K,Loan_Data!L:L,"D")</f>
        <v>5</v>
      </c>
      <c r="C1086" s="15">
        <f ca="1">DATEDIF(LoanData[[#This Row],[Approval_Date]],TODAY(),"M")</f>
        <v>43</v>
      </c>
      <c r="D1086" s="31">
        <f>EDATE(LoanData[[#This Row],[Approval_Date]],LoanData[[#This Row],[Loan_Term_Months]])</f>
        <v>50413</v>
      </c>
      <c r="E1086" t="str">
        <f t="shared" ca="1" si="16"/>
        <v>NO</v>
      </c>
      <c r="F1086" s="33">
        <f>IFERROR(LoanData[[#This Row],[EMI]]/LoanData[[#This Row],[Monthly_Income]]*100," ")</f>
        <v>2.0382843220032325</v>
      </c>
      <c r="G1086" t="str" cm="1">
        <f t="array" ref="G1086">_xlfn.IFS(F1086&gt;40, "High DTI Risk",F1086&gt;=25, "Moderate DTI",F1086&lt;25, "Low DTI")</f>
        <v>Low DTI</v>
      </c>
      <c r="H1086" t="str" cm="1">
        <f t="array" ref="H10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86" t="str">
        <f>_xlfn.XLOOKUP(H1086,Reference_Tables!$B$2:$B$7,Reference_Tables!$C$2:$C$7,,0,1)</f>
        <v>VHR</v>
      </c>
      <c r="J1086" t="str">
        <f>INDEX(Reference_Tables!$D$11:$D$36,MATCH(LoanData[[#This Row],[Branch]],Reference_Tables!$A$11:$A$36,0))</f>
        <v>Arvind Pillai</v>
      </c>
      <c r="L1086" s="35"/>
    </row>
    <row r="1087" spans="2:12" ht="15.6" x14ac:dyDescent="0.3">
      <c r="B1087" s="15">
        <f>DATEDIF(Loan_Data!K:K,Loan_Data!L:L,"D")</f>
        <v>21</v>
      </c>
      <c r="C1087" s="15">
        <f ca="1">DATEDIF(LoanData[[#This Row],[Approval_Date]],TODAY(),"M")</f>
        <v>59</v>
      </c>
      <c r="D1087" s="31">
        <f>EDATE(LoanData[[#This Row],[Approval_Date]],LoanData[[#This Row],[Loan_Term_Months]])</f>
        <v>51750</v>
      </c>
      <c r="E1087" t="str">
        <f t="shared" ca="1" si="16"/>
        <v>NO</v>
      </c>
      <c r="F1087" s="33">
        <f>IFERROR(LoanData[[#This Row],[EMI]]/LoanData[[#This Row],[Monthly_Income]]*100," ")</f>
        <v>1.6087043045119584</v>
      </c>
      <c r="G1087" t="str" cm="1">
        <f t="array" ref="G1087">_xlfn.IFS(F1087&gt;40, "High DTI Risk",F1087&gt;=25, "Moderate DTI",F1087&lt;25, "Low DTI")</f>
        <v>Low DTI</v>
      </c>
      <c r="H1087" t="str" cm="1">
        <f t="array" ref="H10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87" t="str">
        <f>_xlfn.XLOOKUP(H1087,Reference_Tables!$B$2:$B$7,Reference_Tables!$C$2:$C$7,,0,1)</f>
        <v>MR</v>
      </c>
      <c r="J1087" t="str">
        <f>INDEX(Reference_Tables!$D$11:$D$36,MATCH(LoanData[[#This Row],[Branch]],Reference_Tables!$A$11:$A$36,0))</f>
        <v>Ravi Verma</v>
      </c>
      <c r="L1087" s="35"/>
    </row>
    <row r="1088" spans="2:12" ht="15.6" x14ac:dyDescent="0.3">
      <c r="B1088" s="15">
        <f>DATEDIF(Loan_Data!K:K,Loan_Data!L:L,"D")</f>
        <v>27</v>
      </c>
      <c r="C1088" s="15">
        <f ca="1">DATEDIF(LoanData[[#This Row],[Approval_Date]],TODAY(),"M")</f>
        <v>44</v>
      </c>
      <c r="D1088" s="31">
        <f>EDATE(LoanData[[#This Row],[Approval_Date]],LoanData[[#This Row],[Loan_Term_Months]])</f>
        <v>48552</v>
      </c>
      <c r="E1088" t="str">
        <f t="shared" ca="1" si="16"/>
        <v>NO</v>
      </c>
      <c r="F1088" s="33">
        <f>IFERROR(LoanData[[#This Row],[EMI]]/LoanData[[#This Row],[Monthly_Income]]*100," ")</f>
        <v>14.848635976129582</v>
      </c>
      <c r="G1088" t="str" cm="1">
        <f t="array" ref="G1088">_xlfn.IFS(F1088&gt;40, "High DTI Risk",F1088&gt;=25, "Moderate DTI",F1088&lt;25, "Low DTI")</f>
        <v>Low DTI</v>
      </c>
      <c r="H1088" t="str" cm="1">
        <f t="array" ref="H10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88" t="str">
        <f>_xlfn.XLOOKUP(H1088,Reference_Tables!$B$2:$B$7,Reference_Tables!$C$2:$C$7,,0,1)</f>
        <v>VHR</v>
      </c>
      <c r="J1088" t="str">
        <f>INDEX(Reference_Tables!$D$11:$D$36,MATCH(LoanData[[#This Row],[Branch]],Reference_Tables!$A$11:$A$36,0))</f>
        <v>Meena Iyer</v>
      </c>
      <c r="L1088" s="35"/>
    </row>
    <row r="1089" spans="2:12" ht="15.6" x14ac:dyDescent="0.3">
      <c r="B1089" s="15">
        <f>DATEDIF(Loan_Data!K:K,Loan_Data!L:L,"D")</f>
        <v>11</v>
      </c>
      <c r="C1089" s="15">
        <f ca="1">DATEDIF(LoanData[[#This Row],[Approval_Date]],TODAY(),"M")</f>
        <v>34</v>
      </c>
      <c r="D1089" s="31">
        <f>EDATE(LoanData[[#This Row],[Approval_Date]],LoanData[[#This Row],[Loan_Term_Months]])</f>
        <v>47760</v>
      </c>
      <c r="E1089" t="str">
        <f t="shared" ca="1" si="16"/>
        <v>NO</v>
      </c>
      <c r="F1089" s="33">
        <f>IFERROR(LoanData[[#This Row],[EMI]]/LoanData[[#This Row],[Monthly_Income]]*100," ")</f>
        <v>2.7164569032519319</v>
      </c>
      <c r="G1089" t="str" cm="1">
        <f t="array" ref="G1089">_xlfn.IFS(F1089&gt;40, "High DTI Risk",F1089&gt;=25, "Moderate DTI",F1089&lt;25, "Low DTI")</f>
        <v>Low DTI</v>
      </c>
      <c r="H1089" t="str" cm="1">
        <f t="array" ref="H10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89" t="str">
        <f>_xlfn.XLOOKUP(H1089,Reference_Tables!$B$2:$B$7,Reference_Tables!$C$2:$C$7,,0,1)</f>
        <v>VHR</v>
      </c>
      <c r="J1089" t="str">
        <f>INDEX(Reference_Tables!$D$11:$D$36,MATCH(LoanData[[#This Row],[Branch]],Reference_Tables!$A$11:$A$36,0))</f>
        <v>Amit Kumar</v>
      </c>
      <c r="L1089" s="35"/>
    </row>
    <row r="1090" spans="2:12" ht="15.6" x14ac:dyDescent="0.3">
      <c r="B1090" s="15">
        <f>DATEDIF(Loan_Data!K:K,Loan_Data!L:L,"D")</f>
        <v>6</v>
      </c>
      <c r="C1090" s="15">
        <f ca="1">DATEDIF(LoanData[[#This Row],[Approval_Date]],TODAY(),"M")</f>
        <v>36</v>
      </c>
      <c r="D1090" s="31">
        <f>EDATE(LoanData[[#This Row],[Approval_Date]],LoanData[[#This Row],[Loan_Term_Months]])</f>
        <v>52437</v>
      </c>
      <c r="E1090" t="str">
        <f t="shared" ref="E1090:E1153" ca="1" si="17">IF(D1090&lt;TODAY(),"YES","NO")</f>
        <v>NO</v>
      </c>
      <c r="F1090" s="33">
        <f>IFERROR(LoanData[[#This Row],[EMI]]/LoanData[[#This Row],[Monthly_Income]]*100," ")</f>
        <v>2.6577625177309665</v>
      </c>
      <c r="G1090" t="str" cm="1">
        <f t="array" ref="G1090">_xlfn.IFS(F1090&gt;40, "High DTI Risk",F1090&gt;=25, "Moderate DTI",F1090&lt;25, "Low DTI")</f>
        <v>Low DTI</v>
      </c>
      <c r="H1090" t="str" cm="1">
        <f t="array" ref="H10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90" t="str">
        <f>_xlfn.XLOOKUP(H1090,Reference_Tables!$B$2:$B$7,Reference_Tables!$C$2:$C$7,,0,1)</f>
        <v>VHR</v>
      </c>
      <c r="J1090" t="str">
        <f>INDEX(Reference_Tables!$D$11:$D$36,MATCH(LoanData[[#This Row],[Branch]],Reference_Tables!$A$11:$A$36,0))</f>
        <v>Vikram Malhotra</v>
      </c>
      <c r="L1090" s="35"/>
    </row>
    <row r="1091" spans="2:12" ht="15.6" x14ac:dyDescent="0.3">
      <c r="B1091" s="15">
        <f>DATEDIF(Loan_Data!K:K,Loan_Data!L:L,"D")</f>
        <v>10</v>
      </c>
      <c r="C1091" s="15">
        <f ca="1">DATEDIF(LoanData[[#This Row],[Approval_Date]],TODAY(),"M")</f>
        <v>63</v>
      </c>
      <c r="D1091" s="31">
        <f>EDATE(LoanData[[#This Row],[Approval_Date]],LoanData[[#This Row],[Loan_Term_Months]])</f>
        <v>46134</v>
      </c>
      <c r="E1091" t="str">
        <f t="shared" ca="1" si="17"/>
        <v>YES</v>
      </c>
      <c r="F1091" s="33">
        <f>IFERROR(LoanData[[#This Row],[EMI]]/LoanData[[#This Row],[Monthly_Income]]*100," ")</f>
        <v>7.040364373772813</v>
      </c>
      <c r="G1091" t="str" cm="1">
        <f t="array" ref="G1091">_xlfn.IFS(F1091&gt;40, "High DTI Risk",F1091&gt;=25, "Moderate DTI",F1091&lt;25, "Low DTI")</f>
        <v>Low DTI</v>
      </c>
      <c r="H1091" t="str" cm="1">
        <f t="array" ref="H10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91" t="str">
        <f>_xlfn.XLOOKUP(H1091,Reference_Tables!$B$2:$B$7,Reference_Tables!$C$2:$C$7,,0,1)</f>
        <v>VHR</v>
      </c>
      <c r="J1091" t="str">
        <f>INDEX(Reference_Tables!$D$11:$D$36,MATCH(LoanData[[#This Row],[Branch]],Reference_Tables!$A$11:$A$36,0))</f>
        <v>Meena Iyer</v>
      </c>
      <c r="L1091" s="35"/>
    </row>
    <row r="1092" spans="2:12" ht="15.6" x14ac:dyDescent="0.3">
      <c r="B1092" s="15">
        <f>DATEDIF(Loan_Data!K:K,Loan_Data!L:L,"D")</f>
        <v>15</v>
      </c>
      <c r="C1092" s="15">
        <f ca="1">DATEDIF(LoanData[[#This Row],[Approval_Date]],TODAY(),"M")</f>
        <v>56</v>
      </c>
      <c r="D1092" s="31">
        <f>EDATE(LoanData[[#This Row],[Approval_Date]],LoanData[[#This Row],[Loan_Term_Months]])</f>
        <v>45980</v>
      </c>
      <c r="E1092" t="str">
        <f t="shared" ca="1" si="17"/>
        <v>YES</v>
      </c>
      <c r="F1092" s="33">
        <f>IFERROR(LoanData[[#This Row],[EMI]]/LoanData[[#This Row],[Monthly_Income]]*100," ")</f>
        <v>10.377679435762689</v>
      </c>
      <c r="G1092" t="str" cm="1">
        <f t="array" ref="G1092">_xlfn.IFS(F1092&gt;40, "High DTI Risk",F1092&gt;=25, "Moderate DTI",F1092&lt;25, "Low DTI")</f>
        <v>Low DTI</v>
      </c>
      <c r="H1092" t="str" cm="1">
        <f t="array" ref="H10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92" t="str">
        <f>_xlfn.XLOOKUP(H1092,Reference_Tables!$B$2:$B$7,Reference_Tables!$C$2:$C$7,,0,1)</f>
        <v>VHR</v>
      </c>
      <c r="J1092" t="str">
        <f>INDEX(Reference_Tables!$D$11:$D$36,MATCH(LoanData[[#This Row],[Branch]],Reference_Tables!$A$11:$A$36,0))</f>
        <v>Jigar Mehta</v>
      </c>
      <c r="L1092" s="35"/>
    </row>
    <row r="1093" spans="2:12" ht="15.6" x14ac:dyDescent="0.3">
      <c r="B1093" s="15">
        <f>DATEDIF(Loan_Data!K:K,Loan_Data!L:L,"D")</f>
        <v>19</v>
      </c>
      <c r="C1093" s="15">
        <f ca="1">DATEDIF(LoanData[[#This Row],[Approval_Date]],TODAY(),"M")</f>
        <v>31</v>
      </c>
      <c r="D1093" s="31">
        <f>EDATE(LoanData[[#This Row],[Approval_Date]],LoanData[[#This Row],[Loan_Term_Months]])</f>
        <v>52595</v>
      </c>
      <c r="E1093" t="str">
        <f t="shared" ca="1" si="17"/>
        <v>NO</v>
      </c>
      <c r="F1093" s="33">
        <f>IFERROR(LoanData[[#This Row],[EMI]]/LoanData[[#This Row],[Monthly_Income]]*100," ")</f>
        <v>4.760850651896873</v>
      </c>
      <c r="G1093" t="str" cm="1">
        <f t="array" ref="G1093">_xlfn.IFS(F1093&gt;40, "High DTI Risk",F1093&gt;=25, "Moderate DTI",F1093&lt;25, "Low DTI")</f>
        <v>Low DTI</v>
      </c>
      <c r="H1093" t="str" cm="1">
        <f t="array" ref="H10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93" t="str">
        <f>_xlfn.XLOOKUP(H1093,Reference_Tables!$B$2:$B$7,Reference_Tables!$C$2:$C$7,,0,1)</f>
        <v>LR</v>
      </c>
      <c r="J1093" t="str">
        <f>INDEX(Reference_Tables!$D$11:$D$36,MATCH(LoanData[[#This Row],[Branch]],Reference_Tables!$A$11:$A$36,0))</f>
        <v>Deepak Nair</v>
      </c>
      <c r="L1093" s="35"/>
    </row>
    <row r="1094" spans="2:12" ht="15.6" x14ac:dyDescent="0.3">
      <c r="B1094" s="15">
        <f>DATEDIF(Loan_Data!K:K,Loan_Data!L:L,"D")</f>
        <v>10</v>
      </c>
      <c r="C1094" s="15">
        <f ca="1">DATEDIF(LoanData[[#This Row],[Approval_Date]],TODAY(),"M")</f>
        <v>39</v>
      </c>
      <c r="D1094" s="31">
        <f>EDATE(LoanData[[#This Row],[Approval_Date]],LoanData[[#This Row],[Loan_Term_Months]])</f>
        <v>52369</v>
      </c>
      <c r="E1094" t="str">
        <f t="shared" ca="1" si="17"/>
        <v>NO</v>
      </c>
      <c r="F1094" s="33">
        <f>IFERROR(LoanData[[#This Row],[EMI]]/LoanData[[#This Row],[Monthly_Income]]*100," ")</f>
        <v>9.0850376149345209</v>
      </c>
      <c r="G1094" t="str" cm="1">
        <f t="array" ref="G1094">_xlfn.IFS(F1094&gt;40, "High DTI Risk",F1094&gt;=25, "Moderate DTI",F1094&lt;25, "Low DTI")</f>
        <v>Low DTI</v>
      </c>
      <c r="H1094" t="str" cm="1">
        <f t="array" ref="H10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094" t="str">
        <f>_xlfn.XLOOKUP(H1094,Reference_Tables!$B$2:$B$7,Reference_Tables!$C$2:$C$7,,0,1)</f>
        <v>LR</v>
      </c>
      <c r="J1094" t="str">
        <f>INDEX(Reference_Tables!$D$11:$D$36,MATCH(LoanData[[#This Row],[Branch]],Reference_Tables!$A$11:$A$36,0))</f>
        <v>Suman Tiwari</v>
      </c>
      <c r="L1094" s="35"/>
    </row>
    <row r="1095" spans="2:12" ht="15.6" x14ac:dyDescent="0.3">
      <c r="B1095" s="15">
        <f>DATEDIF(Loan_Data!K:K,Loan_Data!L:L,"D")</f>
        <v>25</v>
      </c>
      <c r="C1095" s="15">
        <f ca="1">DATEDIF(LoanData[[#This Row],[Approval_Date]],TODAY(),"M")</f>
        <v>50</v>
      </c>
      <c r="D1095" s="31">
        <f>EDATE(LoanData[[#This Row],[Approval_Date]],LoanData[[#This Row],[Loan_Term_Months]])</f>
        <v>52021</v>
      </c>
      <c r="E1095" t="str">
        <f t="shared" ca="1" si="17"/>
        <v>NO</v>
      </c>
      <c r="F1095" s="33">
        <f>IFERROR(LoanData[[#This Row],[EMI]]/LoanData[[#This Row],[Monthly_Income]]*100," ")</f>
        <v>4.9921499707088461</v>
      </c>
      <c r="G1095" t="str" cm="1">
        <f t="array" ref="G1095">_xlfn.IFS(F1095&gt;40, "High DTI Risk",F1095&gt;=25, "Moderate DTI",F1095&lt;25, "Low DTI")</f>
        <v>Low DTI</v>
      </c>
      <c r="H1095" t="str" cm="1">
        <f t="array" ref="H10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095" t="str">
        <f>_xlfn.XLOOKUP(H1095,Reference_Tables!$B$2:$B$7,Reference_Tables!$C$2:$C$7,,0,1)</f>
        <v>MR</v>
      </c>
      <c r="J1095" t="str">
        <f>INDEX(Reference_Tables!$D$11:$D$36,MATCH(LoanData[[#This Row],[Branch]],Reference_Tables!$A$11:$A$36,0))</f>
        <v>Puja Chatterjee</v>
      </c>
      <c r="L1095" s="35"/>
    </row>
    <row r="1096" spans="2:12" ht="15.6" x14ac:dyDescent="0.3">
      <c r="B1096" s="15">
        <f>DATEDIF(Loan_Data!K:K,Loan_Data!L:L,"D")</f>
        <v>3</v>
      </c>
      <c r="C1096" s="15">
        <f ca="1">DATEDIF(LoanData[[#This Row],[Approval_Date]],TODAY(),"M")</f>
        <v>56</v>
      </c>
      <c r="D1096" s="31">
        <f>EDATE(LoanData[[#This Row],[Approval_Date]],LoanData[[#This Row],[Loan_Term_Months]])</f>
        <v>46006</v>
      </c>
      <c r="E1096" t="str">
        <f t="shared" ca="1" si="17"/>
        <v>YES</v>
      </c>
      <c r="F1096" s="33" t="str">
        <f>IFERROR(LoanData[[#This Row],[EMI]]/LoanData[[#This Row],[Monthly_Income]]*100," ")</f>
        <v xml:space="preserve"> </v>
      </c>
      <c r="G1096" t="str" cm="1">
        <f t="array" ref="G1096">_xlfn.IFS(F1096&gt;40, "High DTI Risk",F1096&gt;=25, "Moderate DTI",F1096&lt;25, "Low DTI")</f>
        <v>High DTI Risk</v>
      </c>
      <c r="H1096" t="str" cm="1">
        <f t="array" ref="H10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96" t="str">
        <f>_xlfn.XLOOKUP(H1096,Reference_Tables!$B$2:$B$7,Reference_Tables!$C$2:$C$7,,0,1)</f>
        <v>VHR</v>
      </c>
      <c r="J1096" t="str">
        <f>INDEX(Reference_Tables!$D$11:$D$36,MATCH(LoanData[[#This Row],[Branch]],Reference_Tables!$A$11:$A$36,0))</f>
        <v>Suresh Menon</v>
      </c>
      <c r="L1096" s="35"/>
    </row>
    <row r="1097" spans="2:12" ht="15.6" x14ac:dyDescent="0.3">
      <c r="B1097" s="15">
        <f>DATEDIF(Loan_Data!K:K,Loan_Data!L:L,"D")</f>
        <v>9</v>
      </c>
      <c r="C1097" s="15">
        <f ca="1">DATEDIF(LoanData[[#This Row],[Approval_Date]],TODAY(),"M")</f>
        <v>45</v>
      </c>
      <c r="D1097" s="31">
        <f>EDATE(LoanData[[#This Row],[Approval_Date]],LoanData[[#This Row],[Loan_Term_Months]])</f>
        <v>47413</v>
      </c>
      <c r="E1097" t="str">
        <f t="shared" ca="1" si="17"/>
        <v>NO</v>
      </c>
      <c r="F1097" s="33">
        <f>IFERROR(LoanData[[#This Row],[EMI]]/LoanData[[#This Row],[Monthly_Income]]*100," ")</f>
        <v>15.50009806543639</v>
      </c>
      <c r="G1097" t="str" cm="1">
        <f t="array" ref="G1097">_xlfn.IFS(F1097&gt;40, "High DTI Risk",F1097&gt;=25, "Moderate DTI",F1097&lt;25, "Low DTI")</f>
        <v>Low DTI</v>
      </c>
      <c r="H1097" t="str" cm="1">
        <f t="array" ref="H10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097" t="str">
        <f>_xlfn.XLOOKUP(H1097,Reference_Tables!$B$2:$B$7,Reference_Tables!$C$2:$C$7,,0,1)</f>
        <v>HR</v>
      </c>
      <c r="J1097" t="str">
        <f>INDEX(Reference_Tables!$D$11:$D$36,MATCH(LoanData[[#This Row],[Branch]],Reference_Tables!$A$11:$A$36,0))</f>
        <v>Rahul Kapoor</v>
      </c>
      <c r="L1097" s="35"/>
    </row>
    <row r="1098" spans="2:12" ht="15.6" x14ac:dyDescent="0.3">
      <c r="B1098" s="15">
        <f>DATEDIF(Loan_Data!K:K,Loan_Data!L:L,"D")</f>
        <v>26</v>
      </c>
      <c r="C1098" s="15">
        <f ca="1">DATEDIF(LoanData[[#This Row],[Approval_Date]],TODAY(),"M")</f>
        <v>54</v>
      </c>
      <c r="D1098" s="31">
        <f>EDATE(LoanData[[#This Row],[Approval_Date]],LoanData[[#This Row],[Loan_Term_Months]])</f>
        <v>48258</v>
      </c>
      <c r="E1098" t="str">
        <f t="shared" ca="1" si="17"/>
        <v>NO</v>
      </c>
      <c r="F1098" s="33">
        <f>IFERROR(LoanData[[#This Row],[EMI]]/LoanData[[#This Row],[Monthly_Income]]*100," ")</f>
        <v>2.444515755562267</v>
      </c>
      <c r="G1098" t="str" cm="1">
        <f t="array" ref="G1098">_xlfn.IFS(F1098&gt;40, "High DTI Risk",F1098&gt;=25, "Moderate DTI",F1098&lt;25, "Low DTI")</f>
        <v>Low DTI</v>
      </c>
      <c r="H1098" t="str" cm="1">
        <f t="array" ref="H10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98" t="str">
        <f>_xlfn.XLOOKUP(H1098,Reference_Tables!$B$2:$B$7,Reference_Tables!$C$2:$C$7,,0,1)</f>
        <v>VHR</v>
      </c>
      <c r="J1098" t="str">
        <f>INDEX(Reference_Tables!$D$11:$D$36,MATCH(LoanData[[#This Row],[Branch]],Reference_Tables!$A$11:$A$36,0))</f>
        <v>Amit Kumar</v>
      </c>
      <c r="L1098" s="35"/>
    </row>
    <row r="1099" spans="2:12" ht="15.6" x14ac:dyDescent="0.3">
      <c r="B1099" s="15">
        <f>DATEDIF(Loan_Data!K:K,Loan_Data!L:L,"D")</f>
        <v>25</v>
      </c>
      <c r="C1099" s="15">
        <f ca="1">DATEDIF(LoanData[[#This Row],[Approval_Date]],TODAY(),"M")</f>
        <v>52</v>
      </c>
      <c r="D1099" s="31">
        <f>EDATE(LoanData[[#This Row],[Approval_Date]],LoanData[[#This Row],[Loan_Term_Months]])</f>
        <v>51954</v>
      </c>
      <c r="E1099" t="str">
        <f t="shared" ca="1" si="17"/>
        <v>NO</v>
      </c>
      <c r="F1099" s="33">
        <f>IFERROR(LoanData[[#This Row],[EMI]]/LoanData[[#This Row],[Monthly_Income]]*100," ")</f>
        <v>0.70010639412131137</v>
      </c>
      <c r="G1099" t="str" cm="1">
        <f t="array" ref="G1099">_xlfn.IFS(F1099&gt;40, "High DTI Risk",F1099&gt;=25, "Moderate DTI",F1099&lt;25, "Low DTI")</f>
        <v>Low DTI</v>
      </c>
      <c r="H1099" t="str" cm="1">
        <f t="array" ref="H10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099" t="str">
        <f>_xlfn.XLOOKUP(H1099,Reference_Tables!$B$2:$B$7,Reference_Tables!$C$2:$C$7,,0,1)</f>
        <v>VHR</v>
      </c>
      <c r="J1099" t="str">
        <f>INDEX(Reference_Tables!$D$11:$D$36,MATCH(LoanData[[#This Row],[Branch]],Reference_Tables!$A$11:$A$36,0))</f>
        <v>Nilesh Shah</v>
      </c>
      <c r="L1099" s="35"/>
    </row>
    <row r="1100" spans="2:12" ht="15.6" x14ac:dyDescent="0.3">
      <c r="B1100" s="15">
        <f>DATEDIF(Loan_Data!K:K,Loan_Data!L:L,"D")</f>
        <v>22</v>
      </c>
      <c r="C1100" s="15">
        <f ca="1">DATEDIF(LoanData[[#This Row],[Approval_Date]],TODAY(),"M")</f>
        <v>59</v>
      </c>
      <c r="D1100" s="31">
        <f>EDATE(LoanData[[#This Row],[Approval_Date]],LoanData[[#This Row],[Loan_Term_Months]])</f>
        <v>46270</v>
      </c>
      <c r="E1100" t="str">
        <f t="shared" ca="1" si="17"/>
        <v>NO</v>
      </c>
      <c r="F1100" s="33">
        <f>IFERROR(LoanData[[#This Row],[EMI]]/LoanData[[#This Row],[Monthly_Income]]*100," ")</f>
        <v>0.63982111522445873</v>
      </c>
      <c r="G1100" t="str" cm="1">
        <f t="array" ref="G1100">_xlfn.IFS(F1100&gt;40, "High DTI Risk",F1100&gt;=25, "Moderate DTI",F1100&lt;25, "Low DTI")</f>
        <v>Low DTI</v>
      </c>
      <c r="H1100" t="str" cm="1">
        <f t="array" ref="H11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1100" t="str">
        <f>_xlfn.XLOOKUP(H1100,Reference_Tables!$B$2:$B$7,Reference_Tables!$C$2:$C$7,,0,1)</f>
        <v>UC</v>
      </c>
      <c r="J1100" t="str">
        <f>INDEX(Reference_Tables!$D$11:$D$36,MATCH(LoanData[[#This Row],[Branch]],Reference_Tables!$A$11:$A$36,0))</f>
        <v>Suresh Menon</v>
      </c>
      <c r="L1100" s="35"/>
    </row>
    <row r="1101" spans="2:12" ht="15.6" x14ac:dyDescent="0.3">
      <c r="B1101" s="15">
        <f>DATEDIF(Loan_Data!K:K,Loan_Data!L:L,"D")</f>
        <v>3</v>
      </c>
      <c r="C1101" s="15">
        <f ca="1">DATEDIF(LoanData[[#This Row],[Approval_Date]],TODAY(),"M")</f>
        <v>39</v>
      </c>
      <c r="D1101" s="31">
        <f>EDATE(LoanData[[#This Row],[Approval_Date]],LoanData[[#This Row],[Loan_Term_Months]])</f>
        <v>48703</v>
      </c>
      <c r="E1101" t="str">
        <f t="shared" ca="1" si="17"/>
        <v>NO</v>
      </c>
      <c r="F1101" s="33">
        <f>IFERROR(LoanData[[#This Row],[EMI]]/LoanData[[#This Row],[Monthly_Income]]*100," ")</f>
        <v>0.61605501335160806</v>
      </c>
      <c r="G1101" t="str" cm="1">
        <f t="array" ref="G1101">_xlfn.IFS(F1101&gt;40, "High DTI Risk",F1101&gt;=25, "Moderate DTI",F1101&lt;25, "Low DTI")</f>
        <v>Low DTI</v>
      </c>
      <c r="H1101" t="str" cm="1">
        <f t="array" ref="H11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01" t="str">
        <f>_xlfn.XLOOKUP(H1101,Reference_Tables!$B$2:$B$7,Reference_Tables!$C$2:$C$7,,0,1)</f>
        <v>HR</v>
      </c>
      <c r="J1101" t="str">
        <f>INDEX(Reference_Tables!$D$11:$D$36,MATCH(LoanData[[#This Row],[Branch]],Reference_Tables!$A$11:$A$36,0))</f>
        <v>Ananya Sharma</v>
      </c>
      <c r="L1101" s="35"/>
    </row>
    <row r="1102" spans="2:12" ht="15.6" x14ac:dyDescent="0.3">
      <c r="B1102" s="15">
        <f>DATEDIF(Loan_Data!K:K,Loan_Data!L:L,"D")</f>
        <v>19</v>
      </c>
      <c r="C1102" s="15">
        <f ca="1">DATEDIF(LoanData[[#This Row],[Approval_Date]],TODAY(),"M")</f>
        <v>34</v>
      </c>
      <c r="D1102" s="31">
        <f>EDATE(LoanData[[#This Row],[Approval_Date]],LoanData[[#This Row],[Loan_Term_Months]])</f>
        <v>52510</v>
      </c>
      <c r="E1102" t="str">
        <f t="shared" ca="1" si="17"/>
        <v>NO</v>
      </c>
      <c r="F1102" s="33">
        <f>IFERROR(LoanData[[#This Row],[EMI]]/LoanData[[#This Row],[Monthly_Income]]*100," ")</f>
        <v>1.2416178954297057</v>
      </c>
      <c r="G1102" t="str" cm="1">
        <f t="array" ref="G1102">_xlfn.IFS(F1102&gt;40, "High DTI Risk",F1102&gt;=25, "Moderate DTI",F1102&lt;25, "Low DTI")</f>
        <v>Low DTI</v>
      </c>
      <c r="H1102" t="str" cm="1">
        <f t="array" ref="H110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02" t="str">
        <f>_xlfn.XLOOKUP(H1102,Reference_Tables!$B$2:$B$7,Reference_Tables!$C$2:$C$7,,0,1)</f>
        <v>HR</v>
      </c>
      <c r="J1102" t="str">
        <f>INDEX(Reference_Tables!$D$11:$D$36,MATCH(LoanData[[#This Row],[Branch]],Reference_Tables!$A$11:$A$36,0))</f>
        <v>Arvind Pillai</v>
      </c>
      <c r="L1102" s="35"/>
    </row>
    <row r="1103" spans="2:12" ht="15.6" x14ac:dyDescent="0.3">
      <c r="B1103" s="15">
        <f>DATEDIF(Loan_Data!K:K,Loan_Data!L:L,"D")</f>
        <v>26</v>
      </c>
      <c r="C1103" s="15">
        <f ca="1">DATEDIF(LoanData[[#This Row],[Approval_Date]],TODAY(),"M")</f>
        <v>46</v>
      </c>
      <c r="D1103" s="31">
        <f>EDATE(LoanData[[#This Row],[Approval_Date]],LoanData[[#This Row],[Loan_Term_Months]])</f>
        <v>52130</v>
      </c>
      <c r="E1103" t="str">
        <f t="shared" ca="1" si="17"/>
        <v>NO</v>
      </c>
      <c r="F1103" s="33">
        <f>IFERROR(LoanData[[#This Row],[EMI]]/LoanData[[#This Row],[Monthly_Income]]*100," ")</f>
        <v>21.495088112730741</v>
      </c>
      <c r="G1103" t="str" cm="1">
        <f t="array" ref="G1103">_xlfn.IFS(F1103&gt;40, "High DTI Risk",F1103&gt;=25, "Moderate DTI",F1103&lt;25, "Low DTI")</f>
        <v>Low DTI</v>
      </c>
      <c r="H1103" t="str" cm="1">
        <f t="array" ref="H110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03" t="str">
        <f>_xlfn.XLOOKUP(H1103,Reference_Tables!$B$2:$B$7,Reference_Tables!$C$2:$C$7,,0,1)</f>
        <v>MR</v>
      </c>
      <c r="J1103" t="str">
        <f>INDEX(Reference_Tables!$D$11:$D$36,MATCH(LoanData[[#This Row],[Branch]],Reference_Tables!$A$11:$A$36,0))</f>
        <v>Priyanka Gupta</v>
      </c>
      <c r="L1103" s="35"/>
    </row>
    <row r="1104" spans="2:12" ht="15.6" x14ac:dyDescent="0.3">
      <c r="B1104" s="15">
        <f>DATEDIF(Loan_Data!K:K,Loan_Data!L:L,"D")</f>
        <v>5</v>
      </c>
      <c r="C1104" s="15">
        <f ca="1">DATEDIF(LoanData[[#This Row],[Approval_Date]],TODAY(),"M")</f>
        <v>53</v>
      </c>
      <c r="D1104" s="31">
        <f>EDATE(LoanData[[#This Row],[Approval_Date]],LoanData[[#This Row],[Loan_Term_Months]])</f>
        <v>47173</v>
      </c>
      <c r="E1104" t="str">
        <f t="shared" ca="1" si="17"/>
        <v>NO</v>
      </c>
      <c r="F1104" s="33">
        <f>IFERROR(LoanData[[#This Row],[EMI]]/LoanData[[#This Row],[Monthly_Income]]*100," ")</f>
        <v>1.9576743441633078</v>
      </c>
      <c r="G1104" t="str" cm="1">
        <f t="array" ref="G1104">_xlfn.IFS(F1104&gt;40, "High DTI Risk",F1104&gt;=25, "Moderate DTI",F1104&lt;25, "Low DTI")</f>
        <v>Low DTI</v>
      </c>
      <c r="H1104" t="str" cm="1">
        <f t="array" ref="H110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04" t="str">
        <f>_xlfn.XLOOKUP(H1104,Reference_Tables!$B$2:$B$7,Reference_Tables!$C$2:$C$7,,0,1)</f>
        <v>HR</v>
      </c>
      <c r="J1104" t="str">
        <f>INDEX(Reference_Tables!$D$11:$D$36,MATCH(LoanData[[#This Row],[Branch]],Reference_Tables!$A$11:$A$36,0))</f>
        <v>Sandeep Saxena</v>
      </c>
      <c r="L1104" s="35"/>
    </row>
    <row r="1105" spans="2:12" ht="15.6" x14ac:dyDescent="0.3">
      <c r="B1105" s="15">
        <f>DATEDIF(Loan_Data!K:K,Loan_Data!L:L,"D")</f>
        <v>14</v>
      </c>
      <c r="C1105" s="15">
        <f ca="1">DATEDIF(LoanData[[#This Row],[Approval_Date]],TODAY(),"M")</f>
        <v>35</v>
      </c>
      <c r="D1105" s="31">
        <f>EDATE(LoanData[[#This Row],[Approval_Date]],LoanData[[#This Row],[Loan_Term_Months]])</f>
        <v>50661</v>
      </c>
      <c r="E1105" t="str">
        <f t="shared" ca="1" si="17"/>
        <v>NO</v>
      </c>
      <c r="F1105" s="33">
        <f>IFERROR(LoanData[[#This Row],[EMI]]/LoanData[[#This Row],[Monthly_Income]]*100," ")</f>
        <v>9.6086059580925891</v>
      </c>
      <c r="G1105" t="str" cm="1">
        <f t="array" ref="G1105">_xlfn.IFS(F1105&gt;40, "High DTI Risk",F1105&gt;=25, "Moderate DTI",F1105&lt;25, "Low DTI")</f>
        <v>Low DTI</v>
      </c>
      <c r="H1105" t="str" cm="1">
        <f t="array" ref="H110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05" t="str">
        <f>_xlfn.XLOOKUP(H1105,Reference_Tables!$B$2:$B$7,Reference_Tables!$C$2:$C$7,,0,1)</f>
        <v>VHR</v>
      </c>
      <c r="J1105" t="str">
        <f>INDEX(Reference_Tables!$D$11:$D$36,MATCH(LoanData[[#This Row],[Branch]],Reference_Tables!$A$11:$A$36,0))</f>
        <v>Priya Yadav</v>
      </c>
      <c r="L1105" s="35"/>
    </row>
    <row r="1106" spans="2:12" ht="15.6" x14ac:dyDescent="0.3">
      <c r="B1106" s="15">
        <f>DATEDIF(Loan_Data!K:K,Loan_Data!L:L,"D")</f>
        <v>22</v>
      </c>
      <c r="C1106" s="15">
        <f ca="1">DATEDIF(LoanData[[#This Row],[Approval_Date]],TODAY(),"M")</f>
        <v>35</v>
      </c>
      <c r="D1106" s="31">
        <f>EDATE(LoanData[[#This Row],[Approval_Date]],LoanData[[#This Row],[Loan_Term_Months]])</f>
        <v>48836</v>
      </c>
      <c r="E1106" t="str">
        <f t="shared" ca="1" si="17"/>
        <v>NO</v>
      </c>
      <c r="F1106" s="33">
        <f>IFERROR(LoanData[[#This Row],[EMI]]/LoanData[[#This Row],[Monthly_Income]]*100," ")</f>
        <v>2.6650910698593422</v>
      </c>
      <c r="G1106" t="str" cm="1">
        <f t="array" ref="G1106">_xlfn.IFS(F1106&gt;40, "High DTI Risk",F1106&gt;=25, "Moderate DTI",F1106&lt;25, "Low DTI")</f>
        <v>Low DTI</v>
      </c>
      <c r="H1106" t="str" cm="1">
        <f t="array" ref="H110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06" t="str">
        <f>_xlfn.XLOOKUP(H1106,Reference_Tables!$B$2:$B$7,Reference_Tables!$C$2:$C$7,,0,1)</f>
        <v>HR</v>
      </c>
      <c r="J1106" t="str">
        <f>INDEX(Reference_Tables!$D$11:$D$36,MATCH(LoanData[[#This Row],[Branch]],Reference_Tables!$A$11:$A$36,0))</f>
        <v>Deepak Nair</v>
      </c>
      <c r="L1106" s="35"/>
    </row>
    <row r="1107" spans="2:12" ht="15.6" x14ac:dyDescent="0.3">
      <c r="B1107" s="15">
        <f>DATEDIF(Loan_Data!K:K,Loan_Data!L:L,"D")</f>
        <v>5</v>
      </c>
      <c r="C1107" s="15">
        <f ca="1">DATEDIF(LoanData[[#This Row],[Approval_Date]],TODAY(),"M")</f>
        <v>49</v>
      </c>
      <c r="D1107" s="31">
        <f>EDATE(LoanData[[#This Row],[Approval_Date]],LoanData[[#This Row],[Loan_Term_Months]])</f>
        <v>48401</v>
      </c>
      <c r="E1107" t="str">
        <f t="shared" ca="1" si="17"/>
        <v>NO</v>
      </c>
      <c r="F1107" s="33">
        <f>IFERROR(LoanData[[#This Row],[EMI]]/LoanData[[#This Row],[Monthly_Income]]*100," ")</f>
        <v>3.0277124417922439</v>
      </c>
      <c r="G1107" t="str" cm="1">
        <f t="array" ref="G1107">_xlfn.IFS(F1107&gt;40, "High DTI Risk",F1107&gt;=25, "Moderate DTI",F1107&lt;25, "Low DTI")</f>
        <v>Low DTI</v>
      </c>
      <c r="H1107" t="str" cm="1">
        <f t="array" ref="H110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07" t="str">
        <f>_xlfn.XLOOKUP(H1107,Reference_Tables!$B$2:$B$7,Reference_Tables!$C$2:$C$7,,0,1)</f>
        <v>VHR</v>
      </c>
      <c r="J1107" t="str">
        <f>INDEX(Reference_Tables!$D$11:$D$36,MATCH(LoanData[[#This Row],[Branch]],Reference_Tables!$A$11:$A$36,0))</f>
        <v>Suresh Menon</v>
      </c>
      <c r="L1107" s="35"/>
    </row>
    <row r="1108" spans="2:12" ht="15.6" x14ac:dyDescent="0.3">
      <c r="B1108" s="15">
        <f>DATEDIF(Loan_Data!K:K,Loan_Data!L:L,"D")</f>
        <v>8</v>
      </c>
      <c r="C1108" s="15">
        <f ca="1">DATEDIF(LoanData[[#This Row],[Approval_Date]],TODAY(),"M")</f>
        <v>47</v>
      </c>
      <c r="D1108" s="31">
        <f>EDATE(LoanData[[#This Row],[Approval_Date]],LoanData[[#This Row],[Loan_Term_Months]])</f>
        <v>46253</v>
      </c>
      <c r="E1108" t="str">
        <f t="shared" ca="1" si="17"/>
        <v>NO</v>
      </c>
      <c r="F1108" s="33">
        <f>IFERROR(LoanData[[#This Row],[EMI]]/LoanData[[#This Row],[Monthly_Income]]*100," ")</f>
        <v>1.4546091083971491</v>
      </c>
      <c r="G1108" t="str" cm="1">
        <f t="array" ref="G1108">_xlfn.IFS(F1108&gt;40, "High DTI Risk",F1108&gt;=25, "Moderate DTI",F1108&lt;25, "Low DTI")</f>
        <v>Low DTI</v>
      </c>
      <c r="H1108" t="str" cm="1">
        <f t="array" ref="H110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08" t="str">
        <f>_xlfn.XLOOKUP(H1108,Reference_Tables!$B$2:$B$7,Reference_Tables!$C$2:$C$7,,0,1)</f>
        <v>VHR</v>
      </c>
      <c r="J1108" t="str">
        <f>INDEX(Reference_Tables!$D$11:$D$36,MATCH(LoanData[[#This Row],[Branch]],Reference_Tables!$A$11:$A$36,0))</f>
        <v>Debashis Das</v>
      </c>
      <c r="L1108" s="35"/>
    </row>
    <row r="1109" spans="2:12" ht="15.6" x14ac:dyDescent="0.3">
      <c r="B1109" s="15">
        <f>DATEDIF(Loan_Data!K:K,Loan_Data!L:L,"D")</f>
        <v>25</v>
      </c>
      <c r="C1109" s="15">
        <f ca="1">DATEDIF(LoanData[[#This Row],[Approval_Date]],TODAY(),"M")</f>
        <v>52</v>
      </c>
      <c r="D1109" s="31">
        <f>EDATE(LoanData[[#This Row],[Approval_Date]],LoanData[[#This Row],[Loan_Term_Months]])</f>
        <v>51958</v>
      </c>
      <c r="E1109" t="str">
        <f t="shared" ca="1" si="17"/>
        <v>NO</v>
      </c>
      <c r="F1109" s="33">
        <f>IFERROR(LoanData[[#This Row],[EMI]]/LoanData[[#This Row],[Monthly_Income]]*100," ")</f>
        <v>23.390545884961156</v>
      </c>
      <c r="G1109" t="str" cm="1">
        <f t="array" ref="G1109">_xlfn.IFS(F1109&gt;40, "High DTI Risk",F1109&gt;=25, "Moderate DTI",F1109&lt;25, "Low DTI")</f>
        <v>Low DTI</v>
      </c>
      <c r="H1109" t="str" cm="1">
        <f t="array" ref="H110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09" t="str">
        <f>_xlfn.XLOOKUP(H1109,Reference_Tables!$B$2:$B$7,Reference_Tables!$C$2:$C$7,,0,1)</f>
        <v>VHR</v>
      </c>
      <c r="J1109" t="str">
        <f>INDEX(Reference_Tables!$D$11:$D$36,MATCH(LoanData[[#This Row],[Branch]],Reference_Tables!$A$11:$A$36,0))</f>
        <v>Priya Yadav</v>
      </c>
      <c r="L1109" s="35"/>
    </row>
    <row r="1110" spans="2:12" ht="15.6" x14ac:dyDescent="0.3">
      <c r="B1110" s="15">
        <f>DATEDIF(Loan_Data!K:K,Loan_Data!L:L,"D")</f>
        <v>23</v>
      </c>
      <c r="C1110" s="15">
        <f ca="1">DATEDIF(LoanData[[#This Row],[Approval_Date]],TODAY(),"M")</f>
        <v>59</v>
      </c>
      <c r="D1110" s="31">
        <f>EDATE(LoanData[[#This Row],[Approval_Date]],LoanData[[#This Row],[Loan_Term_Months]])</f>
        <v>49913</v>
      </c>
      <c r="E1110" t="str">
        <f t="shared" ca="1" si="17"/>
        <v>NO</v>
      </c>
      <c r="F1110" s="33">
        <f>IFERROR(LoanData[[#This Row],[EMI]]/LoanData[[#This Row],[Monthly_Income]]*100," ")</f>
        <v>1.0527824149369864</v>
      </c>
      <c r="G1110" t="str" cm="1">
        <f t="array" ref="G1110">_xlfn.IFS(F1110&gt;40, "High DTI Risk",F1110&gt;=25, "Moderate DTI",F1110&lt;25, "Low DTI")</f>
        <v>Low DTI</v>
      </c>
      <c r="H1110" t="str" cm="1">
        <f t="array" ref="H111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10" t="str">
        <f>_xlfn.XLOOKUP(H1110,Reference_Tables!$B$2:$B$7,Reference_Tables!$C$2:$C$7,,0,1)</f>
        <v>LR</v>
      </c>
      <c r="J1110" t="str">
        <f>INDEX(Reference_Tables!$D$11:$D$36,MATCH(LoanData[[#This Row],[Branch]],Reference_Tables!$A$11:$A$36,0))</f>
        <v>Jigar Mehta</v>
      </c>
      <c r="L1110" s="35"/>
    </row>
    <row r="1111" spans="2:12" ht="15.6" x14ac:dyDescent="0.3">
      <c r="B1111" s="15">
        <f>DATEDIF(Loan_Data!K:K,Loan_Data!L:L,"D")</f>
        <v>27</v>
      </c>
      <c r="C1111" s="15">
        <f ca="1">DATEDIF(LoanData[[#This Row],[Approval_Date]],TODAY(),"M")</f>
        <v>54</v>
      </c>
      <c r="D1111" s="31">
        <f>EDATE(LoanData[[#This Row],[Approval_Date]],LoanData[[#This Row],[Loan_Term_Months]])</f>
        <v>47162</v>
      </c>
      <c r="E1111" t="str">
        <f t="shared" ca="1" si="17"/>
        <v>NO</v>
      </c>
      <c r="F1111" s="33">
        <f>IFERROR(LoanData[[#This Row],[EMI]]/LoanData[[#This Row],[Monthly_Income]]*100," ")</f>
        <v>3.6470769362969753</v>
      </c>
      <c r="G1111" t="str" cm="1">
        <f t="array" ref="G1111">_xlfn.IFS(F1111&gt;40, "High DTI Risk",F1111&gt;=25, "Moderate DTI",F1111&lt;25, "Low DTI")</f>
        <v>Low DTI</v>
      </c>
      <c r="H1111" t="str" cm="1">
        <f t="array" ref="H111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11" t="str">
        <f>_xlfn.XLOOKUP(H1111,Reference_Tables!$B$2:$B$7,Reference_Tables!$C$2:$C$7,,0,1)</f>
        <v>VHR</v>
      </c>
      <c r="J1111" t="str">
        <f>INDEX(Reference_Tables!$D$11:$D$36,MATCH(LoanData[[#This Row],[Branch]],Reference_Tables!$A$11:$A$36,0))</f>
        <v>Tapan Panda</v>
      </c>
      <c r="L1111" s="35"/>
    </row>
    <row r="1112" spans="2:12" ht="15.6" x14ac:dyDescent="0.3">
      <c r="B1112" s="15">
        <f>DATEDIF(Loan_Data!K:K,Loan_Data!L:L,"D")</f>
        <v>8</v>
      </c>
      <c r="C1112" s="15">
        <f ca="1">DATEDIF(LoanData[[#This Row],[Approval_Date]],TODAY(),"M")</f>
        <v>40</v>
      </c>
      <c r="D1112" s="31">
        <f>EDATE(LoanData[[#This Row],[Approval_Date]],LoanData[[#This Row],[Loan_Term_Months]])</f>
        <v>47572</v>
      </c>
      <c r="E1112" t="str">
        <f t="shared" ca="1" si="17"/>
        <v>NO</v>
      </c>
      <c r="F1112" s="33">
        <f>IFERROR(LoanData[[#This Row],[EMI]]/LoanData[[#This Row],[Monthly_Income]]*100," ")</f>
        <v>43.968277268093779</v>
      </c>
      <c r="G1112" t="str" cm="1">
        <f t="array" ref="G1112">_xlfn.IFS(F1112&gt;40, "High DTI Risk",F1112&gt;=25, "Moderate DTI",F1112&lt;25, "Low DTI")</f>
        <v>High DTI Risk</v>
      </c>
      <c r="H1112" t="str" cm="1">
        <f t="array" ref="H111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12" t="str">
        <f>_xlfn.XLOOKUP(H1112,Reference_Tables!$B$2:$B$7,Reference_Tables!$C$2:$C$7,,0,1)</f>
        <v>VHR</v>
      </c>
      <c r="J1112" t="str">
        <f>INDEX(Reference_Tables!$D$11:$D$36,MATCH(LoanData[[#This Row],[Branch]],Reference_Tables!$A$11:$A$36,0))</f>
        <v>Puja Chatterjee</v>
      </c>
      <c r="L1112" s="35"/>
    </row>
    <row r="1113" spans="2:12" ht="15.6" x14ac:dyDescent="0.3">
      <c r="B1113" s="15">
        <f>DATEDIF(Loan_Data!K:K,Loan_Data!L:L,"D")</f>
        <v>5</v>
      </c>
      <c r="C1113" s="15">
        <f ca="1">DATEDIF(LoanData[[#This Row],[Approval_Date]],TODAY(),"M")</f>
        <v>40</v>
      </c>
      <c r="D1113" s="31">
        <f>EDATE(LoanData[[#This Row],[Approval_Date]],LoanData[[#This Row],[Loan_Term_Months]])</f>
        <v>46478</v>
      </c>
      <c r="E1113" t="str">
        <f t="shared" ca="1" si="17"/>
        <v>NO</v>
      </c>
      <c r="F1113" s="33">
        <f>IFERROR(LoanData[[#This Row],[EMI]]/LoanData[[#This Row],[Monthly_Income]]*100," ")</f>
        <v>86.715735053400962</v>
      </c>
      <c r="G1113" t="str" cm="1">
        <f t="array" ref="G1113">_xlfn.IFS(F1113&gt;40, "High DTI Risk",F1113&gt;=25, "Moderate DTI",F1113&lt;25, "Low DTI")</f>
        <v>High DTI Risk</v>
      </c>
      <c r="H1113" t="str" cm="1">
        <f t="array" ref="H111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13" t="str">
        <f>_xlfn.XLOOKUP(H1113,Reference_Tables!$B$2:$B$7,Reference_Tables!$C$2:$C$7,,0,1)</f>
        <v>LR</v>
      </c>
      <c r="J1113" t="str">
        <f>INDEX(Reference_Tables!$D$11:$D$36,MATCH(LoanData[[#This Row],[Branch]],Reference_Tables!$A$11:$A$36,0))</f>
        <v>Deepak Nair</v>
      </c>
      <c r="L1113" s="35"/>
    </row>
    <row r="1114" spans="2:12" ht="15.6" x14ac:dyDescent="0.3">
      <c r="B1114" s="15">
        <f>DATEDIF(Loan_Data!K:K,Loan_Data!L:L,"D")</f>
        <v>7</v>
      </c>
      <c r="C1114" s="15">
        <f ca="1">DATEDIF(LoanData[[#This Row],[Approval_Date]],TODAY(),"M")</f>
        <v>61</v>
      </c>
      <c r="D1114" s="31">
        <f>EDATE(LoanData[[#This Row],[Approval_Date]],LoanData[[#This Row],[Loan_Term_Months]])</f>
        <v>49846</v>
      </c>
      <c r="E1114" t="str">
        <f t="shared" ca="1" si="17"/>
        <v>NO</v>
      </c>
      <c r="F1114" s="33">
        <f>IFERROR(LoanData[[#This Row],[EMI]]/LoanData[[#This Row],[Monthly_Income]]*100," ")</f>
        <v>2.7240062205003683</v>
      </c>
      <c r="G1114" t="str" cm="1">
        <f t="array" ref="G1114">_xlfn.IFS(F1114&gt;40, "High DTI Risk",F1114&gt;=25, "Moderate DTI",F1114&lt;25, "Low DTI")</f>
        <v>Low DTI</v>
      </c>
      <c r="H1114" t="str" cm="1">
        <f t="array" ref="H111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14" t="str">
        <f>_xlfn.XLOOKUP(H1114,Reference_Tables!$B$2:$B$7,Reference_Tables!$C$2:$C$7,,0,1)</f>
        <v>VHR</v>
      </c>
      <c r="J1114" t="str">
        <f>INDEX(Reference_Tables!$D$11:$D$36,MATCH(LoanData[[#This Row],[Branch]],Reference_Tables!$A$11:$A$36,0))</f>
        <v>Lakshmi Reddy</v>
      </c>
      <c r="L1114" s="35"/>
    </row>
    <row r="1115" spans="2:12" ht="15.6" x14ac:dyDescent="0.3">
      <c r="B1115" s="15">
        <f>DATEDIF(Loan_Data!K:K,Loan_Data!L:L,"D")</f>
        <v>4</v>
      </c>
      <c r="C1115" s="15">
        <f ca="1">DATEDIF(LoanData[[#This Row],[Approval_Date]],TODAY(),"M")</f>
        <v>42</v>
      </c>
      <c r="D1115" s="31">
        <f>EDATE(LoanData[[#This Row],[Approval_Date]],LoanData[[#This Row],[Loan_Term_Months]])</f>
        <v>50431</v>
      </c>
      <c r="E1115" t="str">
        <f t="shared" ca="1" si="17"/>
        <v>NO</v>
      </c>
      <c r="F1115" s="33">
        <f>IFERROR(LoanData[[#This Row],[EMI]]/LoanData[[#This Row],[Monthly_Income]]*100," ")</f>
        <v>9.8723111237519277</v>
      </c>
      <c r="G1115" t="str" cm="1">
        <f t="array" ref="G1115">_xlfn.IFS(F1115&gt;40, "High DTI Risk",F1115&gt;=25, "Moderate DTI",F1115&lt;25, "Low DTI")</f>
        <v>Low DTI</v>
      </c>
      <c r="H1115" t="str" cm="1">
        <f t="array" ref="H111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15" t="str">
        <f>_xlfn.XLOOKUP(H1115,Reference_Tables!$B$2:$B$7,Reference_Tables!$C$2:$C$7,,0,1)</f>
        <v>HR</v>
      </c>
      <c r="J1115" t="str">
        <f>INDEX(Reference_Tables!$D$11:$D$36,MATCH(LoanData[[#This Row],[Branch]],Reference_Tables!$A$11:$A$36,0))</f>
        <v>Ananya Sharma</v>
      </c>
      <c r="L1115" s="35"/>
    </row>
    <row r="1116" spans="2:12" ht="15.6" x14ac:dyDescent="0.3">
      <c r="B1116" s="15">
        <f>DATEDIF(Loan_Data!K:K,Loan_Data!L:L,"D")</f>
        <v>26</v>
      </c>
      <c r="C1116" s="15">
        <f ca="1">DATEDIF(LoanData[[#This Row],[Approval_Date]],TODAY(),"M")</f>
        <v>47</v>
      </c>
      <c r="D1116" s="31">
        <f>EDATE(LoanData[[#This Row],[Approval_Date]],LoanData[[#This Row],[Loan_Term_Months]])</f>
        <v>47369</v>
      </c>
      <c r="E1116" t="str">
        <f t="shared" ca="1" si="17"/>
        <v>NO</v>
      </c>
      <c r="F1116" s="33">
        <f>IFERROR(LoanData[[#This Row],[EMI]]/LoanData[[#This Row],[Monthly_Income]]*100," ")</f>
        <v>18.650283356098697</v>
      </c>
      <c r="G1116" t="str" cm="1">
        <f t="array" ref="G1116">_xlfn.IFS(F1116&gt;40, "High DTI Risk",F1116&gt;=25, "Moderate DTI",F1116&lt;25, "Low DTI")</f>
        <v>Low DTI</v>
      </c>
      <c r="H1116" t="str" cm="1">
        <f t="array" ref="H111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16" t="str">
        <f>_xlfn.XLOOKUP(H1116,Reference_Tables!$B$2:$B$7,Reference_Tables!$C$2:$C$7,,0,1)</f>
        <v>VHR</v>
      </c>
      <c r="J1116" t="str">
        <f>INDEX(Reference_Tables!$D$11:$D$36,MATCH(LoanData[[#This Row],[Branch]],Reference_Tables!$A$11:$A$36,0))</f>
        <v>Puja Chatterjee</v>
      </c>
      <c r="L1116" s="35"/>
    </row>
    <row r="1117" spans="2:12" ht="15.6" x14ac:dyDescent="0.3">
      <c r="B1117" s="15">
        <f>DATEDIF(Loan_Data!K:K,Loan_Data!L:L,"D")</f>
        <v>21</v>
      </c>
      <c r="C1117" s="15">
        <f ca="1">DATEDIF(LoanData[[#This Row],[Approval_Date]],TODAY(),"M")</f>
        <v>43</v>
      </c>
      <c r="D1117" s="31">
        <f>EDATE(LoanData[[#This Row],[Approval_Date]],LoanData[[#This Row],[Loan_Term_Months]])</f>
        <v>50417</v>
      </c>
      <c r="E1117" t="str">
        <f t="shared" ca="1" si="17"/>
        <v>NO</v>
      </c>
      <c r="F1117" s="33">
        <f>IFERROR(LoanData[[#This Row],[EMI]]/LoanData[[#This Row],[Monthly_Income]]*100," ")</f>
        <v>1.8397739718267307</v>
      </c>
      <c r="G1117" t="str" cm="1">
        <f t="array" ref="G1117">_xlfn.IFS(F1117&gt;40, "High DTI Risk",F1117&gt;=25, "Moderate DTI",F1117&lt;25, "Low DTI")</f>
        <v>Low DTI</v>
      </c>
      <c r="H1117" t="str" cm="1">
        <f t="array" ref="H111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17" t="str">
        <f>_xlfn.XLOOKUP(H1117,Reference_Tables!$B$2:$B$7,Reference_Tables!$C$2:$C$7,,0,1)</f>
        <v>VHR</v>
      </c>
      <c r="J1117" t="str">
        <f>INDEX(Reference_Tables!$D$11:$D$36,MATCH(LoanData[[#This Row],[Branch]],Reference_Tables!$A$11:$A$36,0))</f>
        <v>Sandeep Saxena</v>
      </c>
      <c r="L1117" s="35"/>
    </row>
    <row r="1118" spans="2:12" ht="15.6" x14ac:dyDescent="0.3">
      <c r="B1118" s="15">
        <f>DATEDIF(Loan_Data!K:K,Loan_Data!L:L,"D")</f>
        <v>23</v>
      </c>
      <c r="C1118" s="15">
        <f ca="1">DATEDIF(LoanData[[#This Row],[Approval_Date]],TODAY(),"M")</f>
        <v>54</v>
      </c>
      <c r="D1118" s="31">
        <f>EDATE(LoanData[[#This Row],[Approval_Date]],LoanData[[#This Row],[Loan_Term_Months]])</f>
        <v>50085</v>
      </c>
      <c r="E1118" t="str">
        <f t="shared" ca="1" si="17"/>
        <v>NO</v>
      </c>
      <c r="F1118" s="33">
        <f>IFERROR(LoanData[[#This Row],[EMI]]/LoanData[[#This Row],[Monthly_Income]]*100," ")</f>
        <v>2.4892682769101433</v>
      </c>
      <c r="G1118" t="str" cm="1">
        <f t="array" ref="G1118">_xlfn.IFS(F1118&gt;40, "High DTI Risk",F1118&gt;=25, "Moderate DTI",F1118&lt;25, "Low DTI")</f>
        <v>Low DTI</v>
      </c>
      <c r="H1118" t="str" cm="1">
        <f t="array" ref="H111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18" t="str">
        <f>_xlfn.XLOOKUP(H1118,Reference_Tables!$B$2:$B$7,Reference_Tables!$C$2:$C$7,,0,1)</f>
        <v>MR</v>
      </c>
      <c r="J1118" t="str">
        <f>INDEX(Reference_Tables!$D$11:$D$36,MATCH(LoanData[[#This Row],[Branch]],Reference_Tables!$A$11:$A$36,0))</f>
        <v>Priya Yadav</v>
      </c>
      <c r="L1118" s="35"/>
    </row>
    <row r="1119" spans="2:12" ht="15.6" x14ac:dyDescent="0.3">
      <c r="B1119" s="15">
        <f>DATEDIF(Loan_Data!K:K,Loan_Data!L:L,"D")</f>
        <v>8</v>
      </c>
      <c r="C1119" s="15">
        <f ca="1">DATEDIF(LoanData[[#This Row],[Approval_Date]],TODAY(),"M")</f>
        <v>51</v>
      </c>
      <c r="D1119" s="31">
        <f>EDATE(LoanData[[#This Row],[Approval_Date]],LoanData[[#This Row],[Loan_Term_Months]])</f>
        <v>48348</v>
      </c>
      <c r="E1119" t="str">
        <f t="shared" ca="1" si="17"/>
        <v>NO</v>
      </c>
      <c r="F1119" s="33">
        <f>IFERROR(LoanData[[#This Row],[EMI]]/LoanData[[#This Row],[Monthly_Income]]*100," ")</f>
        <v>13.33381047577725</v>
      </c>
      <c r="G1119" t="str" cm="1">
        <f t="array" ref="G1119">_xlfn.IFS(F1119&gt;40, "High DTI Risk",F1119&gt;=25, "Moderate DTI",F1119&lt;25, "Low DTI")</f>
        <v>Low DTI</v>
      </c>
      <c r="H1119" t="str" cm="1">
        <f t="array" ref="H111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19" t="str">
        <f>_xlfn.XLOOKUP(H1119,Reference_Tables!$B$2:$B$7,Reference_Tables!$C$2:$C$7,,0,1)</f>
        <v>VHR</v>
      </c>
      <c r="J1119" t="str">
        <f>INDEX(Reference_Tables!$D$11:$D$36,MATCH(LoanData[[#This Row],[Branch]],Reference_Tables!$A$11:$A$36,0))</f>
        <v>Sachin Deshpande</v>
      </c>
      <c r="L1119" s="35"/>
    </row>
    <row r="1120" spans="2:12" ht="15.6" x14ac:dyDescent="0.3">
      <c r="B1120" s="15">
        <f>DATEDIF(Loan_Data!K:K,Loan_Data!L:L,"D")</f>
        <v>14</v>
      </c>
      <c r="C1120" s="15">
        <f ca="1">DATEDIF(LoanData[[#This Row],[Approval_Date]],TODAY(),"M")</f>
        <v>64</v>
      </c>
      <c r="D1120" s="31">
        <f>EDATE(LoanData[[#This Row],[Approval_Date]],LoanData[[#This Row],[Loan_Term_Months]])</f>
        <v>51597</v>
      </c>
      <c r="E1120" t="str">
        <f t="shared" ca="1" si="17"/>
        <v>NO</v>
      </c>
      <c r="F1120" s="33">
        <f>IFERROR(LoanData[[#This Row],[EMI]]/LoanData[[#This Row],[Monthly_Income]]*100," ")</f>
        <v>15.125724803963658</v>
      </c>
      <c r="G1120" t="str" cm="1">
        <f t="array" ref="G1120">_xlfn.IFS(F1120&gt;40, "High DTI Risk",F1120&gt;=25, "Moderate DTI",F1120&lt;25, "Low DTI")</f>
        <v>Low DTI</v>
      </c>
      <c r="H1120" t="str" cm="1">
        <f t="array" ref="H112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20" t="str">
        <f>_xlfn.XLOOKUP(H1120,Reference_Tables!$B$2:$B$7,Reference_Tables!$C$2:$C$7,,0,1)</f>
        <v>LR</v>
      </c>
      <c r="J1120" t="str">
        <f>INDEX(Reference_Tables!$D$11:$D$36,MATCH(LoanData[[#This Row],[Branch]],Reference_Tables!$A$11:$A$36,0))</f>
        <v>Priyanka Gupta</v>
      </c>
      <c r="L1120" s="35"/>
    </row>
    <row r="1121" spans="2:12" ht="15.6" x14ac:dyDescent="0.3">
      <c r="B1121" s="15">
        <f>DATEDIF(Loan_Data!K:K,Loan_Data!L:L,"D")</f>
        <v>23</v>
      </c>
      <c r="C1121" s="15">
        <f ca="1">DATEDIF(LoanData[[#This Row],[Approval_Date]],TODAY(),"M")</f>
        <v>49</v>
      </c>
      <c r="D1121" s="31">
        <f>EDATE(LoanData[[#This Row],[Approval_Date]],LoanData[[#This Row],[Loan_Term_Months]])</f>
        <v>50225</v>
      </c>
      <c r="E1121" t="str">
        <f t="shared" ca="1" si="17"/>
        <v>NO</v>
      </c>
      <c r="F1121" s="33">
        <f>IFERROR(LoanData[[#This Row],[EMI]]/LoanData[[#This Row],[Monthly_Income]]*100," ")</f>
        <v>16.735817698595202</v>
      </c>
      <c r="G1121" t="str" cm="1">
        <f t="array" ref="G1121">_xlfn.IFS(F1121&gt;40, "High DTI Risk",F1121&gt;=25, "Moderate DTI",F1121&lt;25, "Low DTI")</f>
        <v>Low DTI</v>
      </c>
      <c r="H1121" t="str" cm="1">
        <f t="array" ref="H112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21" t="str">
        <f>_xlfn.XLOOKUP(H1121,Reference_Tables!$B$2:$B$7,Reference_Tables!$C$2:$C$7,,0,1)</f>
        <v>VHR</v>
      </c>
      <c r="J1121" t="str">
        <f>INDEX(Reference_Tables!$D$11:$D$36,MATCH(LoanData[[#This Row],[Branch]],Reference_Tables!$A$11:$A$36,0))</f>
        <v>Suresh Menon</v>
      </c>
      <c r="L1121" s="35"/>
    </row>
    <row r="1122" spans="2:12" ht="15.6" x14ac:dyDescent="0.3">
      <c r="B1122" s="15">
        <f>DATEDIF(Loan_Data!K:K,Loan_Data!L:L,"D")</f>
        <v>18</v>
      </c>
      <c r="C1122" s="15">
        <f ca="1">DATEDIF(LoanData[[#This Row],[Approval_Date]],TODAY(),"M")</f>
        <v>48</v>
      </c>
      <c r="D1122" s="31">
        <f>EDATE(LoanData[[#This Row],[Approval_Date]],LoanData[[#This Row],[Loan_Term_Months]])</f>
        <v>50248</v>
      </c>
      <c r="E1122" t="str">
        <f t="shared" ca="1" si="17"/>
        <v>NO</v>
      </c>
      <c r="F1122" s="33">
        <f>IFERROR(LoanData[[#This Row],[EMI]]/LoanData[[#This Row],[Monthly_Income]]*100," ")</f>
        <v>0.51905774646717229</v>
      </c>
      <c r="G1122" t="str" cm="1">
        <f t="array" ref="G1122">_xlfn.IFS(F1122&gt;40, "High DTI Risk",F1122&gt;=25, "Moderate DTI",F1122&lt;25, "Low DTI")</f>
        <v>Low DTI</v>
      </c>
      <c r="H1122" t="str" cm="1">
        <f t="array" ref="H112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22" t="str">
        <f>_xlfn.XLOOKUP(H1122,Reference_Tables!$B$2:$B$7,Reference_Tables!$C$2:$C$7,,0,1)</f>
        <v>LR</v>
      </c>
      <c r="J1122" t="str">
        <f>INDEX(Reference_Tables!$D$11:$D$36,MATCH(LoanData[[#This Row],[Branch]],Reference_Tables!$A$11:$A$36,0))</f>
        <v>Priyanka Gupta</v>
      </c>
      <c r="L1122" s="35"/>
    </row>
    <row r="1123" spans="2:12" ht="15.6" x14ac:dyDescent="0.3">
      <c r="B1123" s="15">
        <f>DATEDIF(Loan_Data!K:K,Loan_Data!L:L,"D")</f>
        <v>6</v>
      </c>
      <c r="C1123" s="15">
        <f ca="1">DATEDIF(LoanData[[#This Row],[Approval_Date]],TODAY(),"M")</f>
        <v>46</v>
      </c>
      <c r="D1123" s="31">
        <f>EDATE(LoanData[[#This Row],[Approval_Date]],LoanData[[#This Row],[Loan_Term_Months]])</f>
        <v>47383</v>
      </c>
      <c r="E1123" t="str">
        <f t="shared" ca="1" si="17"/>
        <v>NO</v>
      </c>
      <c r="F1123" s="33">
        <f>IFERROR(LoanData[[#This Row],[EMI]]/LoanData[[#This Row],[Monthly_Income]]*100," ")</f>
        <v>0.78695664351333194</v>
      </c>
      <c r="G1123" t="str" cm="1">
        <f t="array" ref="G1123">_xlfn.IFS(F1123&gt;40, "High DTI Risk",F1123&gt;=25, "Moderate DTI",F1123&lt;25, "Low DTI")</f>
        <v>Low DTI</v>
      </c>
      <c r="H1123" t="str" cm="1">
        <f t="array" ref="H112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23" t="str">
        <f>_xlfn.XLOOKUP(H1123,Reference_Tables!$B$2:$B$7,Reference_Tables!$C$2:$C$7,,0,1)</f>
        <v>LR</v>
      </c>
      <c r="J1123" t="str">
        <f>INDEX(Reference_Tables!$D$11:$D$36,MATCH(LoanData[[#This Row],[Branch]],Reference_Tables!$A$11:$A$36,0))</f>
        <v>Meena Iyer</v>
      </c>
      <c r="L1123" s="35"/>
    </row>
    <row r="1124" spans="2:12" ht="15.6" x14ac:dyDescent="0.3">
      <c r="B1124" s="15">
        <f>DATEDIF(Loan_Data!K:K,Loan_Data!L:L,"D")</f>
        <v>17</v>
      </c>
      <c r="C1124" s="15">
        <f ca="1">DATEDIF(LoanData[[#This Row],[Approval_Date]],TODAY(),"M")</f>
        <v>33</v>
      </c>
      <c r="D1124" s="31">
        <f>EDATE(LoanData[[#This Row],[Approval_Date]],LoanData[[#This Row],[Loan_Term_Months]])</f>
        <v>48897</v>
      </c>
      <c r="E1124" t="str">
        <f t="shared" ca="1" si="17"/>
        <v>NO</v>
      </c>
      <c r="F1124" s="33" t="str">
        <f>IFERROR(LoanData[[#This Row],[EMI]]/LoanData[[#This Row],[Monthly_Income]]*100," ")</f>
        <v xml:space="preserve"> </v>
      </c>
      <c r="G1124" t="str" cm="1">
        <f t="array" ref="G1124">_xlfn.IFS(F1124&gt;40, "High DTI Risk",F1124&gt;=25, "Moderate DTI",F1124&lt;25, "Low DTI")</f>
        <v>High DTI Risk</v>
      </c>
      <c r="H1124" t="str" cm="1">
        <f t="array" ref="H112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24" t="str">
        <f>_xlfn.XLOOKUP(H1124,Reference_Tables!$B$2:$B$7,Reference_Tables!$C$2:$C$7,,0,1)</f>
        <v>LR</v>
      </c>
      <c r="J1124" t="str">
        <f>INDEX(Reference_Tables!$D$11:$D$36,MATCH(LoanData[[#This Row],[Branch]],Reference_Tables!$A$11:$A$36,0))</f>
        <v>Suman Tiwari</v>
      </c>
      <c r="L1124" s="35"/>
    </row>
    <row r="1125" spans="2:12" ht="15.6" x14ac:dyDescent="0.3">
      <c r="B1125" s="15">
        <f>DATEDIF(Loan_Data!K:K,Loan_Data!L:L,"D")</f>
        <v>4</v>
      </c>
      <c r="C1125" s="15">
        <f ca="1">DATEDIF(LoanData[[#This Row],[Approval_Date]],TODAY(),"M")</f>
        <v>42</v>
      </c>
      <c r="D1125" s="31">
        <f>EDATE(LoanData[[#This Row],[Approval_Date]],LoanData[[#This Row],[Loan_Term_Months]])</f>
        <v>50448</v>
      </c>
      <c r="E1125" t="str">
        <f t="shared" ca="1" si="17"/>
        <v>NO</v>
      </c>
      <c r="F1125" s="33">
        <f>IFERROR(LoanData[[#This Row],[EMI]]/LoanData[[#This Row],[Monthly_Income]]*100," ")</f>
        <v>8.0708476477599369</v>
      </c>
      <c r="G1125" t="str" cm="1">
        <f t="array" ref="G1125">_xlfn.IFS(F1125&gt;40, "High DTI Risk",F1125&gt;=25, "Moderate DTI",F1125&lt;25, "Low DTI")</f>
        <v>Low DTI</v>
      </c>
      <c r="H1125" t="str" cm="1">
        <f t="array" ref="H112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25" t="str">
        <f>_xlfn.XLOOKUP(H1125,Reference_Tables!$B$2:$B$7,Reference_Tables!$C$2:$C$7,,0,1)</f>
        <v>VHR</v>
      </c>
      <c r="J1125" t="str">
        <f>INDEX(Reference_Tables!$D$11:$D$36,MATCH(LoanData[[#This Row],[Branch]],Reference_Tables!$A$11:$A$36,0))</f>
        <v>Hetal Patel</v>
      </c>
      <c r="L1125" s="35"/>
    </row>
    <row r="1126" spans="2:12" ht="15.6" x14ac:dyDescent="0.3">
      <c r="B1126" s="15">
        <f>DATEDIF(Loan_Data!K:K,Loan_Data!L:L,"D")</f>
        <v>20</v>
      </c>
      <c r="C1126" s="15">
        <f ca="1">DATEDIF(LoanData[[#This Row],[Approval_Date]],TODAY(),"M")</f>
        <v>49</v>
      </c>
      <c r="D1126" s="31">
        <f>EDATE(LoanData[[#This Row],[Approval_Date]],LoanData[[#This Row],[Loan_Term_Months]])</f>
        <v>46211</v>
      </c>
      <c r="E1126" t="str">
        <f t="shared" ca="1" si="17"/>
        <v>YES</v>
      </c>
      <c r="F1126" s="33">
        <f>IFERROR(LoanData[[#This Row],[EMI]]/LoanData[[#This Row],[Monthly_Income]]*100," ")</f>
        <v>3.3206398056764184</v>
      </c>
      <c r="G1126" t="str" cm="1">
        <f t="array" ref="G1126">_xlfn.IFS(F1126&gt;40, "High DTI Risk",F1126&gt;=25, "Moderate DTI",F1126&lt;25, "Low DTI")</f>
        <v>Low DTI</v>
      </c>
      <c r="H1126" t="str" cm="1">
        <f t="array" ref="H112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26" t="str">
        <f>_xlfn.XLOOKUP(H1126,Reference_Tables!$B$2:$B$7,Reference_Tables!$C$2:$C$7,,0,1)</f>
        <v>HR</v>
      </c>
      <c r="J1126" t="str">
        <f>INDEX(Reference_Tables!$D$11:$D$36,MATCH(LoanData[[#This Row],[Branch]],Reference_Tables!$A$11:$A$36,0))</f>
        <v>Rituparna Bora</v>
      </c>
      <c r="L1126" s="35"/>
    </row>
    <row r="1127" spans="2:12" ht="15.6" x14ac:dyDescent="0.3">
      <c r="B1127" s="15">
        <f>DATEDIF(Loan_Data!K:K,Loan_Data!L:L,"D")</f>
        <v>3</v>
      </c>
      <c r="C1127" s="15">
        <f ca="1">DATEDIF(LoanData[[#This Row],[Approval_Date]],TODAY(),"M")</f>
        <v>38</v>
      </c>
      <c r="D1127" s="31">
        <f>EDATE(LoanData[[#This Row],[Approval_Date]],LoanData[[#This Row],[Loan_Term_Months]])</f>
        <v>46181</v>
      </c>
      <c r="E1127" t="str">
        <f t="shared" ca="1" si="17"/>
        <v>YES</v>
      </c>
      <c r="F1127" s="33">
        <f>IFERROR(LoanData[[#This Row],[EMI]]/LoanData[[#This Row],[Monthly_Income]]*100," ")</f>
        <v>40.07955619570599</v>
      </c>
      <c r="G1127" t="str" cm="1">
        <f t="array" ref="G1127">_xlfn.IFS(F1127&gt;40, "High DTI Risk",F1127&gt;=25, "Moderate DTI",F1127&lt;25, "Low DTI")</f>
        <v>High DTI Risk</v>
      </c>
      <c r="H1127" t="str" cm="1">
        <f t="array" ref="H112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27" t="str">
        <f>_xlfn.XLOOKUP(H1127,Reference_Tables!$B$2:$B$7,Reference_Tables!$C$2:$C$7,,0,1)</f>
        <v>VHR</v>
      </c>
      <c r="J1127" t="str">
        <f>INDEX(Reference_Tables!$D$11:$D$36,MATCH(LoanData[[#This Row],[Branch]],Reference_Tables!$A$11:$A$36,0))</f>
        <v>Anil Mishra</v>
      </c>
      <c r="L1127" s="35"/>
    </row>
    <row r="1128" spans="2:12" ht="15.6" x14ac:dyDescent="0.3">
      <c r="B1128" s="15">
        <f>DATEDIF(Loan_Data!K:K,Loan_Data!L:L,"D")</f>
        <v>16</v>
      </c>
      <c r="C1128" s="15">
        <f ca="1">DATEDIF(LoanData[[#This Row],[Approval_Date]],TODAY(),"M")</f>
        <v>45</v>
      </c>
      <c r="D1128" s="31">
        <f>EDATE(LoanData[[#This Row],[Approval_Date]],LoanData[[#This Row],[Loan_Term_Months]])</f>
        <v>52166</v>
      </c>
      <c r="E1128" t="str">
        <f t="shared" ca="1" si="17"/>
        <v>NO</v>
      </c>
      <c r="F1128" s="33">
        <f>IFERROR(LoanData[[#This Row],[EMI]]/LoanData[[#This Row],[Monthly_Income]]*100," ")</f>
        <v>4.6498724878068574</v>
      </c>
      <c r="G1128" t="str" cm="1">
        <f t="array" ref="G1128">_xlfn.IFS(F1128&gt;40, "High DTI Risk",F1128&gt;=25, "Moderate DTI",F1128&lt;25, "Low DTI")</f>
        <v>Low DTI</v>
      </c>
      <c r="H1128" t="str" cm="1">
        <f t="array" ref="H112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28" t="str">
        <f>_xlfn.XLOOKUP(H1128,Reference_Tables!$B$2:$B$7,Reference_Tables!$C$2:$C$7,,0,1)</f>
        <v>VHR</v>
      </c>
      <c r="J1128" t="str">
        <f>INDEX(Reference_Tables!$D$11:$D$36,MATCH(LoanData[[#This Row],[Branch]],Reference_Tables!$A$11:$A$36,0))</f>
        <v>Jigar Mehta</v>
      </c>
      <c r="L1128" s="35"/>
    </row>
    <row r="1129" spans="2:12" ht="15.6" x14ac:dyDescent="0.3">
      <c r="B1129" s="15">
        <f>DATEDIF(Loan_Data!K:K,Loan_Data!L:L,"D")</f>
        <v>14</v>
      </c>
      <c r="C1129" s="15">
        <f ca="1">DATEDIF(LoanData[[#This Row],[Approval_Date]],TODAY(),"M")</f>
        <v>47</v>
      </c>
      <c r="D1129" s="31">
        <f>EDATE(LoanData[[#This Row],[Approval_Date]],LoanData[[#This Row],[Loan_Term_Months]])</f>
        <v>52116</v>
      </c>
      <c r="E1129" t="str">
        <f t="shared" ca="1" si="17"/>
        <v>NO</v>
      </c>
      <c r="F1129" s="33">
        <f>IFERROR(LoanData[[#This Row],[EMI]]/LoanData[[#This Row],[Monthly_Income]]*100," ")</f>
        <v>5.4452986059319599</v>
      </c>
      <c r="G1129" t="str" cm="1">
        <f t="array" ref="G1129">_xlfn.IFS(F1129&gt;40, "High DTI Risk",F1129&gt;=25, "Moderate DTI",F1129&lt;25, "Low DTI")</f>
        <v>Low DTI</v>
      </c>
      <c r="H1129" t="str" cm="1">
        <f t="array" ref="H112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29" t="str">
        <f>_xlfn.XLOOKUP(H1129,Reference_Tables!$B$2:$B$7,Reference_Tables!$C$2:$C$7,,0,1)</f>
        <v>VHR</v>
      </c>
      <c r="J1129" t="str">
        <f>INDEX(Reference_Tables!$D$11:$D$36,MATCH(LoanData[[#This Row],[Branch]],Reference_Tables!$A$11:$A$36,0))</f>
        <v>Deepak Nair</v>
      </c>
      <c r="L1129" s="35"/>
    </row>
    <row r="1130" spans="2:12" ht="15.6" x14ac:dyDescent="0.3">
      <c r="B1130" s="15">
        <f>DATEDIF(Loan_Data!K:K,Loan_Data!L:L,"D")</f>
        <v>12</v>
      </c>
      <c r="C1130" s="15">
        <f ca="1">DATEDIF(LoanData[[#This Row],[Approval_Date]],TODAY(),"M")</f>
        <v>53</v>
      </c>
      <c r="D1130" s="31">
        <f>EDATE(LoanData[[#This Row],[Approval_Date]],LoanData[[#This Row],[Loan_Term_Months]])</f>
        <v>51931</v>
      </c>
      <c r="E1130" t="str">
        <f t="shared" ca="1" si="17"/>
        <v>NO</v>
      </c>
      <c r="F1130" s="33">
        <f>IFERROR(LoanData[[#This Row],[EMI]]/LoanData[[#This Row],[Monthly_Income]]*100," ")</f>
        <v>3.0188378351440246</v>
      </c>
      <c r="G1130" t="str" cm="1">
        <f t="array" ref="G1130">_xlfn.IFS(F1130&gt;40, "High DTI Risk",F1130&gt;=25, "Moderate DTI",F1130&lt;25, "Low DTI")</f>
        <v>Low DTI</v>
      </c>
      <c r="H1130" t="str" cm="1">
        <f t="array" ref="H113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30" t="str">
        <f>_xlfn.XLOOKUP(H1130,Reference_Tables!$B$2:$B$7,Reference_Tables!$C$2:$C$7,,0,1)</f>
        <v>MR</v>
      </c>
      <c r="J1130" t="str">
        <f>INDEX(Reference_Tables!$D$11:$D$36,MATCH(LoanData[[#This Row],[Branch]],Reference_Tables!$A$11:$A$36,0))</f>
        <v>Vikram Malhotra</v>
      </c>
      <c r="L1130" s="35"/>
    </row>
    <row r="1131" spans="2:12" ht="15.6" x14ac:dyDescent="0.3">
      <c r="B1131" s="15">
        <f>DATEDIF(Loan_Data!K:K,Loan_Data!L:L,"D")</f>
        <v>7</v>
      </c>
      <c r="C1131" s="15">
        <f ca="1">DATEDIF(LoanData[[#This Row],[Approval_Date]],TODAY(),"M")</f>
        <v>54</v>
      </c>
      <c r="D1131" s="31">
        <f>EDATE(LoanData[[#This Row],[Approval_Date]],LoanData[[#This Row],[Loan_Term_Months]])</f>
        <v>45701</v>
      </c>
      <c r="E1131" t="str">
        <f t="shared" ca="1" si="17"/>
        <v>YES</v>
      </c>
      <c r="F1131" s="33">
        <f>IFERROR(LoanData[[#This Row],[EMI]]/LoanData[[#This Row],[Monthly_Income]]*100," ")</f>
        <v>4.823586074033301</v>
      </c>
      <c r="G1131" t="str" cm="1">
        <f t="array" ref="G1131">_xlfn.IFS(F1131&gt;40, "High DTI Risk",F1131&gt;=25, "Moderate DTI",F1131&lt;25, "Low DTI")</f>
        <v>Low DTI</v>
      </c>
      <c r="H1131" t="str" cm="1">
        <f t="array" ref="H113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31" t="str">
        <f>_xlfn.XLOOKUP(H1131,Reference_Tables!$B$2:$B$7,Reference_Tables!$C$2:$C$7,,0,1)</f>
        <v>VHR</v>
      </c>
      <c r="J1131" t="str">
        <f>INDEX(Reference_Tables!$D$11:$D$36,MATCH(LoanData[[#This Row],[Branch]],Reference_Tables!$A$11:$A$36,0))</f>
        <v>Hetal Patel</v>
      </c>
      <c r="L1131" s="35"/>
    </row>
    <row r="1132" spans="2:12" ht="15.6" x14ac:dyDescent="0.3">
      <c r="B1132" s="15">
        <f>DATEDIF(Loan_Data!K:K,Loan_Data!L:L,"D")</f>
        <v>16</v>
      </c>
      <c r="C1132" s="15">
        <f ca="1">DATEDIF(LoanData[[#This Row],[Approval_Date]],TODAY(),"M")</f>
        <v>42</v>
      </c>
      <c r="D1132" s="31">
        <f>EDATE(LoanData[[#This Row],[Approval_Date]],LoanData[[#This Row],[Loan_Term_Months]])</f>
        <v>52266</v>
      </c>
      <c r="E1132" t="str">
        <f t="shared" ca="1" si="17"/>
        <v>NO</v>
      </c>
      <c r="F1132" s="33">
        <f>IFERROR(LoanData[[#This Row],[EMI]]/LoanData[[#This Row],[Monthly_Income]]*100," ")</f>
        <v>2.2110114016076134</v>
      </c>
      <c r="G1132" t="str" cm="1">
        <f t="array" ref="G1132">_xlfn.IFS(F1132&gt;40, "High DTI Risk",F1132&gt;=25, "Moderate DTI",F1132&lt;25, "Low DTI")</f>
        <v>Low DTI</v>
      </c>
      <c r="H1132" t="str" cm="1">
        <f t="array" ref="H113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32" t="str">
        <f>_xlfn.XLOOKUP(H1132,Reference_Tables!$B$2:$B$7,Reference_Tables!$C$2:$C$7,,0,1)</f>
        <v>MR</v>
      </c>
      <c r="J1132" t="str">
        <f>INDEX(Reference_Tables!$D$11:$D$36,MATCH(LoanData[[#This Row],[Branch]],Reference_Tables!$A$11:$A$36,0))</f>
        <v>Anil Mishra</v>
      </c>
      <c r="L1132" s="35"/>
    </row>
    <row r="1133" spans="2:12" ht="15.6" x14ac:dyDescent="0.3">
      <c r="B1133" s="15">
        <f>DATEDIF(Loan_Data!K:K,Loan_Data!L:L,"D")</f>
        <v>16</v>
      </c>
      <c r="C1133" s="15">
        <f ca="1">DATEDIF(LoanData[[#This Row],[Approval_Date]],TODAY(),"M")</f>
        <v>36</v>
      </c>
      <c r="D1133" s="31">
        <f>EDATE(LoanData[[#This Row],[Approval_Date]],LoanData[[#This Row],[Loan_Term_Months]])</f>
        <v>50618</v>
      </c>
      <c r="E1133" t="str">
        <f t="shared" ca="1" si="17"/>
        <v>NO</v>
      </c>
      <c r="F1133" s="33">
        <f>IFERROR(LoanData[[#This Row],[EMI]]/LoanData[[#This Row],[Monthly_Income]]*100," ")</f>
        <v>6.492461175051516</v>
      </c>
      <c r="G1133" t="str" cm="1">
        <f t="array" ref="G1133">_xlfn.IFS(F1133&gt;40, "High DTI Risk",F1133&gt;=25, "Moderate DTI",F1133&lt;25, "Low DTI")</f>
        <v>Low DTI</v>
      </c>
      <c r="H1133" t="str" cm="1">
        <f t="array" ref="H113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33" t="str">
        <f>_xlfn.XLOOKUP(H1133,Reference_Tables!$B$2:$B$7,Reference_Tables!$C$2:$C$7,,0,1)</f>
        <v>LR</v>
      </c>
      <c r="J1133" t="str">
        <f>INDEX(Reference_Tables!$D$11:$D$36,MATCH(LoanData[[#This Row],[Branch]],Reference_Tables!$A$11:$A$36,0))</f>
        <v>Puja Chatterjee</v>
      </c>
      <c r="L1133" s="35"/>
    </row>
    <row r="1134" spans="2:12" ht="15.6" x14ac:dyDescent="0.3">
      <c r="B1134" s="15">
        <f>DATEDIF(Loan_Data!K:K,Loan_Data!L:L,"D")</f>
        <v>20</v>
      </c>
      <c r="C1134" s="15">
        <f ca="1">DATEDIF(LoanData[[#This Row],[Approval_Date]],TODAY(),"M")</f>
        <v>56</v>
      </c>
      <c r="D1134" s="31">
        <f>EDATE(LoanData[[#This Row],[Approval_Date]],LoanData[[#This Row],[Loan_Term_Months]])</f>
        <v>51833</v>
      </c>
      <c r="E1134" t="str">
        <f t="shared" ca="1" si="17"/>
        <v>NO</v>
      </c>
      <c r="F1134" s="33">
        <f>IFERROR(LoanData[[#This Row],[EMI]]/LoanData[[#This Row],[Monthly_Income]]*100," ")</f>
        <v>0.92036569382731825</v>
      </c>
      <c r="G1134" t="str" cm="1">
        <f t="array" ref="G1134">_xlfn.IFS(F1134&gt;40, "High DTI Risk",F1134&gt;=25, "Moderate DTI",F1134&lt;25, "Low DTI")</f>
        <v>Low DTI</v>
      </c>
      <c r="H1134" t="str" cm="1">
        <f t="array" ref="H113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34" t="str">
        <f>_xlfn.XLOOKUP(H1134,Reference_Tables!$B$2:$B$7,Reference_Tables!$C$2:$C$7,,0,1)</f>
        <v>VHR</v>
      </c>
      <c r="J1134" t="str">
        <f>INDEX(Reference_Tables!$D$11:$D$36,MATCH(LoanData[[#This Row],[Branch]],Reference_Tables!$A$11:$A$36,0))</f>
        <v>Suresh Menon</v>
      </c>
      <c r="L1134" s="35"/>
    </row>
    <row r="1135" spans="2:12" ht="15.6" x14ac:dyDescent="0.3">
      <c r="B1135" s="15">
        <f>DATEDIF(Loan_Data!K:K,Loan_Data!L:L,"D")</f>
        <v>9</v>
      </c>
      <c r="C1135" s="15">
        <f ca="1">DATEDIF(LoanData[[#This Row],[Approval_Date]],TODAY(),"M")</f>
        <v>57</v>
      </c>
      <c r="D1135" s="31">
        <f>EDATE(LoanData[[#This Row],[Approval_Date]],LoanData[[#This Row],[Loan_Term_Months]])</f>
        <v>47073</v>
      </c>
      <c r="E1135" t="str">
        <f t="shared" ca="1" si="17"/>
        <v>NO</v>
      </c>
      <c r="F1135" s="33">
        <f>IFERROR(LoanData[[#This Row],[EMI]]/LoanData[[#This Row],[Monthly_Income]]*100," ")</f>
        <v>3.6184256595271802</v>
      </c>
      <c r="G1135" t="str" cm="1">
        <f t="array" ref="G1135">_xlfn.IFS(F1135&gt;40, "High DTI Risk",F1135&gt;=25, "Moderate DTI",F1135&lt;25, "Low DTI")</f>
        <v>Low DTI</v>
      </c>
      <c r="H1135" t="str" cm="1">
        <f t="array" ref="H113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35" t="str">
        <f>_xlfn.XLOOKUP(H1135,Reference_Tables!$B$2:$B$7,Reference_Tables!$C$2:$C$7,,0,1)</f>
        <v>VHR</v>
      </c>
      <c r="J1135" t="str">
        <f>INDEX(Reference_Tables!$D$11:$D$36,MATCH(LoanData[[#This Row],[Branch]],Reference_Tables!$A$11:$A$36,0))</f>
        <v>Nilesh Shah</v>
      </c>
      <c r="L1135" s="35"/>
    </row>
    <row r="1136" spans="2:12" ht="15.6" x14ac:dyDescent="0.3">
      <c r="B1136" s="15">
        <f>DATEDIF(Loan_Data!K:K,Loan_Data!L:L,"D")</f>
        <v>21</v>
      </c>
      <c r="C1136" s="15">
        <f ca="1">DATEDIF(LoanData[[#This Row],[Approval_Date]],TODAY(),"M")</f>
        <v>38</v>
      </c>
      <c r="D1136" s="31">
        <f>EDATE(LoanData[[#This Row],[Approval_Date]],LoanData[[#This Row],[Loan_Term_Months]])</f>
        <v>47647</v>
      </c>
      <c r="E1136" t="str">
        <f t="shared" ca="1" si="17"/>
        <v>NO</v>
      </c>
      <c r="F1136" s="33">
        <f>IFERROR(LoanData[[#This Row],[EMI]]/LoanData[[#This Row],[Monthly_Income]]*100," ")</f>
        <v>18.165703612673248</v>
      </c>
      <c r="G1136" t="str" cm="1">
        <f t="array" ref="G1136">_xlfn.IFS(F1136&gt;40, "High DTI Risk",F1136&gt;=25, "Moderate DTI",F1136&lt;25, "Low DTI")</f>
        <v>Low DTI</v>
      </c>
      <c r="H1136" t="str" cm="1">
        <f t="array" ref="H113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36" t="str">
        <f>_xlfn.XLOOKUP(H1136,Reference_Tables!$B$2:$B$7,Reference_Tables!$C$2:$C$7,,0,1)</f>
        <v>MR</v>
      </c>
      <c r="J1136" t="str">
        <f>INDEX(Reference_Tables!$D$11:$D$36,MATCH(LoanData[[#This Row],[Branch]],Reference_Tables!$A$11:$A$36,0))</f>
        <v>Debashis Das</v>
      </c>
      <c r="L1136" s="35"/>
    </row>
    <row r="1137" spans="2:12" ht="15.6" x14ac:dyDescent="0.3">
      <c r="B1137" s="15">
        <f>DATEDIF(Loan_Data!K:K,Loan_Data!L:L,"D")</f>
        <v>4</v>
      </c>
      <c r="C1137" s="15">
        <f ca="1">DATEDIF(LoanData[[#This Row],[Approval_Date]],TODAY(),"M")</f>
        <v>32</v>
      </c>
      <c r="D1137" s="31">
        <f>EDATE(LoanData[[#This Row],[Approval_Date]],LoanData[[#This Row],[Loan_Term_Months]])</f>
        <v>48924</v>
      </c>
      <c r="E1137" t="str">
        <f t="shared" ca="1" si="17"/>
        <v>NO</v>
      </c>
      <c r="F1137" s="33">
        <f>IFERROR(LoanData[[#This Row],[EMI]]/LoanData[[#This Row],[Monthly_Income]]*100," ")</f>
        <v>11.29844081999102</v>
      </c>
      <c r="G1137" t="str" cm="1">
        <f t="array" ref="G1137">_xlfn.IFS(F1137&gt;40, "High DTI Risk",F1137&gt;=25, "Moderate DTI",F1137&lt;25, "Low DTI")</f>
        <v>Low DTI</v>
      </c>
      <c r="H1137" t="str" cm="1">
        <f t="array" ref="H113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37" t="str">
        <f>_xlfn.XLOOKUP(H1137,Reference_Tables!$B$2:$B$7,Reference_Tables!$C$2:$C$7,,0,1)</f>
        <v>MR</v>
      </c>
      <c r="J1137" t="str">
        <f>INDEX(Reference_Tables!$D$11:$D$36,MATCH(LoanData[[#This Row],[Branch]],Reference_Tables!$A$11:$A$36,0))</f>
        <v>Hetal Patel</v>
      </c>
      <c r="L1137" s="35"/>
    </row>
    <row r="1138" spans="2:12" ht="15.6" x14ac:dyDescent="0.3">
      <c r="B1138" s="15">
        <f>DATEDIF(Loan_Data!K:K,Loan_Data!L:L,"D")</f>
        <v>9</v>
      </c>
      <c r="C1138" s="15">
        <f ca="1">DATEDIF(LoanData[[#This Row],[Approval_Date]],TODAY(),"M")</f>
        <v>56</v>
      </c>
      <c r="D1138" s="31">
        <f>EDATE(LoanData[[#This Row],[Approval_Date]],LoanData[[#This Row],[Loan_Term_Months]])</f>
        <v>46360</v>
      </c>
      <c r="E1138" t="str">
        <f t="shared" ca="1" si="17"/>
        <v>NO</v>
      </c>
      <c r="F1138" s="33">
        <f>IFERROR(LoanData[[#This Row],[EMI]]/LoanData[[#This Row],[Monthly_Income]]*100," ")</f>
        <v>3.2484050925279164</v>
      </c>
      <c r="G1138" t="str" cm="1">
        <f t="array" ref="G1138">_xlfn.IFS(F1138&gt;40, "High DTI Risk",F1138&gt;=25, "Moderate DTI",F1138&lt;25, "Low DTI")</f>
        <v>Low DTI</v>
      </c>
      <c r="H1138" t="str" cm="1">
        <f t="array" ref="H113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38" t="str">
        <f>_xlfn.XLOOKUP(H1138,Reference_Tables!$B$2:$B$7,Reference_Tables!$C$2:$C$7,,0,1)</f>
        <v>HR</v>
      </c>
      <c r="J1138" t="str">
        <f>INDEX(Reference_Tables!$D$11:$D$36,MATCH(LoanData[[#This Row],[Branch]],Reference_Tables!$A$11:$A$36,0))</f>
        <v>Sachin Deshpande</v>
      </c>
      <c r="L1138" s="35"/>
    </row>
    <row r="1139" spans="2:12" ht="15.6" x14ac:dyDescent="0.3">
      <c r="B1139" s="15">
        <f>DATEDIF(Loan_Data!K:K,Loan_Data!L:L,"D")</f>
        <v>14</v>
      </c>
      <c r="C1139" s="15">
        <f ca="1">DATEDIF(LoanData[[#This Row],[Approval_Date]],TODAY(),"M")</f>
        <v>37</v>
      </c>
      <c r="D1139" s="31">
        <f>EDATE(LoanData[[#This Row],[Approval_Date]],LoanData[[#This Row],[Loan_Term_Months]])</f>
        <v>50586</v>
      </c>
      <c r="E1139" t="str">
        <f t="shared" ca="1" si="17"/>
        <v>NO</v>
      </c>
      <c r="F1139" s="33">
        <f>IFERROR(LoanData[[#This Row],[EMI]]/LoanData[[#This Row],[Monthly_Income]]*100," ")</f>
        <v>11.769949809854582</v>
      </c>
      <c r="G1139" t="str" cm="1">
        <f t="array" ref="G1139">_xlfn.IFS(F1139&gt;40, "High DTI Risk",F1139&gt;=25, "Moderate DTI",F1139&lt;25, "Low DTI")</f>
        <v>Low DTI</v>
      </c>
      <c r="H1139" t="str" cm="1">
        <f t="array" ref="H113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39" t="str">
        <f>_xlfn.XLOOKUP(H1139,Reference_Tables!$B$2:$B$7,Reference_Tables!$C$2:$C$7,,0,1)</f>
        <v>VHR</v>
      </c>
      <c r="J1139" t="str">
        <f>INDEX(Reference_Tables!$D$11:$D$36,MATCH(LoanData[[#This Row],[Branch]],Reference_Tables!$A$11:$A$36,0))</f>
        <v>Amit Kumar</v>
      </c>
      <c r="L1139" s="35"/>
    </row>
    <row r="1140" spans="2:12" ht="15.6" x14ac:dyDescent="0.3">
      <c r="B1140" s="15">
        <f>DATEDIF(Loan_Data!K:K,Loan_Data!L:L,"D")</f>
        <v>30</v>
      </c>
      <c r="C1140" s="15">
        <f ca="1">DATEDIF(LoanData[[#This Row],[Approval_Date]],TODAY(),"M")</f>
        <v>54</v>
      </c>
      <c r="D1140" s="31">
        <f>EDATE(LoanData[[#This Row],[Approval_Date]],LoanData[[#This Row],[Loan_Term_Months]])</f>
        <v>50087</v>
      </c>
      <c r="E1140" t="str">
        <f t="shared" ca="1" si="17"/>
        <v>NO</v>
      </c>
      <c r="F1140" s="33">
        <f>IFERROR(LoanData[[#This Row],[EMI]]/LoanData[[#This Row],[Monthly_Income]]*100," ")</f>
        <v>5.412392200036698</v>
      </c>
      <c r="G1140" t="str" cm="1">
        <f t="array" ref="G1140">_xlfn.IFS(F1140&gt;40, "High DTI Risk",F1140&gt;=25, "Moderate DTI",F1140&lt;25, "Low DTI")</f>
        <v>Low DTI</v>
      </c>
      <c r="H1140" t="str" cm="1">
        <f t="array" ref="H114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40" t="str">
        <f>_xlfn.XLOOKUP(H1140,Reference_Tables!$B$2:$B$7,Reference_Tables!$C$2:$C$7,,0,1)</f>
        <v>LR</v>
      </c>
      <c r="J1140" t="str">
        <f>INDEX(Reference_Tables!$D$11:$D$36,MATCH(LoanData[[#This Row],[Branch]],Reference_Tables!$A$11:$A$36,0))</f>
        <v>Sandeep Saxena</v>
      </c>
      <c r="L1140" s="35"/>
    </row>
    <row r="1141" spans="2:12" ht="15.6" x14ac:dyDescent="0.3">
      <c r="B1141" s="15">
        <f>DATEDIF(Loan_Data!K:K,Loan_Data!L:L,"D")</f>
        <v>13</v>
      </c>
      <c r="C1141" s="15">
        <f ca="1">DATEDIF(LoanData[[#This Row],[Approval_Date]],TODAY(),"M")</f>
        <v>51</v>
      </c>
      <c r="D1141" s="31">
        <f>EDATE(LoanData[[#This Row],[Approval_Date]],LoanData[[#This Row],[Loan_Term_Months]])</f>
        <v>46516</v>
      </c>
      <c r="E1141" t="str">
        <f t="shared" ca="1" si="17"/>
        <v>NO</v>
      </c>
      <c r="F1141" s="33">
        <f>IFERROR(LoanData[[#This Row],[EMI]]/LoanData[[#This Row],[Monthly_Income]]*100," ")</f>
        <v>3.0560735978575635</v>
      </c>
      <c r="G1141" t="str" cm="1">
        <f t="array" ref="G1141">_xlfn.IFS(F1141&gt;40, "High DTI Risk",F1141&gt;=25, "Moderate DTI",F1141&lt;25, "Low DTI")</f>
        <v>Low DTI</v>
      </c>
      <c r="H1141" t="str" cm="1">
        <f t="array" ref="H114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41" t="str">
        <f>_xlfn.XLOOKUP(H1141,Reference_Tables!$B$2:$B$7,Reference_Tables!$C$2:$C$7,,0,1)</f>
        <v>HR</v>
      </c>
      <c r="J1141" t="str">
        <f>INDEX(Reference_Tables!$D$11:$D$36,MATCH(LoanData[[#This Row],[Branch]],Reference_Tables!$A$11:$A$36,0))</f>
        <v>Sachin Deshpande</v>
      </c>
      <c r="L1141" s="35"/>
    </row>
    <row r="1142" spans="2:12" ht="15.6" x14ac:dyDescent="0.3">
      <c r="B1142" s="15">
        <f>DATEDIF(Loan_Data!K:K,Loan_Data!L:L,"D")</f>
        <v>5</v>
      </c>
      <c r="C1142" s="15">
        <f ca="1">DATEDIF(LoanData[[#This Row],[Approval_Date]],TODAY(),"M")</f>
        <v>38</v>
      </c>
      <c r="D1142" s="31">
        <f>EDATE(LoanData[[#This Row],[Approval_Date]],LoanData[[#This Row],[Loan_Term_Months]])</f>
        <v>50574</v>
      </c>
      <c r="E1142" t="str">
        <f t="shared" ca="1" si="17"/>
        <v>NO</v>
      </c>
      <c r="F1142" s="33">
        <f>IFERROR(LoanData[[#This Row],[EMI]]/LoanData[[#This Row],[Monthly_Income]]*100," ")</f>
        <v>0.75693189715079912</v>
      </c>
      <c r="G1142" t="str" cm="1">
        <f t="array" ref="G1142">_xlfn.IFS(F1142&gt;40, "High DTI Risk",F1142&gt;=25, "Moderate DTI",F1142&lt;25, "Low DTI")</f>
        <v>Low DTI</v>
      </c>
      <c r="H1142" t="str" cm="1">
        <f t="array" ref="H114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42" t="str">
        <f>_xlfn.XLOOKUP(H1142,Reference_Tables!$B$2:$B$7,Reference_Tables!$C$2:$C$7,,0,1)</f>
        <v>LR</v>
      </c>
      <c r="J1142" t="str">
        <f>INDEX(Reference_Tables!$D$11:$D$36,MATCH(LoanData[[#This Row],[Branch]],Reference_Tables!$A$11:$A$36,0))</f>
        <v>Priya Yadav</v>
      </c>
      <c r="L1142" s="35"/>
    </row>
    <row r="1143" spans="2:12" ht="15.6" x14ac:dyDescent="0.3">
      <c r="B1143" s="15">
        <f>DATEDIF(Loan_Data!K:K,Loan_Data!L:L,"D")</f>
        <v>19</v>
      </c>
      <c r="C1143" s="15">
        <f ca="1">DATEDIF(LoanData[[#This Row],[Approval_Date]],TODAY(),"M")</f>
        <v>62</v>
      </c>
      <c r="D1143" s="31">
        <f>EDATE(LoanData[[#This Row],[Approval_Date]],LoanData[[#This Row],[Loan_Term_Months]])</f>
        <v>46903</v>
      </c>
      <c r="E1143" t="str">
        <f t="shared" ca="1" si="17"/>
        <v>NO</v>
      </c>
      <c r="F1143" s="33">
        <f>IFERROR(LoanData[[#This Row],[EMI]]/LoanData[[#This Row],[Monthly_Income]]*100," ")</f>
        <v>8.6047653974091443</v>
      </c>
      <c r="G1143" t="str" cm="1">
        <f t="array" ref="G1143">_xlfn.IFS(F1143&gt;40, "High DTI Risk",F1143&gt;=25, "Moderate DTI",F1143&lt;25, "Low DTI")</f>
        <v>Low DTI</v>
      </c>
      <c r="H1143" t="str" cm="1">
        <f t="array" ref="H114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43" t="str">
        <f>_xlfn.XLOOKUP(H1143,Reference_Tables!$B$2:$B$7,Reference_Tables!$C$2:$C$7,,0,1)</f>
        <v>MR</v>
      </c>
      <c r="J1143" t="str">
        <f>INDEX(Reference_Tables!$D$11:$D$36,MATCH(LoanData[[#This Row],[Branch]],Reference_Tables!$A$11:$A$36,0))</f>
        <v>Ravi Verma</v>
      </c>
      <c r="L1143" s="35"/>
    </row>
    <row r="1144" spans="2:12" ht="15.6" x14ac:dyDescent="0.3">
      <c r="B1144" s="15">
        <f>DATEDIF(Loan_Data!K:K,Loan_Data!L:L,"D")</f>
        <v>17</v>
      </c>
      <c r="C1144" s="15">
        <f ca="1">DATEDIF(LoanData[[#This Row],[Approval_Date]],TODAY(),"M")</f>
        <v>55</v>
      </c>
      <c r="D1144" s="31">
        <f>EDATE(LoanData[[#This Row],[Approval_Date]],LoanData[[#This Row],[Loan_Term_Months]])</f>
        <v>51881</v>
      </c>
      <c r="E1144" t="str">
        <f t="shared" ca="1" si="17"/>
        <v>NO</v>
      </c>
      <c r="F1144" s="33">
        <f>IFERROR(LoanData[[#This Row],[EMI]]/LoanData[[#This Row],[Monthly_Income]]*100," ")</f>
        <v>0.6935645604395605</v>
      </c>
      <c r="G1144" t="str" cm="1">
        <f t="array" ref="G1144">_xlfn.IFS(F1144&gt;40, "High DTI Risk",F1144&gt;=25, "Moderate DTI",F1144&lt;25, "Low DTI")</f>
        <v>Low DTI</v>
      </c>
      <c r="H1144" t="str" cm="1">
        <f t="array" ref="H114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44" t="str">
        <f>_xlfn.XLOOKUP(H1144,Reference_Tables!$B$2:$B$7,Reference_Tables!$C$2:$C$7,,0,1)</f>
        <v>VHR</v>
      </c>
      <c r="J1144" t="str">
        <f>INDEX(Reference_Tables!$D$11:$D$36,MATCH(LoanData[[#This Row],[Branch]],Reference_Tables!$A$11:$A$36,0))</f>
        <v>Suresh Menon</v>
      </c>
      <c r="L1144" s="35"/>
    </row>
    <row r="1145" spans="2:12" ht="15.6" x14ac:dyDescent="0.3">
      <c r="B1145" s="15">
        <f>DATEDIF(Loan_Data!K:K,Loan_Data!L:L,"D")</f>
        <v>30</v>
      </c>
      <c r="C1145" s="15">
        <f ca="1">DATEDIF(LoanData[[#This Row],[Approval_Date]],TODAY(),"M")</f>
        <v>59</v>
      </c>
      <c r="D1145" s="31">
        <f>EDATE(LoanData[[#This Row],[Approval_Date]],LoanData[[#This Row],[Loan_Term_Months]])</f>
        <v>45890</v>
      </c>
      <c r="E1145" t="str">
        <f t="shared" ca="1" si="17"/>
        <v>YES</v>
      </c>
      <c r="F1145" s="33">
        <f>IFERROR(LoanData[[#This Row],[EMI]]/LoanData[[#This Row],[Monthly_Income]]*100," ")</f>
        <v>5.2162476834187288</v>
      </c>
      <c r="G1145" t="str" cm="1">
        <f t="array" ref="G1145">_xlfn.IFS(F1145&gt;40, "High DTI Risk",F1145&gt;=25, "Moderate DTI",F1145&lt;25, "Low DTI")</f>
        <v>Low DTI</v>
      </c>
      <c r="H1145" t="str" cm="1">
        <f t="array" ref="H114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45" t="str">
        <f>_xlfn.XLOOKUP(H1145,Reference_Tables!$B$2:$B$7,Reference_Tables!$C$2:$C$7,,0,1)</f>
        <v>MR</v>
      </c>
      <c r="J1145" t="str">
        <f>INDEX(Reference_Tables!$D$11:$D$36,MATCH(LoanData[[#This Row],[Branch]],Reference_Tables!$A$11:$A$36,0))</f>
        <v>Rahul Kapoor</v>
      </c>
      <c r="L1145" s="35"/>
    </row>
    <row r="1146" spans="2:12" ht="15.6" x14ac:dyDescent="0.3">
      <c r="B1146" s="15">
        <f>DATEDIF(Loan_Data!K:K,Loan_Data!L:L,"D")</f>
        <v>12</v>
      </c>
      <c r="C1146" s="15">
        <f ca="1">DATEDIF(LoanData[[#This Row],[Approval_Date]],TODAY(),"M")</f>
        <v>53</v>
      </c>
      <c r="D1146" s="31">
        <f>EDATE(LoanData[[#This Row],[Approval_Date]],LoanData[[#This Row],[Loan_Term_Months]])</f>
        <v>51919</v>
      </c>
      <c r="E1146" t="str">
        <f t="shared" ca="1" si="17"/>
        <v>NO</v>
      </c>
      <c r="F1146" s="33">
        <f>IFERROR(LoanData[[#This Row],[EMI]]/LoanData[[#This Row],[Monthly_Income]]*100," ")</f>
        <v>6.466535715684099</v>
      </c>
      <c r="G1146" t="str" cm="1">
        <f t="array" ref="G1146">_xlfn.IFS(F1146&gt;40, "High DTI Risk",F1146&gt;=25, "Moderate DTI",F1146&lt;25, "Low DTI")</f>
        <v>Low DTI</v>
      </c>
      <c r="H1146" t="str" cm="1">
        <f t="array" ref="H114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46" t="str">
        <f>_xlfn.XLOOKUP(H1146,Reference_Tables!$B$2:$B$7,Reference_Tables!$C$2:$C$7,,0,1)</f>
        <v>HR</v>
      </c>
      <c r="J1146" t="str">
        <f>INDEX(Reference_Tables!$D$11:$D$36,MATCH(LoanData[[#This Row],[Branch]],Reference_Tables!$A$11:$A$36,0))</f>
        <v>Puja Chatterjee</v>
      </c>
      <c r="L1146" s="35"/>
    </row>
    <row r="1147" spans="2:12" ht="15.6" x14ac:dyDescent="0.3">
      <c r="B1147" s="15">
        <f>DATEDIF(Loan_Data!K:K,Loan_Data!L:L,"D")</f>
        <v>5</v>
      </c>
      <c r="C1147" s="15">
        <f ca="1">DATEDIF(LoanData[[#This Row],[Approval_Date]],TODAY(),"M")</f>
        <v>52</v>
      </c>
      <c r="D1147" s="31">
        <f>EDATE(LoanData[[#This Row],[Approval_Date]],LoanData[[#This Row],[Loan_Term_Months]])</f>
        <v>50137</v>
      </c>
      <c r="E1147" t="str">
        <f t="shared" ca="1" si="17"/>
        <v>NO</v>
      </c>
      <c r="F1147" s="33">
        <f>IFERROR(LoanData[[#This Row],[EMI]]/LoanData[[#This Row],[Monthly_Income]]*100," ")</f>
        <v>1.9578830007508703</v>
      </c>
      <c r="G1147" t="str" cm="1">
        <f t="array" ref="G1147">_xlfn.IFS(F1147&gt;40, "High DTI Risk",F1147&gt;=25, "Moderate DTI",F1147&lt;25, "Low DTI")</f>
        <v>Low DTI</v>
      </c>
      <c r="H1147" t="str" cm="1">
        <f t="array" ref="H114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47" t="str">
        <f>_xlfn.XLOOKUP(H1147,Reference_Tables!$B$2:$B$7,Reference_Tables!$C$2:$C$7,,0,1)</f>
        <v>MR</v>
      </c>
      <c r="J1147" t="str">
        <f>INDEX(Reference_Tables!$D$11:$D$36,MATCH(LoanData[[#This Row],[Branch]],Reference_Tables!$A$11:$A$36,0))</f>
        <v>Rahul Kapoor</v>
      </c>
      <c r="L1147" s="35"/>
    </row>
    <row r="1148" spans="2:12" ht="15.6" x14ac:dyDescent="0.3">
      <c r="B1148" s="15">
        <f>DATEDIF(Loan_Data!K:K,Loan_Data!L:L,"D")</f>
        <v>24</v>
      </c>
      <c r="C1148" s="15">
        <f ca="1">DATEDIF(LoanData[[#This Row],[Approval_Date]],TODAY(),"M")</f>
        <v>63</v>
      </c>
      <c r="D1148" s="31">
        <f>EDATE(LoanData[[#This Row],[Approval_Date]],LoanData[[#This Row],[Loan_Term_Months]])</f>
        <v>45035</v>
      </c>
      <c r="E1148" t="str">
        <f t="shared" ca="1" si="17"/>
        <v>YES</v>
      </c>
      <c r="F1148" s="33">
        <f>IFERROR(LoanData[[#This Row],[EMI]]/LoanData[[#This Row],[Monthly_Income]]*100," ")</f>
        <v>5.517669155131868</v>
      </c>
      <c r="G1148" t="str" cm="1">
        <f t="array" ref="G1148">_xlfn.IFS(F1148&gt;40, "High DTI Risk",F1148&gt;=25, "Moderate DTI",F1148&lt;25, "Low DTI")</f>
        <v>Low DTI</v>
      </c>
      <c r="H1148" t="str" cm="1">
        <f t="array" ref="H114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48" t="str">
        <f>_xlfn.XLOOKUP(H1148,Reference_Tables!$B$2:$B$7,Reference_Tables!$C$2:$C$7,,0,1)</f>
        <v>MR</v>
      </c>
      <c r="J1148" t="str">
        <f>INDEX(Reference_Tables!$D$11:$D$36,MATCH(LoanData[[#This Row],[Branch]],Reference_Tables!$A$11:$A$36,0))</f>
        <v>Lakshmi Reddy</v>
      </c>
      <c r="L1148" s="35"/>
    </row>
    <row r="1149" spans="2:12" ht="15.6" x14ac:dyDescent="0.3">
      <c r="B1149" s="15">
        <f>DATEDIF(Loan_Data!K:K,Loan_Data!L:L,"D")</f>
        <v>26</v>
      </c>
      <c r="C1149" s="15">
        <f ca="1">DATEDIF(LoanData[[#This Row],[Approval_Date]],TODAY(),"M")</f>
        <v>55</v>
      </c>
      <c r="D1149" s="31">
        <f>EDATE(LoanData[[#This Row],[Approval_Date]],LoanData[[#This Row],[Loan_Term_Months]])</f>
        <v>45300</v>
      </c>
      <c r="E1149" t="str">
        <f t="shared" ca="1" si="17"/>
        <v>YES</v>
      </c>
      <c r="F1149" s="33">
        <f>IFERROR(LoanData[[#This Row],[EMI]]/LoanData[[#This Row],[Monthly_Income]]*100," ")</f>
        <v>2.5268311550832623</v>
      </c>
      <c r="G1149" t="str" cm="1">
        <f t="array" ref="G1149">_xlfn.IFS(F1149&gt;40, "High DTI Risk",F1149&gt;=25, "Moderate DTI",F1149&lt;25, "Low DTI")</f>
        <v>Low DTI</v>
      </c>
      <c r="H1149" t="str" cm="1">
        <f t="array" ref="H114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49" t="str">
        <f>_xlfn.XLOOKUP(H1149,Reference_Tables!$B$2:$B$7,Reference_Tables!$C$2:$C$7,,0,1)</f>
        <v>LR</v>
      </c>
      <c r="J1149" t="str">
        <f>INDEX(Reference_Tables!$D$11:$D$36,MATCH(LoanData[[#This Row],[Branch]],Reference_Tables!$A$11:$A$36,0))</f>
        <v>Ravi Verma</v>
      </c>
      <c r="L1149" s="35"/>
    </row>
    <row r="1150" spans="2:12" ht="15.6" x14ac:dyDescent="0.3">
      <c r="B1150" s="15">
        <f>DATEDIF(Loan_Data!K:K,Loan_Data!L:L,"D")</f>
        <v>25</v>
      </c>
      <c r="C1150" s="15">
        <f ca="1">DATEDIF(LoanData[[#This Row],[Approval_Date]],TODAY(),"M")</f>
        <v>47</v>
      </c>
      <c r="D1150" s="31">
        <f>EDATE(LoanData[[#This Row],[Approval_Date]],LoanData[[#This Row],[Loan_Term_Months]])</f>
        <v>52102</v>
      </c>
      <c r="E1150" t="str">
        <f t="shared" ca="1" si="17"/>
        <v>NO</v>
      </c>
      <c r="F1150" s="33">
        <f>IFERROR(LoanData[[#This Row],[EMI]]/LoanData[[#This Row],[Monthly_Income]]*100," ")</f>
        <v>1.0622345322114375</v>
      </c>
      <c r="G1150" t="str" cm="1">
        <f t="array" ref="G1150">_xlfn.IFS(F1150&gt;40, "High DTI Risk",F1150&gt;=25, "Moderate DTI",F1150&lt;25, "Low DTI")</f>
        <v>Low DTI</v>
      </c>
      <c r="H1150" t="str" cm="1">
        <f t="array" ref="H115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50" t="str">
        <f>_xlfn.XLOOKUP(H1150,Reference_Tables!$B$2:$B$7,Reference_Tables!$C$2:$C$7,,0,1)</f>
        <v>VHR</v>
      </c>
      <c r="J1150" t="str">
        <f>INDEX(Reference_Tables!$D$11:$D$36,MATCH(LoanData[[#This Row],[Branch]],Reference_Tables!$A$11:$A$36,0))</f>
        <v>Sandeep Saxena</v>
      </c>
      <c r="L1150" s="35"/>
    </row>
    <row r="1151" spans="2:12" ht="15.6" x14ac:dyDescent="0.3">
      <c r="B1151" s="15">
        <f>DATEDIF(Loan_Data!K:K,Loan_Data!L:L,"D")</f>
        <v>8</v>
      </c>
      <c r="C1151" s="15">
        <f ca="1">DATEDIF(LoanData[[#This Row],[Approval_Date]],TODAY(),"M")</f>
        <v>62</v>
      </c>
      <c r="D1151" s="31">
        <f>EDATE(LoanData[[#This Row],[Approval_Date]],LoanData[[#This Row],[Loan_Term_Months]])</f>
        <v>49825</v>
      </c>
      <c r="E1151" t="str">
        <f t="shared" ca="1" si="17"/>
        <v>NO</v>
      </c>
      <c r="F1151" s="33">
        <f>IFERROR(LoanData[[#This Row],[EMI]]/LoanData[[#This Row],[Monthly_Income]]*100," ")</f>
        <v>1.0855859133408519</v>
      </c>
      <c r="G1151" t="str" cm="1">
        <f t="array" ref="G1151">_xlfn.IFS(F1151&gt;40, "High DTI Risk",F1151&gt;=25, "Moderate DTI",F1151&lt;25, "Low DTI")</f>
        <v>Low DTI</v>
      </c>
      <c r="H1151" t="str" cm="1">
        <f t="array" ref="H115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51" t="str">
        <f>_xlfn.XLOOKUP(H1151,Reference_Tables!$B$2:$B$7,Reference_Tables!$C$2:$C$7,,0,1)</f>
        <v>LR</v>
      </c>
      <c r="J1151" t="str">
        <f>INDEX(Reference_Tables!$D$11:$D$36,MATCH(LoanData[[#This Row],[Branch]],Reference_Tables!$A$11:$A$36,0))</f>
        <v>Tapan Panda</v>
      </c>
      <c r="L1151" s="35"/>
    </row>
    <row r="1152" spans="2:12" ht="15.6" x14ac:dyDescent="0.3">
      <c r="B1152" s="15">
        <f>DATEDIF(Loan_Data!K:K,Loan_Data!L:L,"D")</f>
        <v>25</v>
      </c>
      <c r="C1152" s="15">
        <f ca="1">DATEDIF(LoanData[[#This Row],[Approval_Date]],TODAY(),"M")</f>
        <v>50</v>
      </c>
      <c r="D1152" s="31">
        <f>EDATE(LoanData[[#This Row],[Approval_Date]],LoanData[[#This Row],[Loan_Term_Months]])</f>
        <v>46172</v>
      </c>
      <c r="E1152" t="str">
        <f t="shared" ca="1" si="17"/>
        <v>YES</v>
      </c>
      <c r="F1152" s="33">
        <f>IFERROR(LoanData[[#This Row],[EMI]]/LoanData[[#This Row],[Monthly_Income]]*100," ")</f>
        <v>2.3346924207432287</v>
      </c>
      <c r="G1152" t="str" cm="1">
        <f t="array" ref="G1152">_xlfn.IFS(F1152&gt;40, "High DTI Risk",F1152&gt;=25, "Moderate DTI",F1152&lt;25, "Low DTI")</f>
        <v>Low DTI</v>
      </c>
      <c r="H1152" t="str" cm="1">
        <f t="array" ref="H115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52" t="str">
        <f>_xlfn.XLOOKUP(H1152,Reference_Tables!$B$2:$B$7,Reference_Tables!$C$2:$C$7,,0,1)</f>
        <v>LR</v>
      </c>
      <c r="J1152" t="str">
        <f>INDEX(Reference_Tables!$D$11:$D$36,MATCH(LoanData[[#This Row],[Branch]],Reference_Tables!$A$11:$A$36,0))</f>
        <v>Puja Chatterjee</v>
      </c>
      <c r="L1152" s="35"/>
    </row>
    <row r="1153" spans="2:12" ht="15.6" x14ac:dyDescent="0.3">
      <c r="B1153" s="15">
        <f>DATEDIF(Loan_Data!K:K,Loan_Data!L:L,"D")</f>
        <v>16</v>
      </c>
      <c r="C1153" s="15">
        <f ca="1">DATEDIF(LoanData[[#This Row],[Approval_Date]],TODAY(),"M")</f>
        <v>38</v>
      </c>
      <c r="D1153" s="31">
        <f>EDATE(LoanData[[#This Row],[Approval_Date]],LoanData[[#This Row],[Loan_Term_Months]])</f>
        <v>48735</v>
      </c>
      <c r="E1153" t="str">
        <f t="shared" ca="1" si="17"/>
        <v>NO</v>
      </c>
      <c r="F1153" s="33">
        <f>IFERROR(LoanData[[#This Row],[EMI]]/LoanData[[#This Row],[Monthly_Income]]*100," ")</f>
        <v>8.9153337788668594</v>
      </c>
      <c r="G1153" t="str" cm="1">
        <f t="array" ref="G1153">_xlfn.IFS(F1153&gt;40, "High DTI Risk",F1153&gt;=25, "Moderate DTI",F1153&lt;25, "Low DTI")</f>
        <v>Low DTI</v>
      </c>
      <c r="H1153" t="str" cm="1">
        <f t="array" ref="H115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53" t="str">
        <f>_xlfn.XLOOKUP(H1153,Reference_Tables!$B$2:$B$7,Reference_Tables!$C$2:$C$7,,0,1)</f>
        <v>MR</v>
      </c>
      <c r="J1153" t="str">
        <f>INDEX(Reference_Tables!$D$11:$D$36,MATCH(LoanData[[#This Row],[Branch]],Reference_Tables!$A$11:$A$36,0))</f>
        <v>Tapan Panda</v>
      </c>
      <c r="L1153" s="35"/>
    </row>
    <row r="1154" spans="2:12" ht="15.6" x14ac:dyDescent="0.3">
      <c r="B1154" s="15">
        <f>DATEDIF(Loan_Data!K:K,Loan_Data!L:L,"D")</f>
        <v>25</v>
      </c>
      <c r="C1154" s="15">
        <f ca="1">DATEDIF(LoanData[[#This Row],[Approval_Date]],TODAY(),"M")</f>
        <v>44</v>
      </c>
      <c r="D1154" s="31">
        <f>EDATE(LoanData[[#This Row],[Approval_Date]],LoanData[[#This Row],[Loan_Term_Months]])</f>
        <v>47457</v>
      </c>
      <c r="E1154" t="str">
        <f t="shared" ref="E1154:E1201" ca="1" si="18">IF(D1154&lt;TODAY(),"YES","NO")</f>
        <v>NO</v>
      </c>
      <c r="F1154" s="33">
        <f>IFERROR(LoanData[[#This Row],[EMI]]/LoanData[[#This Row],[Monthly_Income]]*100," ")</f>
        <v>3.907540620755571</v>
      </c>
      <c r="G1154" t="str" cm="1">
        <f t="array" ref="G1154">_xlfn.IFS(F1154&gt;40, "High DTI Risk",F1154&gt;=25, "Moderate DTI",F1154&lt;25, "Low DTI")</f>
        <v>Low DTI</v>
      </c>
      <c r="H1154" t="str" cm="1">
        <f t="array" ref="H115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54" t="str">
        <f>_xlfn.XLOOKUP(H1154,Reference_Tables!$B$2:$B$7,Reference_Tables!$C$2:$C$7,,0,1)</f>
        <v>LR</v>
      </c>
      <c r="J1154" t="str">
        <f>INDEX(Reference_Tables!$D$11:$D$36,MATCH(LoanData[[#This Row],[Branch]],Reference_Tables!$A$11:$A$36,0))</f>
        <v>Rituparna Bora</v>
      </c>
      <c r="L1154" s="35"/>
    </row>
    <row r="1155" spans="2:12" ht="15.6" x14ac:dyDescent="0.3">
      <c r="B1155" s="15">
        <f>DATEDIF(Loan_Data!K:K,Loan_Data!L:L,"D")</f>
        <v>22</v>
      </c>
      <c r="C1155" s="15">
        <f ca="1">DATEDIF(LoanData[[#This Row],[Approval_Date]],TODAY(),"M")</f>
        <v>45</v>
      </c>
      <c r="D1155" s="31">
        <f>EDATE(LoanData[[#This Row],[Approval_Date]],LoanData[[#This Row],[Loan_Term_Months]])</f>
        <v>47419</v>
      </c>
      <c r="E1155" t="str">
        <f t="shared" ca="1" si="18"/>
        <v>NO</v>
      </c>
      <c r="F1155" s="33">
        <f>IFERROR(LoanData[[#This Row],[EMI]]/LoanData[[#This Row],[Monthly_Income]]*100," ")</f>
        <v>0.49757121936393028</v>
      </c>
      <c r="G1155" t="str" cm="1">
        <f t="array" ref="G1155">_xlfn.IFS(F1155&gt;40, "High DTI Risk",F1155&gt;=25, "Moderate DTI",F1155&lt;25, "Low DTI")</f>
        <v>Low DTI</v>
      </c>
      <c r="H1155" t="str" cm="1">
        <f t="array" ref="H115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55" t="str">
        <f>_xlfn.XLOOKUP(H1155,Reference_Tables!$B$2:$B$7,Reference_Tables!$C$2:$C$7,,0,1)</f>
        <v>LR</v>
      </c>
      <c r="J1155" t="str">
        <f>INDEX(Reference_Tables!$D$11:$D$36,MATCH(LoanData[[#This Row],[Branch]],Reference_Tables!$A$11:$A$36,0))</f>
        <v>Arvind Pillai</v>
      </c>
      <c r="L1155" s="35"/>
    </row>
    <row r="1156" spans="2:12" ht="15.6" x14ac:dyDescent="0.3">
      <c r="B1156" s="15">
        <f>DATEDIF(Loan_Data!K:K,Loan_Data!L:L,"D")</f>
        <v>17</v>
      </c>
      <c r="C1156" s="15">
        <f ca="1">DATEDIF(LoanData[[#This Row],[Approval_Date]],TODAY(),"M")</f>
        <v>57</v>
      </c>
      <c r="D1156" s="31">
        <f>EDATE(LoanData[[#This Row],[Approval_Date]],LoanData[[#This Row],[Loan_Term_Months]])</f>
        <v>46342</v>
      </c>
      <c r="E1156" t="str">
        <f t="shared" ca="1" si="18"/>
        <v>NO</v>
      </c>
      <c r="F1156" s="33">
        <f>IFERROR(LoanData[[#This Row],[EMI]]/LoanData[[#This Row],[Monthly_Income]]*100," ")</f>
        <v>2.9492559089582726</v>
      </c>
      <c r="G1156" t="str" cm="1">
        <f t="array" ref="G1156">_xlfn.IFS(F1156&gt;40, "High DTI Risk",F1156&gt;=25, "Moderate DTI",F1156&lt;25, "Low DTI")</f>
        <v>Low DTI</v>
      </c>
      <c r="H1156" t="str" cm="1">
        <f t="array" ref="H115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56" t="str">
        <f>_xlfn.XLOOKUP(H1156,Reference_Tables!$B$2:$B$7,Reference_Tables!$C$2:$C$7,,0,1)</f>
        <v>VHR</v>
      </c>
      <c r="J1156" t="str">
        <f>INDEX(Reference_Tables!$D$11:$D$36,MATCH(LoanData[[#This Row],[Branch]],Reference_Tables!$A$11:$A$36,0))</f>
        <v>Amit Kumar</v>
      </c>
      <c r="L1156" s="35"/>
    </row>
    <row r="1157" spans="2:12" ht="15.6" x14ac:dyDescent="0.3">
      <c r="B1157" s="15">
        <f>DATEDIF(Loan_Data!K:K,Loan_Data!L:L,"D")</f>
        <v>12</v>
      </c>
      <c r="C1157" s="15">
        <f ca="1">DATEDIF(LoanData[[#This Row],[Approval_Date]],TODAY(),"M")</f>
        <v>36</v>
      </c>
      <c r="D1157" s="31">
        <f>EDATE(LoanData[[#This Row],[Approval_Date]],LoanData[[#This Row],[Loan_Term_Months]])</f>
        <v>47694</v>
      </c>
      <c r="E1157" t="str">
        <f t="shared" ca="1" si="18"/>
        <v>NO</v>
      </c>
      <c r="F1157" s="33">
        <f>IFERROR(LoanData[[#This Row],[EMI]]/LoanData[[#This Row],[Monthly_Income]]*100," ")</f>
        <v>3.7779014718290052</v>
      </c>
      <c r="G1157" t="str" cm="1">
        <f t="array" ref="G1157">_xlfn.IFS(F1157&gt;40, "High DTI Risk",F1157&gt;=25, "Moderate DTI",F1157&lt;25, "Low DTI")</f>
        <v>Low DTI</v>
      </c>
      <c r="H1157" t="str" cm="1">
        <f t="array" ref="H115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57" t="str">
        <f>_xlfn.XLOOKUP(H1157,Reference_Tables!$B$2:$B$7,Reference_Tables!$C$2:$C$7,,0,1)</f>
        <v>LR</v>
      </c>
      <c r="J1157" t="str">
        <f>INDEX(Reference_Tables!$D$11:$D$36,MATCH(LoanData[[#This Row],[Branch]],Reference_Tables!$A$11:$A$36,0))</f>
        <v>Puja Chatterjee</v>
      </c>
      <c r="L1157" s="35"/>
    </row>
    <row r="1158" spans="2:12" ht="15.6" x14ac:dyDescent="0.3">
      <c r="B1158" s="15">
        <f>DATEDIF(Loan_Data!K:K,Loan_Data!L:L,"D")</f>
        <v>7</v>
      </c>
      <c r="C1158" s="15">
        <f ca="1">DATEDIF(LoanData[[#This Row],[Approval_Date]],TODAY(),"M")</f>
        <v>51</v>
      </c>
      <c r="D1158" s="31">
        <f>EDATE(LoanData[[#This Row],[Approval_Date]],LoanData[[#This Row],[Loan_Term_Months]])</f>
        <v>51985</v>
      </c>
      <c r="E1158" t="str">
        <f t="shared" ca="1" si="18"/>
        <v>NO</v>
      </c>
      <c r="F1158" s="33">
        <f>IFERROR(LoanData[[#This Row],[EMI]]/LoanData[[#This Row],[Monthly_Income]]*100," ")</f>
        <v>4.4948021671675216</v>
      </c>
      <c r="G1158" t="str" cm="1">
        <f t="array" ref="G1158">_xlfn.IFS(F1158&gt;40, "High DTI Risk",F1158&gt;=25, "Moderate DTI",F1158&lt;25, "Low DTI")</f>
        <v>Low DTI</v>
      </c>
      <c r="H1158" t="str" cm="1">
        <f t="array" ref="H115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58" t="str">
        <f>_xlfn.XLOOKUP(H1158,Reference_Tables!$B$2:$B$7,Reference_Tables!$C$2:$C$7,,0,1)</f>
        <v>LR</v>
      </c>
      <c r="J1158" t="str">
        <f>INDEX(Reference_Tables!$D$11:$D$36,MATCH(LoanData[[#This Row],[Branch]],Reference_Tables!$A$11:$A$36,0))</f>
        <v>Ananya Sharma</v>
      </c>
      <c r="L1158" s="35"/>
    </row>
    <row r="1159" spans="2:12" ht="15.6" x14ac:dyDescent="0.3">
      <c r="B1159" s="15">
        <f>DATEDIF(Loan_Data!K:K,Loan_Data!L:L,"D")</f>
        <v>26</v>
      </c>
      <c r="C1159" s="15">
        <f ca="1">DATEDIF(LoanData[[#This Row],[Approval_Date]],TODAY(),"M")</f>
        <v>59</v>
      </c>
      <c r="D1159" s="31">
        <f>EDATE(LoanData[[#This Row],[Approval_Date]],LoanData[[#This Row],[Loan_Term_Months]])</f>
        <v>49920</v>
      </c>
      <c r="E1159" t="str">
        <f t="shared" ca="1" si="18"/>
        <v>NO</v>
      </c>
      <c r="F1159" s="33">
        <f>IFERROR(LoanData[[#This Row],[EMI]]/LoanData[[#This Row],[Monthly_Income]]*100," ")</f>
        <v>0.5570440114845161</v>
      </c>
      <c r="G1159" t="str" cm="1">
        <f t="array" ref="G1159">_xlfn.IFS(F1159&gt;40, "High DTI Risk",F1159&gt;=25, "Moderate DTI",F1159&lt;25, "Low DTI")</f>
        <v>Low DTI</v>
      </c>
      <c r="H1159" t="str" cm="1">
        <f t="array" ref="H115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59" t="str">
        <f>_xlfn.XLOOKUP(H1159,Reference_Tables!$B$2:$B$7,Reference_Tables!$C$2:$C$7,,0,1)</f>
        <v>VHR</v>
      </c>
      <c r="J1159" t="str">
        <f>INDEX(Reference_Tables!$D$11:$D$36,MATCH(LoanData[[#This Row],[Branch]],Reference_Tables!$A$11:$A$36,0))</f>
        <v>Santhosh Rao</v>
      </c>
      <c r="L1159" s="35"/>
    </row>
    <row r="1160" spans="2:12" ht="15.6" x14ac:dyDescent="0.3">
      <c r="B1160" s="15">
        <f>DATEDIF(Loan_Data!K:K,Loan_Data!L:L,"D")</f>
        <v>21</v>
      </c>
      <c r="C1160" s="15">
        <f ca="1">DATEDIF(LoanData[[#This Row],[Approval_Date]],TODAY(),"M")</f>
        <v>51</v>
      </c>
      <c r="D1160" s="31">
        <f>EDATE(LoanData[[#This Row],[Approval_Date]],LoanData[[#This Row],[Loan_Term_Months]])</f>
        <v>46149</v>
      </c>
      <c r="E1160" t="str">
        <f t="shared" ca="1" si="18"/>
        <v>YES</v>
      </c>
      <c r="F1160" s="33">
        <f>IFERROR(LoanData[[#This Row],[EMI]]/LoanData[[#This Row],[Monthly_Income]]*100," ")</f>
        <v>19.684739893806221</v>
      </c>
      <c r="G1160" t="str" cm="1">
        <f t="array" ref="G1160">_xlfn.IFS(F1160&gt;40, "High DTI Risk",F1160&gt;=25, "Moderate DTI",F1160&lt;25, "Low DTI")</f>
        <v>Low DTI</v>
      </c>
      <c r="H1160" t="str" cm="1">
        <f t="array" ref="H116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60" t="str">
        <f>_xlfn.XLOOKUP(H1160,Reference_Tables!$B$2:$B$7,Reference_Tables!$C$2:$C$7,,0,1)</f>
        <v>MR</v>
      </c>
      <c r="J1160" t="str">
        <f>INDEX(Reference_Tables!$D$11:$D$36,MATCH(LoanData[[#This Row],[Branch]],Reference_Tables!$A$11:$A$36,0))</f>
        <v>Nilesh Shah</v>
      </c>
      <c r="L1160" s="35"/>
    </row>
    <row r="1161" spans="2:12" ht="15.6" x14ac:dyDescent="0.3">
      <c r="B1161" s="15">
        <f>DATEDIF(Loan_Data!K:K,Loan_Data!L:L,"D")</f>
        <v>22</v>
      </c>
      <c r="C1161" s="15">
        <f ca="1">DATEDIF(LoanData[[#This Row],[Approval_Date]],TODAY(),"M")</f>
        <v>64</v>
      </c>
      <c r="D1161" s="31">
        <f>EDATE(LoanData[[#This Row],[Approval_Date]],LoanData[[#This Row],[Loan_Term_Months]])</f>
        <v>46108</v>
      </c>
      <c r="E1161" t="str">
        <f t="shared" ca="1" si="18"/>
        <v>YES</v>
      </c>
      <c r="F1161" s="33">
        <f>IFERROR(LoanData[[#This Row],[EMI]]/LoanData[[#This Row],[Monthly_Income]]*100," ")</f>
        <v>12.015825402115814</v>
      </c>
      <c r="G1161" t="str" cm="1">
        <f t="array" ref="G1161">_xlfn.IFS(F1161&gt;40, "High DTI Risk",F1161&gt;=25, "Moderate DTI",F1161&lt;25, "Low DTI")</f>
        <v>Low DTI</v>
      </c>
      <c r="H1161" t="str" cm="1">
        <f t="array" ref="H116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61" t="str">
        <f>_xlfn.XLOOKUP(H1161,Reference_Tables!$B$2:$B$7,Reference_Tables!$C$2:$C$7,,0,1)</f>
        <v>VHR</v>
      </c>
      <c r="J1161" t="str">
        <f>INDEX(Reference_Tables!$D$11:$D$36,MATCH(LoanData[[#This Row],[Branch]],Reference_Tables!$A$11:$A$36,0))</f>
        <v>Ravi Verma</v>
      </c>
      <c r="L1161" s="35"/>
    </row>
    <row r="1162" spans="2:12" ht="15.6" x14ac:dyDescent="0.3">
      <c r="B1162" s="15">
        <f>DATEDIF(Loan_Data!K:K,Loan_Data!L:L,"D")</f>
        <v>16</v>
      </c>
      <c r="C1162" s="15">
        <f ca="1">DATEDIF(LoanData[[#This Row],[Approval_Date]],TODAY(),"M")</f>
        <v>54</v>
      </c>
      <c r="D1162" s="31">
        <f>EDATE(LoanData[[#This Row],[Approval_Date]],LoanData[[#This Row],[Loan_Term_Months]])</f>
        <v>48255</v>
      </c>
      <c r="E1162" t="str">
        <f t="shared" ca="1" si="18"/>
        <v>NO</v>
      </c>
      <c r="F1162" s="33">
        <f>IFERROR(LoanData[[#This Row],[EMI]]/LoanData[[#This Row],[Monthly_Income]]*100," ")</f>
        <v>7.642248217798743</v>
      </c>
      <c r="G1162" t="str" cm="1">
        <f t="array" ref="G1162">_xlfn.IFS(F1162&gt;40, "High DTI Risk",F1162&gt;=25, "Moderate DTI",F1162&lt;25, "Low DTI")</f>
        <v>Low DTI</v>
      </c>
      <c r="H1162" t="str" cm="1">
        <f t="array" ref="H116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62" t="str">
        <f>_xlfn.XLOOKUP(H1162,Reference_Tables!$B$2:$B$7,Reference_Tables!$C$2:$C$7,,0,1)</f>
        <v>VHR</v>
      </c>
      <c r="J1162" t="str">
        <f>INDEX(Reference_Tables!$D$11:$D$36,MATCH(LoanData[[#This Row],[Branch]],Reference_Tables!$A$11:$A$36,0))</f>
        <v>Priyanka Gupta</v>
      </c>
      <c r="L1162" s="35"/>
    </row>
    <row r="1163" spans="2:12" ht="15.6" x14ac:dyDescent="0.3">
      <c r="B1163" s="15">
        <f>DATEDIF(Loan_Data!K:K,Loan_Data!L:L,"D")</f>
        <v>25</v>
      </c>
      <c r="C1163" s="15">
        <f ca="1">DATEDIF(LoanData[[#This Row],[Approval_Date]],TODAY(),"M")</f>
        <v>54</v>
      </c>
      <c r="D1163" s="31">
        <f>EDATE(LoanData[[#This Row],[Approval_Date]],LoanData[[#This Row],[Loan_Term_Months]])</f>
        <v>48259</v>
      </c>
      <c r="E1163" t="str">
        <f t="shared" ca="1" si="18"/>
        <v>NO</v>
      </c>
      <c r="F1163" s="33">
        <f>IFERROR(LoanData[[#This Row],[EMI]]/LoanData[[#This Row],[Monthly_Income]]*100," ")</f>
        <v>24.772371014601063</v>
      </c>
      <c r="G1163" t="str" cm="1">
        <f t="array" ref="G1163">_xlfn.IFS(F1163&gt;40, "High DTI Risk",F1163&gt;=25, "Moderate DTI",F1163&lt;25, "Low DTI")</f>
        <v>Low DTI</v>
      </c>
      <c r="H1163" t="str" cm="1">
        <f t="array" ref="H116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63" t="str">
        <f>_xlfn.XLOOKUP(H1163,Reference_Tables!$B$2:$B$7,Reference_Tables!$C$2:$C$7,,0,1)</f>
        <v>VHR</v>
      </c>
      <c r="J1163" t="str">
        <f>INDEX(Reference_Tables!$D$11:$D$36,MATCH(LoanData[[#This Row],[Branch]],Reference_Tables!$A$11:$A$36,0))</f>
        <v>Kavita Joshi</v>
      </c>
      <c r="L1163" s="35"/>
    </row>
    <row r="1164" spans="2:12" ht="15.6" x14ac:dyDescent="0.3">
      <c r="B1164" s="15">
        <f>DATEDIF(Loan_Data!K:K,Loan_Data!L:L,"D")</f>
        <v>17</v>
      </c>
      <c r="C1164" s="15">
        <f ca="1">DATEDIF(LoanData[[#This Row],[Approval_Date]],TODAY(),"M")</f>
        <v>65</v>
      </c>
      <c r="D1164" s="31">
        <f>EDATE(LoanData[[#This Row],[Approval_Date]],LoanData[[#This Row],[Loan_Term_Months]])</f>
        <v>45723</v>
      </c>
      <c r="E1164" t="str">
        <f t="shared" ca="1" si="18"/>
        <v>YES</v>
      </c>
      <c r="F1164" s="33">
        <f>IFERROR(LoanData[[#This Row],[EMI]]/LoanData[[#This Row],[Monthly_Income]]*100," ")</f>
        <v>4.9518575799063598</v>
      </c>
      <c r="G1164" t="str" cm="1">
        <f t="array" ref="G1164">_xlfn.IFS(F1164&gt;40, "High DTI Risk",F1164&gt;=25, "Moderate DTI",F1164&lt;25, "Low DTI")</f>
        <v>Low DTI</v>
      </c>
      <c r="H1164" t="str" cm="1">
        <f t="array" ref="H116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64" t="str">
        <f>_xlfn.XLOOKUP(H1164,Reference_Tables!$B$2:$B$7,Reference_Tables!$C$2:$C$7,,0,1)</f>
        <v>VHR</v>
      </c>
      <c r="J1164" t="str">
        <f>INDEX(Reference_Tables!$D$11:$D$36,MATCH(LoanData[[#This Row],[Branch]],Reference_Tables!$A$11:$A$36,0))</f>
        <v>Meena Iyer</v>
      </c>
      <c r="L1164" s="35"/>
    </row>
    <row r="1165" spans="2:12" ht="15.6" x14ac:dyDescent="0.3">
      <c r="B1165" s="15">
        <f>DATEDIF(Loan_Data!K:K,Loan_Data!L:L,"D")</f>
        <v>5</v>
      </c>
      <c r="C1165" s="15">
        <f ca="1">DATEDIF(LoanData[[#This Row],[Approval_Date]],TODAY(),"M")</f>
        <v>38</v>
      </c>
      <c r="D1165" s="31">
        <f>EDATE(LoanData[[#This Row],[Approval_Date]],LoanData[[#This Row],[Loan_Term_Months]])</f>
        <v>47623</v>
      </c>
      <c r="E1165" t="str">
        <f t="shared" ca="1" si="18"/>
        <v>NO</v>
      </c>
      <c r="F1165" s="33">
        <f>IFERROR(LoanData[[#This Row],[EMI]]/LoanData[[#This Row],[Monthly_Income]]*100," ")</f>
        <v>5.0493410727186667</v>
      </c>
      <c r="G1165" t="str" cm="1">
        <f t="array" ref="G1165">_xlfn.IFS(F1165&gt;40, "High DTI Risk",F1165&gt;=25, "Moderate DTI",F1165&lt;25, "Low DTI")</f>
        <v>Low DTI</v>
      </c>
      <c r="H1165" t="str" cm="1">
        <f t="array" ref="H116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65" t="str">
        <f>_xlfn.XLOOKUP(H1165,Reference_Tables!$B$2:$B$7,Reference_Tables!$C$2:$C$7,,0,1)</f>
        <v>MR</v>
      </c>
      <c r="J1165" t="str">
        <f>INDEX(Reference_Tables!$D$11:$D$36,MATCH(LoanData[[#This Row],[Branch]],Reference_Tables!$A$11:$A$36,0))</f>
        <v>Nilesh Shah</v>
      </c>
      <c r="L1165" s="35"/>
    </row>
    <row r="1166" spans="2:12" ht="15.6" x14ac:dyDescent="0.3">
      <c r="B1166" s="15">
        <f>DATEDIF(Loan_Data!K:K,Loan_Data!L:L,"D")</f>
        <v>24</v>
      </c>
      <c r="C1166" s="15">
        <f ca="1">DATEDIF(LoanData[[#This Row],[Approval_Date]],TODAY(),"M")</f>
        <v>54</v>
      </c>
      <c r="D1166" s="31">
        <f>EDATE(LoanData[[#This Row],[Approval_Date]],LoanData[[#This Row],[Loan_Term_Months]])</f>
        <v>51908</v>
      </c>
      <c r="E1166" t="str">
        <f t="shared" ca="1" si="18"/>
        <v>NO</v>
      </c>
      <c r="F1166" s="33">
        <f>IFERROR(LoanData[[#This Row],[EMI]]/LoanData[[#This Row],[Monthly_Income]]*100," ")</f>
        <v>3.7961555013627892</v>
      </c>
      <c r="G1166" t="str" cm="1">
        <f t="array" ref="G1166">_xlfn.IFS(F1166&gt;40, "High DTI Risk",F1166&gt;=25, "Moderate DTI",F1166&lt;25, "Low DTI")</f>
        <v>Low DTI</v>
      </c>
      <c r="H1166" t="str" cm="1">
        <f t="array" ref="H116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66" t="str">
        <f>_xlfn.XLOOKUP(H1166,Reference_Tables!$B$2:$B$7,Reference_Tables!$C$2:$C$7,,0,1)</f>
        <v>VHR</v>
      </c>
      <c r="J1166" t="str">
        <f>INDEX(Reference_Tables!$D$11:$D$36,MATCH(LoanData[[#This Row],[Branch]],Reference_Tables!$A$11:$A$36,0))</f>
        <v>Vikram Malhotra</v>
      </c>
      <c r="L1166" s="35"/>
    </row>
    <row r="1167" spans="2:12" ht="15.6" x14ac:dyDescent="0.3">
      <c r="B1167" s="15">
        <f>DATEDIF(Loan_Data!K:K,Loan_Data!L:L,"D")</f>
        <v>29</v>
      </c>
      <c r="C1167" s="15">
        <f ca="1">DATEDIF(LoanData[[#This Row],[Approval_Date]],TODAY(),"M")</f>
        <v>38</v>
      </c>
      <c r="D1167" s="31">
        <f>EDATE(LoanData[[#This Row],[Approval_Date]],LoanData[[#This Row],[Loan_Term_Months]])</f>
        <v>45803</v>
      </c>
      <c r="E1167" t="str">
        <f t="shared" ca="1" si="18"/>
        <v>YES</v>
      </c>
      <c r="F1167" s="33">
        <f>IFERROR(LoanData[[#This Row],[EMI]]/LoanData[[#This Row],[Monthly_Income]]*100," ")</f>
        <v>40.054387466044176</v>
      </c>
      <c r="G1167" t="str" cm="1">
        <f t="array" ref="G1167">_xlfn.IFS(F1167&gt;40, "High DTI Risk",F1167&gt;=25, "Moderate DTI",F1167&lt;25, "Low DTI")</f>
        <v>High DTI Risk</v>
      </c>
      <c r="H1167" t="str" cm="1">
        <f t="array" ref="H116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1167" t="str">
        <f>_xlfn.XLOOKUP(H1167,Reference_Tables!$B$2:$B$7,Reference_Tables!$C$2:$C$7,,0,1)</f>
        <v>UC</v>
      </c>
      <c r="J1167" t="str">
        <f>INDEX(Reference_Tables!$D$11:$D$36,MATCH(LoanData[[#This Row],[Branch]],Reference_Tables!$A$11:$A$36,0))</f>
        <v>Meena Iyer</v>
      </c>
      <c r="L1167" s="35"/>
    </row>
    <row r="1168" spans="2:12" ht="15.6" x14ac:dyDescent="0.3">
      <c r="B1168" s="15">
        <f>DATEDIF(Loan_Data!K:K,Loan_Data!L:L,"D")</f>
        <v>15</v>
      </c>
      <c r="C1168" s="15">
        <f ca="1">DATEDIF(LoanData[[#This Row],[Approval_Date]],TODAY(),"M")</f>
        <v>41</v>
      </c>
      <c r="D1168" s="31">
        <f>EDATE(LoanData[[#This Row],[Approval_Date]],LoanData[[#This Row],[Loan_Term_Months]])</f>
        <v>48630</v>
      </c>
      <c r="E1168" t="str">
        <f t="shared" ca="1" si="18"/>
        <v>NO</v>
      </c>
      <c r="F1168" s="33">
        <f>IFERROR(LoanData[[#This Row],[EMI]]/LoanData[[#This Row],[Monthly_Income]]*100," ")</f>
        <v>0.50176495272888844</v>
      </c>
      <c r="G1168" t="str" cm="1">
        <f t="array" ref="G1168">_xlfn.IFS(F1168&gt;40, "High DTI Risk",F1168&gt;=25, "Moderate DTI",F1168&lt;25, "Low DTI")</f>
        <v>Low DTI</v>
      </c>
      <c r="H1168" t="str" cm="1">
        <f t="array" ref="H116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68" t="str">
        <f>_xlfn.XLOOKUP(H1168,Reference_Tables!$B$2:$B$7,Reference_Tables!$C$2:$C$7,,0,1)</f>
        <v>MR</v>
      </c>
      <c r="J1168" t="str">
        <f>INDEX(Reference_Tables!$D$11:$D$36,MATCH(LoanData[[#This Row],[Branch]],Reference_Tables!$A$11:$A$36,0))</f>
        <v>Vikram Malhotra</v>
      </c>
      <c r="L1168" s="35"/>
    </row>
    <row r="1169" spans="2:12" ht="15.6" x14ac:dyDescent="0.3">
      <c r="B1169" s="15">
        <f>DATEDIF(Loan_Data!K:K,Loan_Data!L:L,"D")</f>
        <v>16</v>
      </c>
      <c r="C1169" s="15">
        <f ca="1">DATEDIF(LoanData[[#This Row],[Approval_Date]],TODAY(),"M")</f>
        <v>61</v>
      </c>
      <c r="D1169" s="31">
        <f>EDATE(LoanData[[#This Row],[Approval_Date]],LoanData[[#This Row],[Loan_Term_Months]])</f>
        <v>51671</v>
      </c>
      <c r="E1169" t="str">
        <f t="shared" ca="1" si="18"/>
        <v>NO</v>
      </c>
      <c r="F1169" s="33">
        <f>IFERROR(LoanData[[#This Row],[EMI]]/LoanData[[#This Row],[Monthly_Income]]*100," ")</f>
        <v>19.63196190497812</v>
      </c>
      <c r="G1169" t="str" cm="1">
        <f t="array" ref="G1169">_xlfn.IFS(F1169&gt;40, "High DTI Risk",F1169&gt;=25, "Moderate DTI",F1169&lt;25, "Low DTI")</f>
        <v>Low DTI</v>
      </c>
      <c r="H1169" t="str" cm="1">
        <f t="array" ref="H116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69" t="str">
        <f>_xlfn.XLOOKUP(H1169,Reference_Tables!$B$2:$B$7,Reference_Tables!$C$2:$C$7,,0,1)</f>
        <v>VHR</v>
      </c>
      <c r="J1169" t="str">
        <f>INDEX(Reference_Tables!$D$11:$D$36,MATCH(LoanData[[#This Row],[Branch]],Reference_Tables!$A$11:$A$36,0))</f>
        <v>Sandeep Saxena</v>
      </c>
      <c r="L1169" s="35"/>
    </row>
    <row r="1170" spans="2:12" ht="15.6" x14ac:dyDescent="0.3">
      <c r="B1170" s="15">
        <f>DATEDIF(Loan_Data!K:K,Loan_Data!L:L,"D")</f>
        <v>20</v>
      </c>
      <c r="C1170" s="15">
        <f ca="1">DATEDIF(LoanData[[#This Row],[Approval_Date]],TODAY(),"M")</f>
        <v>43</v>
      </c>
      <c r="D1170" s="31">
        <f>EDATE(LoanData[[#This Row],[Approval_Date]],LoanData[[#This Row],[Loan_Term_Months]])</f>
        <v>48571</v>
      </c>
      <c r="E1170" t="str">
        <f t="shared" ca="1" si="18"/>
        <v>NO</v>
      </c>
      <c r="F1170" s="33">
        <f>IFERROR(LoanData[[#This Row],[EMI]]/LoanData[[#This Row],[Monthly_Income]]*100," ")</f>
        <v>4.9181391292681296</v>
      </c>
      <c r="G1170" t="str" cm="1">
        <f t="array" ref="G1170">_xlfn.IFS(F1170&gt;40, "High DTI Risk",F1170&gt;=25, "Moderate DTI",F1170&lt;25, "Low DTI")</f>
        <v>Low DTI</v>
      </c>
      <c r="H1170" t="str" cm="1">
        <f t="array" ref="H117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70" t="str">
        <f>_xlfn.XLOOKUP(H1170,Reference_Tables!$B$2:$B$7,Reference_Tables!$C$2:$C$7,,0,1)</f>
        <v>LR</v>
      </c>
      <c r="J1170" t="str">
        <f>INDEX(Reference_Tables!$D$11:$D$36,MATCH(LoanData[[#This Row],[Branch]],Reference_Tables!$A$11:$A$36,0))</f>
        <v>Debashis Das</v>
      </c>
      <c r="L1170" s="35"/>
    </row>
    <row r="1171" spans="2:12" ht="15.6" x14ac:dyDescent="0.3">
      <c r="B1171" s="15">
        <f>DATEDIF(Loan_Data!K:K,Loan_Data!L:L,"D")</f>
        <v>14</v>
      </c>
      <c r="C1171" s="15">
        <f ca="1">DATEDIF(LoanData[[#This Row],[Approval_Date]],TODAY(),"M")</f>
        <v>43</v>
      </c>
      <c r="D1171" s="31">
        <f>EDATE(LoanData[[#This Row],[Approval_Date]],LoanData[[#This Row],[Loan_Term_Months]])</f>
        <v>50396</v>
      </c>
      <c r="E1171" t="str">
        <f t="shared" ca="1" si="18"/>
        <v>NO</v>
      </c>
      <c r="F1171" s="33">
        <f>IFERROR(LoanData[[#This Row],[EMI]]/LoanData[[#This Row],[Monthly_Income]]*100," ")</f>
        <v>12.205332494671001</v>
      </c>
      <c r="G1171" t="str" cm="1">
        <f t="array" ref="G1171">_xlfn.IFS(F1171&gt;40, "High DTI Risk",F1171&gt;=25, "Moderate DTI",F1171&lt;25, "Low DTI")</f>
        <v>Low DTI</v>
      </c>
      <c r="H1171" t="str" cm="1">
        <f t="array" ref="H117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71" t="str">
        <f>_xlfn.XLOOKUP(H1171,Reference_Tables!$B$2:$B$7,Reference_Tables!$C$2:$C$7,,0,1)</f>
        <v>VHR</v>
      </c>
      <c r="J1171" t="str">
        <f>INDEX(Reference_Tables!$D$11:$D$36,MATCH(LoanData[[#This Row],[Branch]],Reference_Tables!$A$11:$A$36,0))</f>
        <v>Nilesh Shah</v>
      </c>
      <c r="L1171" s="35"/>
    </row>
    <row r="1172" spans="2:12" ht="15.6" x14ac:dyDescent="0.3">
      <c r="B1172" s="15">
        <f>DATEDIF(Loan_Data!K:K,Loan_Data!L:L,"D")</f>
        <v>18</v>
      </c>
      <c r="C1172" s="15">
        <f ca="1">DATEDIF(LoanData[[#This Row],[Approval_Date]],TODAY(),"M")</f>
        <v>49</v>
      </c>
      <c r="D1172" s="31">
        <f>EDATE(LoanData[[#This Row],[Approval_Date]],LoanData[[#This Row],[Loan_Term_Months]])</f>
        <v>48400</v>
      </c>
      <c r="E1172" t="str">
        <f t="shared" ca="1" si="18"/>
        <v>NO</v>
      </c>
      <c r="F1172" s="33">
        <f>IFERROR(LoanData[[#This Row],[EMI]]/LoanData[[#This Row],[Monthly_Income]]*100," ")</f>
        <v>2.4525798309892157</v>
      </c>
      <c r="G1172" t="str" cm="1">
        <f t="array" ref="G1172">_xlfn.IFS(F1172&gt;40, "High DTI Risk",F1172&gt;=25, "Moderate DTI",F1172&lt;25, "Low DTI")</f>
        <v>Low DTI</v>
      </c>
      <c r="H1172" t="str" cm="1">
        <f t="array" ref="H117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72" t="str">
        <f>_xlfn.XLOOKUP(H1172,Reference_Tables!$B$2:$B$7,Reference_Tables!$C$2:$C$7,,0,1)</f>
        <v>MR</v>
      </c>
      <c r="J1172" t="str">
        <f>INDEX(Reference_Tables!$D$11:$D$36,MATCH(LoanData[[#This Row],[Branch]],Reference_Tables!$A$11:$A$36,0))</f>
        <v>Arvind Pillai</v>
      </c>
      <c r="L1172" s="35"/>
    </row>
    <row r="1173" spans="2:12" ht="15.6" x14ac:dyDescent="0.3">
      <c r="B1173" s="15">
        <f>DATEDIF(Loan_Data!K:K,Loan_Data!L:L,"D")</f>
        <v>7</v>
      </c>
      <c r="C1173" s="15">
        <f ca="1">DATEDIF(LoanData[[#This Row],[Approval_Date]],TODAY(),"M")</f>
        <v>33</v>
      </c>
      <c r="D1173" s="31">
        <f>EDATE(LoanData[[#This Row],[Approval_Date]],LoanData[[#This Row],[Loan_Term_Months]])</f>
        <v>47784</v>
      </c>
      <c r="E1173" t="str">
        <f t="shared" ca="1" si="18"/>
        <v>NO</v>
      </c>
      <c r="F1173" s="33">
        <f>IFERROR(LoanData[[#This Row],[EMI]]/LoanData[[#This Row],[Monthly_Income]]*100," ")</f>
        <v>5.8334479342064656</v>
      </c>
      <c r="G1173" t="str" cm="1">
        <f t="array" ref="G1173">_xlfn.IFS(F1173&gt;40, "High DTI Risk",F1173&gt;=25, "Moderate DTI",F1173&lt;25, "Low DTI")</f>
        <v>Low DTI</v>
      </c>
      <c r="H1173" t="str" cm="1">
        <f t="array" ref="H117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73" t="str">
        <f>_xlfn.XLOOKUP(H1173,Reference_Tables!$B$2:$B$7,Reference_Tables!$C$2:$C$7,,0,1)</f>
        <v>HR</v>
      </c>
      <c r="J1173" t="str">
        <f>INDEX(Reference_Tables!$D$11:$D$36,MATCH(LoanData[[#This Row],[Branch]],Reference_Tables!$A$11:$A$36,0))</f>
        <v>Priya Yadav</v>
      </c>
      <c r="L1173" s="35"/>
    </row>
    <row r="1174" spans="2:12" ht="15.6" x14ac:dyDescent="0.3">
      <c r="B1174" s="15">
        <f>DATEDIF(Loan_Data!K:K,Loan_Data!L:L,"D")</f>
        <v>17</v>
      </c>
      <c r="C1174" s="15">
        <f ca="1">DATEDIF(LoanData[[#This Row],[Approval_Date]],TODAY(),"M")</f>
        <v>58</v>
      </c>
      <c r="D1174" s="31">
        <f>EDATE(LoanData[[#This Row],[Approval_Date]],LoanData[[#This Row],[Loan_Term_Months]])</f>
        <v>49945</v>
      </c>
      <c r="E1174" t="str">
        <f t="shared" ca="1" si="18"/>
        <v>NO</v>
      </c>
      <c r="F1174" s="33">
        <f>IFERROR(LoanData[[#This Row],[EMI]]/LoanData[[#This Row],[Monthly_Income]]*100," ")</f>
        <v>2.5558085994434876</v>
      </c>
      <c r="G1174" t="str" cm="1">
        <f t="array" ref="G1174">_xlfn.IFS(F1174&gt;40, "High DTI Risk",F1174&gt;=25, "Moderate DTI",F1174&lt;25, "Low DTI")</f>
        <v>Low DTI</v>
      </c>
      <c r="H1174" t="str" cm="1">
        <f t="array" ref="H117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74" t="str">
        <f>_xlfn.XLOOKUP(H1174,Reference_Tables!$B$2:$B$7,Reference_Tables!$C$2:$C$7,,0,1)</f>
        <v>HR</v>
      </c>
      <c r="J1174" t="str">
        <f>INDEX(Reference_Tables!$D$11:$D$36,MATCH(LoanData[[#This Row],[Branch]],Reference_Tables!$A$11:$A$36,0))</f>
        <v>Debashis Das</v>
      </c>
      <c r="L1174" s="35"/>
    </row>
    <row r="1175" spans="2:12" ht="15.6" x14ac:dyDescent="0.3">
      <c r="B1175" s="15">
        <f>DATEDIF(Loan_Data!K:K,Loan_Data!L:L,"D")</f>
        <v>26</v>
      </c>
      <c r="C1175" s="15">
        <f ca="1">DATEDIF(LoanData[[#This Row],[Approval_Date]],TODAY(),"M")</f>
        <v>37</v>
      </c>
      <c r="D1175" s="31">
        <f>EDATE(LoanData[[#This Row],[Approval_Date]],LoanData[[#This Row],[Loan_Term_Months]])</f>
        <v>52428</v>
      </c>
      <c r="E1175" t="str">
        <f t="shared" ca="1" si="18"/>
        <v>NO</v>
      </c>
      <c r="F1175" s="33">
        <f>IFERROR(LoanData[[#This Row],[EMI]]/LoanData[[#This Row],[Monthly_Income]]*100," ")</f>
        <v>16.330387882174925</v>
      </c>
      <c r="G1175" t="str" cm="1">
        <f t="array" ref="G1175">_xlfn.IFS(F1175&gt;40, "High DTI Risk",F1175&gt;=25, "Moderate DTI",F1175&lt;25, "Low DTI")</f>
        <v>Low DTI</v>
      </c>
      <c r="H1175" t="str" cm="1">
        <f t="array" ref="H117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75" t="str">
        <f>_xlfn.XLOOKUP(H1175,Reference_Tables!$B$2:$B$7,Reference_Tables!$C$2:$C$7,,0,1)</f>
        <v>VHR</v>
      </c>
      <c r="J1175" t="str">
        <f>INDEX(Reference_Tables!$D$11:$D$36,MATCH(LoanData[[#This Row],[Branch]],Reference_Tables!$A$11:$A$36,0))</f>
        <v>Sachin Deshpande</v>
      </c>
      <c r="L1175" s="35"/>
    </row>
    <row r="1176" spans="2:12" ht="15.6" x14ac:dyDescent="0.3">
      <c r="B1176" s="15">
        <f>DATEDIF(Loan_Data!K:K,Loan_Data!L:L,"D")</f>
        <v>12</v>
      </c>
      <c r="C1176" s="15">
        <f ca="1">DATEDIF(LoanData[[#This Row],[Approval_Date]],TODAY(),"M")</f>
        <v>32</v>
      </c>
      <c r="D1176" s="31">
        <f>EDATE(LoanData[[#This Row],[Approval_Date]],LoanData[[#This Row],[Loan_Term_Months]])</f>
        <v>47078</v>
      </c>
      <c r="E1176" t="str">
        <f t="shared" ca="1" si="18"/>
        <v>NO</v>
      </c>
      <c r="F1176" s="33">
        <f>IFERROR(LoanData[[#This Row],[EMI]]/LoanData[[#This Row],[Monthly_Income]]*100," ")</f>
        <v>41.248734134256431</v>
      </c>
      <c r="G1176" t="str" cm="1">
        <f t="array" ref="G1176">_xlfn.IFS(F1176&gt;40, "High DTI Risk",F1176&gt;=25, "Moderate DTI",F1176&lt;25, "Low DTI")</f>
        <v>High DTI Risk</v>
      </c>
      <c r="H1176" t="str" cm="1">
        <f t="array" ref="H117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76" t="str">
        <f>_xlfn.XLOOKUP(H1176,Reference_Tables!$B$2:$B$7,Reference_Tables!$C$2:$C$7,,0,1)</f>
        <v>VHR</v>
      </c>
      <c r="J1176" t="str">
        <f>INDEX(Reference_Tables!$D$11:$D$36,MATCH(LoanData[[#This Row],[Branch]],Reference_Tables!$A$11:$A$36,0))</f>
        <v>Hetal Patel</v>
      </c>
      <c r="L1176" s="35"/>
    </row>
    <row r="1177" spans="2:12" ht="15.6" x14ac:dyDescent="0.3">
      <c r="B1177" s="15">
        <f>DATEDIF(Loan_Data!K:K,Loan_Data!L:L,"D")</f>
        <v>9</v>
      </c>
      <c r="C1177" s="15">
        <f ca="1">DATEDIF(LoanData[[#This Row],[Approval_Date]],TODAY(),"M")</f>
        <v>53</v>
      </c>
      <c r="D1177" s="31">
        <f>EDATE(LoanData[[#This Row],[Approval_Date]],LoanData[[#This Row],[Loan_Term_Months]])</f>
        <v>47176</v>
      </c>
      <c r="E1177" t="str">
        <f t="shared" ca="1" si="18"/>
        <v>NO</v>
      </c>
      <c r="F1177" s="33">
        <f>IFERROR(LoanData[[#This Row],[EMI]]/LoanData[[#This Row],[Monthly_Income]]*100," ")</f>
        <v>3.0001550791180427</v>
      </c>
      <c r="G1177" t="str" cm="1">
        <f t="array" ref="G1177">_xlfn.IFS(F1177&gt;40, "High DTI Risk",F1177&gt;=25, "Moderate DTI",F1177&lt;25, "Low DTI")</f>
        <v>Low DTI</v>
      </c>
      <c r="H1177" t="str" cm="1">
        <f t="array" ref="H117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77" t="str">
        <f>_xlfn.XLOOKUP(H1177,Reference_Tables!$B$2:$B$7,Reference_Tables!$C$2:$C$7,,0,1)</f>
        <v>HR</v>
      </c>
      <c r="J1177" t="str">
        <f>INDEX(Reference_Tables!$D$11:$D$36,MATCH(LoanData[[#This Row],[Branch]],Reference_Tables!$A$11:$A$36,0))</f>
        <v>Ananya Sharma</v>
      </c>
      <c r="L1177" s="35"/>
    </row>
    <row r="1178" spans="2:12" ht="15.6" x14ac:dyDescent="0.3">
      <c r="B1178" s="15">
        <f>DATEDIF(Loan_Data!K:K,Loan_Data!L:L,"D")</f>
        <v>20</v>
      </c>
      <c r="C1178" s="15">
        <f ca="1">DATEDIF(LoanData[[#This Row],[Approval_Date]],TODAY(),"M")</f>
        <v>47</v>
      </c>
      <c r="D1178" s="31">
        <f>EDATE(LoanData[[#This Row],[Approval_Date]],LoanData[[#This Row],[Loan_Term_Months]])</f>
        <v>48464</v>
      </c>
      <c r="E1178" t="str">
        <f t="shared" ca="1" si="18"/>
        <v>NO</v>
      </c>
      <c r="F1178" s="33">
        <f>IFERROR(LoanData[[#This Row],[EMI]]/LoanData[[#This Row],[Monthly_Income]]*100," ")</f>
        <v>11.300800627581275</v>
      </c>
      <c r="G1178" t="str" cm="1">
        <f t="array" ref="G1178">_xlfn.IFS(F1178&gt;40, "High DTI Risk",F1178&gt;=25, "Moderate DTI",F1178&lt;25, "Low DTI")</f>
        <v>Low DTI</v>
      </c>
      <c r="H1178" t="str" cm="1">
        <f t="array" ref="H117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78" t="str">
        <f>_xlfn.XLOOKUP(H1178,Reference_Tables!$B$2:$B$7,Reference_Tables!$C$2:$C$7,,0,1)</f>
        <v>MR</v>
      </c>
      <c r="J1178" t="str">
        <f>INDEX(Reference_Tables!$D$11:$D$36,MATCH(LoanData[[#This Row],[Branch]],Reference_Tables!$A$11:$A$36,0))</f>
        <v>Rahul Kapoor</v>
      </c>
      <c r="L1178" s="35"/>
    </row>
    <row r="1179" spans="2:12" ht="15.6" x14ac:dyDescent="0.3">
      <c r="B1179" s="15">
        <f>DATEDIF(Loan_Data!K:K,Loan_Data!L:L,"D")</f>
        <v>10</v>
      </c>
      <c r="C1179" s="15">
        <f ca="1">DATEDIF(LoanData[[#This Row],[Approval_Date]],TODAY(),"M")</f>
        <v>36</v>
      </c>
      <c r="D1179" s="31">
        <f>EDATE(LoanData[[#This Row],[Approval_Date]],LoanData[[#This Row],[Loan_Term_Months]])</f>
        <v>46954</v>
      </c>
      <c r="E1179" t="str">
        <f t="shared" ca="1" si="18"/>
        <v>NO</v>
      </c>
      <c r="F1179" s="33">
        <f>IFERROR(LoanData[[#This Row],[EMI]]/LoanData[[#This Row],[Monthly_Income]]*100," ")</f>
        <v>1.4970973627467241</v>
      </c>
      <c r="G1179" t="str" cm="1">
        <f t="array" ref="G1179">_xlfn.IFS(F1179&gt;40, "High DTI Risk",F1179&gt;=25, "Moderate DTI",F1179&lt;25, "Low DTI")</f>
        <v>Low DTI</v>
      </c>
      <c r="H1179" t="str" cm="1">
        <f t="array" ref="H117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79" t="str">
        <f>_xlfn.XLOOKUP(H1179,Reference_Tables!$B$2:$B$7,Reference_Tables!$C$2:$C$7,,0,1)</f>
        <v>LR</v>
      </c>
      <c r="J1179" t="str">
        <f>INDEX(Reference_Tables!$D$11:$D$36,MATCH(LoanData[[#This Row],[Branch]],Reference_Tables!$A$11:$A$36,0))</f>
        <v>Santhosh Rao</v>
      </c>
      <c r="L1179" s="35"/>
    </row>
    <row r="1180" spans="2:12" ht="15.6" x14ac:dyDescent="0.3">
      <c r="B1180" s="15">
        <f>DATEDIF(Loan_Data!K:K,Loan_Data!L:L,"D")</f>
        <v>28</v>
      </c>
      <c r="C1180" s="15">
        <f ca="1">DATEDIF(LoanData[[#This Row],[Approval_Date]],TODAY(),"M")</f>
        <v>47</v>
      </c>
      <c r="D1180" s="31">
        <f>EDATE(LoanData[[#This Row],[Approval_Date]],LoanData[[#This Row],[Loan_Term_Months]])</f>
        <v>52099</v>
      </c>
      <c r="E1180" t="str">
        <f t="shared" ca="1" si="18"/>
        <v>NO</v>
      </c>
      <c r="F1180" s="33">
        <f>IFERROR(LoanData[[#This Row],[EMI]]/LoanData[[#This Row],[Monthly_Income]]*100," ")</f>
        <v>1.1526850339675883</v>
      </c>
      <c r="G1180" t="str" cm="1">
        <f t="array" ref="G1180">_xlfn.IFS(F1180&gt;40, "High DTI Risk",F1180&gt;=25, "Moderate DTI",F1180&lt;25, "Low DTI")</f>
        <v>Low DTI</v>
      </c>
      <c r="H1180" t="str" cm="1">
        <f t="array" ref="H118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80" t="str">
        <f>_xlfn.XLOOKUP(H1180,Reference_Tables!$B$2:$B$7,Reference_Tables!$C$2:$C$7,,0,1)</f>
        <v>LR</v>
      </c>
      <c r="J1180" t="str">
        <f>INDEX(Reference_Tables!$D$11:$D$36,MATCH(LoanData[[#This Row],[Branch]],Reference_Tables!$A$11:$A$36,0))</f>
        <v>Rahul Kapoor</v>
      </c>
      <c r="L1180" s="35"/>
    </row>
    <row r="1181" spans="2:12" ht="15.6" x14ac:dyDescent="0.3">
      <c r="B1181" s="15">
        <f>DATEDIF(Loan_Data!K:K,Loan_Data!L:L,"D")</f>
        <v>10</v>
      </c>
      <c r="C1181" s="15">
        <f ca="1">DATEDIF(LoanData[[#This Row],[Approval_Date]],TODAY(),"M")</f>
        <v>45</v>
      </c>
      <c r="D1181" s="31">
        <f>EDATE(LoanData[[#This Row],[Approval_Date]],LoanData[[#This Row],[Loan_Term_Months]])</f>
        <v>52161</v>
      </c>
      <c r="E1181" t="str">
        <f t="shared" ca="1" si="18"/>
        <v>NO</v>
      </c>
      <c r="F1181" s="33">
        <f>IFERROR(LoanData[[#This Row],[EMI]]/LoanData[[#This Row],[Monthly_Income]]*100," ")</f>
        <v>5.3262404209739334</v>
      </c>
      <c r="G1181" t="str" cm="1">
        <f t="array" ref="G1181">_xlfn.IFS(F1181&gt;40, "High DTI Risk",F1181&gt;=25, "Moderate DTI",F1181&lt;25, "Low DTI")</f>
        <v>Low DTI</v>
      </c>
      <c r="H1181" t="str" cm="1">
        <f t="array" ref="H118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81" t="str">
        <f>_xlfn.XLOOKUP(H1181,Reference_Tables!$B$2:$B$7,Reference_Tables!$C$2:$C$7,,0,1)</f>
        <v>VHR</v>
      </c>
      <c r="J1181" t="str">
        <f>INDEX(Reference_Tables!$D$11:$D$36,MATCH(LoanData[[#This Row],[Branch]],Reference_Tables!$A$11:$A$36,0))</f>
        <v>Ravi Verma</v>
      </c>
      <c r="L1181" s="35"/>
    </row>
    <row r="1182" spans="2:12" ht="15.6" x14ac:dyDescent="0.3">
      <c r="B1182" s="15">
        <f>DATEDIF(Loan_Data!K:K,Loan_Data!L:L,"D")</f>
        <v>12</v>
      </c>
      <c r="C1182" s="15">
        <f ca="1">DATEDIF(LoanData[[#This Row],[Approval_Date]],TODAY(),"M")</f>
        <v>64</v>
      </c>
      <c r="D1182" s="31">
        <f>EDATE(LoanData[[#This Row],[Approval_Date]],LoanData[[#This Row],[Loan_Term_Months]])</f>
        <v>51597</v>
      </c>
      <c r="E1182" t="str">
        <f t="shared" ca="1" si="18"/>
        <v>NO</v>
      </c>
      <c r="F1182" s="33">
        <f>IFERROR(LoanData[[#This Row],[EMI]]/LoanData[[#This Row],[Monthly_Income]]*100," ")</f>
        <v>0.55642318114274059</v>
      </c>
      <c r="G1182" t="str" cm="1">
        <f t="array" ref="G1182">_xlfn.IFS(F1182&gt;40, "High DTI Risk",F1182&gt;=25, "Moderate DTI",F1182&lt;25, "Low DTI")</f>
        <v>Low DTI</v>
      </c>
      <c r="H1182" t="str" cm="1">
        <f t="array" ref="H118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82" t="str">
        <f>_xlfn.XLOOKUP(H1182,Reference_Tables!$B$2:$B$7,Reference_Tables!$C$2:$C$7,,0,1)</f>
        <v>LR</v>
      </c>
      <c r="J1182" t="str">
        <f>INDEX(Reference_Tables!$D$11:$D$36,MATCH(LoanData[[#This Row],[Branch]],Reference_Tables!$A$11:$A$36,0))</f>
        <v>Debashis Das</v>
      </c>
      <c r="L1182" s="35"/>
    </row>
    <row r="1183" spans="2:12" ht="15.6" x14ac:dyDescent="0.3">
      <c r="B1183" s="15">
        <f>DATEDIF(Loan_Data!K:K,Loan_Data!L:L,"D")</f>
        <v>7</v>
      </c>
      <c r="C1183" s="15">
        <f ca="1">DATEDIF(LoanData[[#This Row],[Approval_Date]],TODAY(),"M")</f>
        <v>50</v>
      </c>
      <c r="D1183" s="31">
        <f>EDATE(LoanData[[#This Row],[Approval_Date]],LoanData[[#This Row],[Loan_Term_Months]])</f>
        <v>46174</v>
      </c>
      <c r="E1183" t="str">
        <f t="shared" ca="1" si="18"/>
        <v>YES</v>
      </c>
      <c r="F1183" s="33">
        <f>IFERROR(LoanData[[#This Row],[EMI]]/LoanData[[#This Row],[Monthly_Income]]*100," ")</f>
        <v>18.267749833073673</v>
      </c>
      <c r="G1183" t="str" cm="1">
        <f t="array" ref="G1183">_xlfn.IFS(F1183&gt;40, "High DTI Risk",F1183&gt;=25, "Moderate DTI",F1183&lt;25, "Low DTI")</f>
        <v>Low DTI</v>
      </c>
      <c r="H1183" t="str" cm="1">
        <f t="array" ref="H118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83" t="str">
        <f>_xlfn.XLOOKUP(H1183,Reference_Tables!$B$2:$B$7,Reference_Tables!$C$2:$C$7,,0,1)</f>
        <v>LR</v>
      </c>
      <c r="J1183" t="str">
        <f>INDEX(Reference_Tables!$D$11:$D$36,MATCH(LoanData[[#This Row],[Branch]],Reference_Tables!$A$11:$A$36,0))</f>
        <v>Suresh Menon</v>
      </c>
      <c r="L1183" s="35"/>
    </row>
    <row r="1184" spans="2:12" ht="15.6" x14ac:dyDescent="0.3">
      <c r="B1184" s="15">
        <f>DATEDIF(Loan_Data!K:K,Loan_Data!L:L,"D")</f>
        <v>24</v>
      </c>
      <c r="C1184" s="15">
        <f ca="1">DATEDIF(LoanData[[#This Row],[Approval_Date]],TODAY(),"M")</f>
        <v>31</v>
      </c>
      <c r="D1184" s="31">
        <f>EDATE(LoanData[[#This Row],[Approval_Date]],LoanData[[#This Row],[Loan_Term_Months]])</f>
        <v>50762</v>
      </c>
      <c r="E1184" t="str">
        <f t="shared" ca="1" si="18"/>
        <v>NO</v>
      </c>
      <c r="F1184" s="33">
        <f>IFERROR(LoanData[[#This Row],[EMI]]/LoanData[[#This Row],[Monthly_Income]]*100," ")</f>
        <v>1.5069197197657056</v>
      </c>
      <c r="G1184" t="str" cm="1">
        <f t="array" ref="G1184">_xlfn.IFS(F1184&gt;40, "High DTI Risk",F1184&gt;=25, "Moderate DTI",F1184&lt;25, "Low DTI")</f>
        <v>Low DTI</v>
      </c>
      <c r="H1184" t="str" cm="1">
        <f t="array" ref="H118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84" t="str">
        <f>_xlfn.XLOOKUP(H1184,Reference_Tables!$B$2:$B$7,Reference_Tables!$C$2:$C$7,,0,1)</f>
        <v>MR</v>
      </c>
      <c r="J1184" t="str">
        <f>INDEX(Reference_Tables!$D$11:$D$36,MATCH(LoanData[[#This Row],[Branch]],Reference_Tables!$A$11:$A$36,0))</f>
        <v>Amit Kumar</v>
      </c>
      <c r="L1184" s="35"/>
    </row>
    <row r="1185" spans="2:12" ht="15.6" x14ac:dyDescent="0.3">
      <c r="B1185" s="15">
        <f>DATEDIF(Loan_Data!K:K,Loan_Data!L:L,"D")</f>
        <v>23</v>
      </c>
      <c r="C1185" s="15">
        <f ca="1">DATEDIF(LoanData[[#This Row],[Approval_Date]],TODAY(),"M")</f>
        <v>32</v>
      </c>
      <c r="D1185" s="31">
        <f>EDATE(LoanData[[#This Row],[Approval_Date]],LoanData[[#This Row],[Loan_Term_Months]])</f>
        <v>50742</v>
      </c>
      <c r="E1185" t="str">
        <f t="shared" ca="1" si="18"/>
        <v>NO</v>
      </c>
      <c r="F1185" s="33">
        <f>IFERROR(LoanData[[#This Row],[EMI]]/LoanData[[#This Row],[Monthly_Income]]*100," ")</f>
        <v>1.9184005109281861</v>
      </c>
      <c r="G1185" t="str" cm="1">
        <f t="array" ref="G1185">_xlfn.IFS(F1185&gt;40, "High DTI Risk",F1185&gt;=25, "Moderate DTI",F1185&lt;25, "Low DTI")</f>
        <v>Low DTI</v>
      </c>
      <c r="H1185" t="str" cm="1">
        <f t="array" ref="H118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85" t="str">
        <f>_xlfn.XLOOKUP(H1185,Reference_Tables!$B$2:$B$7,Reference_Tables!$C$2:$C$7,,0,1)</f>
        <v>VHR</v>
      </c>
      <c r="J1185" t="str">
        <f>INDEX(Reference_Tables!$D$11:$D$36,MATCH(LoanData[[#This Row],[Branch]],Reference_Tables!$A$11:$A$36,0))</f>
        <v>Hetal Patel</v>
      </c>
      <c r="L1185" s="35"/>
    </row>
    <row r="1186" spans="2:12" ht="15.6" x14ac:dyDescent="0.3">
      <c r="B1186" s="15">
        <f>DATEDIF(Loan_Data!K:K,Loan_Data!L:L,"D")</f>
        <v>21</v>
      </c>
      <c r="C1186" s="15">
        <f ca="1">DATEDIF(LoanData[[#This Row],[Approval_Date]],TODAY(),"M")</f>
        <v>38</v>
      </c>
      <c r="D1186" s="31">
        <f>EDATE(LoanData[[#This Row],[Approval_Date]],LoanData[[#This Row],[Loan_Term_Months]])</f>
        <v>52382</v>
      </c>
      <c r="E1186" t="str">
        <f t="shared" ca="1" si="18"/>
        <v>NO</v>
      </c>
      <c r="F1186" s="33">
        <f>IFERROR(LoanData[[#This Row],[EMI]]/LoanData[[#This Row],[Monthly_Income]]*100," ")</f>
        <v>5.5378872386204581</v>
      </c>
      <c r="G1186" t="str" cm="1">
        <f t="array" ref="G1186">_xlfn.IFS(F1186&gt;40, "High DTI Risk",F1186&gt;=25, "Moderate DTI",F1186&lt;25, "Low DTI")</f>
        <v>Low DTI</v>
      </c>
      <c r="H1186" t="str" cm="1">
        <f t="array" ref="H118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86" t="str">
        <f>_xlfn.XLOOKUP(H1186,Reference_Tables!$B$2:$B$7,Reference_Tables!$C$2:$C$7,,0,1)</f>
        <v>LR</v>
      </c>
      <c r="J1186" t="str">
        <f>INDEX(Reference_Tables!$D$11:$D$36,MATCH(LoanData[[#This Row],[Branch]],Reference_Tables!$A$11:$A$36,0))</f>
        <v>Vikram Malhotra</v>
      </c>
      <c r="L1186" s="35"/>
    </row>
    <row r="1187" spans="2:12" ht="15.6" x14ac:dyDescent="0.3">
      <c r="B1187" s="15">
        <f>DATEDIF(Loan_Data!K:K,Loan_Data!L:L,"D")</f>
        <v>20</v>
      </c>
      <c r="C1187" s="15">
        <f ca="1">DATEDIF(LoanData[[#This Row],[Approval_Date]],TODAY(),"M")</f>
        <v>50</v>
      </c>
      <c r="D1187" s="31">
        <f>EDATE(LoanData[[#This Row],[Approval_Date]],LoanData[[#This Row],[Loan_Term_Months]])</f>
        <v>46171</v>
      </c>
      <c r="E1187" t="str">
        <f t="shared" ca="1" si="18"/>
        <v>YES</v>
      </c>
      <c r="F1187" s="33">
        <f>IFERROR(LoanData[[#This Row],[EMI]]/LoanData[[#This Row],[Monthly_Income]]*100," ")</f>
        <v>16.573965520970777</v>
      </c>
      <c r="G1187" t="str" cm="1">
        <f t="array" ref="G1187">_xlfn.IFS(F1187&gt;40, "High DTI Risk",F1187&gt;=25, "Moderate DTI",F1187&lt;25, "Low DTI")</f>
        <v>Low DTI</v>
      </c>
      <c r="H1187" t="str" cm="1">
        <f t="array" ref="H118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87" t="str">
        <f>_xlfn.XLOOKUP(H1187,Reference_Tables!$B$2:$B$7,Reference_Tables!$C$2:$C$7,,0,1)</f>
        <v>VHR</v>
      </c>
      <c r="J1187" t="str">
        <f>INDEX(Reference_Tables!$D$11:$D$36,MATCH(LoanData[[#This Row],[Branch]],Reference_Tables!$A$11:$A$36,0))</f>
        <v>Tapan Panda</v>
      </c>
      <c r="L1187" s="35"/>
    </row>
    <row r="1188" spans="2:12" ht="15.6" x14ac:dyDescent="0.3">
      <c r="B1188" s="15">
        <f>DATEDIF(Loan_Data!K:K,Loan_Data!L:L,"D")</f>
        <v>11</v>
      </c>
      <c r="C1188" s="15">
        <f ca="1">DATEDIF(LoanData[[#This Row],[Approval_Date]],TODAY(),"M")</f>
        <v>37</v>
      </c>
      <c r="D1188" s="31">
        <f>EDATE(LoanData[[#This Row],[Approval_Date]],LoanData[[#This Row],[Loan_Term_Months]])</f>
        <v>52424</v>
      </c>
      <c r="E1188" t="str">
        <f t="shared" ca="1" si="18"/>
        <v>NO</v>
      </c>
      <c r="F1188" s="33">
        <f>IFERROR(LoanData[[#This Row],[EMI]]/LoanData[[#This Row],[Monthly_Income]]*100," ")</f>
        <v>4.756197848943847</v>
      </c>
      <c r="G1188" t="str" cm="1">
        <f t="array" ref="G1188">_xlfn.IFS(F1188&gt;40, "High DTI Risk",F1188&gt;=25, "Moderate DTI",F1188&lt;25, "Low DTI")</f>
        <v>Low DTI</v>
      </c>
      <c r="H1188" t="str" cm="1">
        <f t="array" ref="H118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88" t="str">
        <f>_xlfn.XLOOKUP(H1188,Reference_Tables!$B$2:$B$7,Reference_Tables!$C$2:$C$7,,0,1)</f>
        <v>LR</v>
      </c>
      <c r="J1188" t="str">
        <f>INDEX(Reference_Tables!$D$11:$D$36,MATCH(LoanData[[#This Row],[Branch]],Reference_Tables!$A$11:$A$36,0))</f>
        <v>Kavita Joshi</v>
      </c>
      <c r="L1188" s="35"/>
    </row>
    <row r="1189" spans="2:12" ht="15.6" x14ac:dyDescent="0.3">
      <c r="B1189" s="15">
        <f>DATEDIF(Loan_Data!K:K,Loan_Data!L:L,"D")</f>
        <v>4</v>
      </c>
      <c r="C1189" s="15">
        <f ca="1">DATEDIF(LoanData[[#This Row],[Approval_Date]],TODAY(),"M")</f>
        <v>58</v>
      </c>
      <c r="D1189" s="31">
        <f>EDATE(LoanData[[#This Row],[Approval_Date]],LoanData[[#This Row],[Loan_Term_Months]])</f>
        <v>51782</v>
      </c>
      <c r="E1189" t="str">
        <f t="shared" ca="1" si="18"/>
        <v>NO</v>
      </c>
      <c r="F1189" s="33">
        <f>IFERROR(LoanData[[#This Row],[EMI]]/LoanData[[#This Row],[Monthly_Income]]*100," ")</f>
        <v>12.961248985355498</v>
      </c>
      <c r="G1189" t="str" cm="1">
        <f t="array" ref="G1189">_xlfn.IFS(F1189&gt;40, "High DTI Risk",F1189&gt;=25, "Moderate DTI",F1189&lt;25, "Low DTI")</f>
        <v>Low DTI</v>
      </c>
      <c r="H1189" t="str" cm="1">
        <f t="array" ref="H118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89" t="str">
        <f>_xlfn.XLOOKUP(H1189,Reference_Tables!$B$2:$B$7,Reference_Tables!$C$2:$C$7,,0,1)</f>
        <v>LR</v>
      </c>
      <c r="J1189" t="str">
        <f>INDEX(Reference_Tables!$D$11:$D$36,MATCH(LoanData[[#This Row],[Branch]],Reference_Tables!$A$11:$A$36,0))</f>
        <v>Hetal Patel</v>
      </c>
      <c r="L1189" s="35"/>
    </row>
    <row r="1190" spans="2:12" ht="15.6" x14ac:dyDescent="0.3">
      <c r="B1190" s="15">
        <f>DATEDIF(Loan_Data!K:K,Loan_Data!L:L,"D")</f>
        <v>19</v>
      </c>
      <c r="C1190" s="15">
        <f ca="1">DATEDIF(LoanData[[#This Row],[Approval_Date]],TODAY(),"M")</f>
        <v>47</v>
      </c>
      <c r="D1190" s="31">
        <f>EDATE(LoanData[[#This Row],[Approval_Date]],LoanData[[#This Row],[Loan_Term_Months]])</f>
        <v>52112</v>
      </c>
      <c r="E1190" t="str">
        <f t="shared" ca="1" si="18"/>
        <v>NO</v>
      </c>
      <c r="F1190" s="33">
        <f>IFERROR(LoanData[[#This Row],[EMI]]/LoanData[[#This Row],[Monthly_Income]]*100," ")</f>
        <v>0.80559368891194461</v>
      </c>
      <c r="G1190" t="str" cm="1">
        <f t="array" ref="G1190">_xlfn.IFS(F1190&gt;40, "High DTI Risk",F1190&gt;=25, "Moderate DTI",F1190&lt;25, "Low DTI")</f>
        <v>Low DTI</v>
      </c>
      <c r="H1190" t="str" cm="1">
        <f t="array" ref="H119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90" t="str">
        <f>_xlfn.XLOOKUP(H1190,Reference_Tables!$B$2:$B$7,Reference_Tables!$C$2:$C$7,,0,1)</f>
        <v>LR</v>
      </c>
      <c r="J1190" t="str">
        <f>INDEX(Reference_Tables!$D$11:$D$36,MATCH(LoanData[[#This Row],[Branch]],Reference_Tables!$A$11:$A$36,0))</f>
        <v>Vikram Malhotra</v>
      </c>
      <c r="L1190" s="35"/>
    </row>
    <row r="1191" spans="2:12" ht="15.6" x14ac:dyDescent="0.3">
      <c r="B1191" s="15">
        <f>DATEDIF(Loan_Data!K:K,Loan_Data!L:L,"D")</f>
        <v>10</v>
      </c>
      <c r="C1191" s="15">
        <f ca="1">DATEDIF(LoanData[[#This Row],[Approval_Date]],TODAY(),"M")</f>
        <v>49</v>
      </c>
      <c r="D1191" s="31">
        <f>EDATE(LoanData[[#This Row],[Approval_Date]],LoanData[[#This Row],[Loan_Term_Months]])</f>
        <v>52047</v>
      </c>
      <c r="E1191" t="str">
        <f t="shared" ca="1" si="18"/>
        <v>NO</v>
      </c>
      <c r="F1191" s="33">
        <f>IFERROR(LoanData[[#This Row],[EMI]]/LoanData[[#This Row],[Monthly_Income]]*100," ")</f>
        <v>0.44558124021114914</v>
      </c>
      <c r="G1191" t="str" cm="1">
        <f t="array" ref="G1191">_xlfn.IFS(F1191&gt;40, "High DTI Risk",F1191&gt;=25, "Moderate DTI",F1191&lt;25, "Low DTI")</f>
        <v>Low DTI</v>
      </c>
      <c r="H1191" t="str" cm="1">
        <f t="array" ref="H119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91" t="str">
        <f>_xlfn.XLOOKUP(H1191,Reference_Tables!$B$2:$B$7,Reference_Tables!$C$2:$C$7,,0,1)</f>
        <v>VHR</v>
      </c>
      <c r="J1191" t="str">
        <f>INDEX(Reference_Tables!$D$11:$D$36,MATCH(LoanData[[#This Row],[Branch]],Reference_Tables!$A$11:$A$36,0))</f>
        <v>Ravi Verma</v>
      </c>
      <c r="L1191" s="35"/>
    </row>
    <row r="1192" spans="2:12" ht="15.6" x14ac:dyDescent="0.3">
      <c r="B1192" s="15">
        <f>DATEDIF(Loan_Data!K:K,Loan_Data!L:L,"D")</f>
        <v>8</v>
      </c>
      <c r="C1192" s="15">
        <f ca="1">DATEDIF(LoanData[[#This Row],[Approval_Date]],TODAY(),"M")</f>
        <v>64</v>
      </c>
      <c r="D1192" s="31">
        <f>EDATE(LoanData[[#This Row],[Approval_Date]],LoanData[[#This Row],[Loan_Term_Months]])</f>
        <v>46117</v>
      </c>
      <c r="E1192" t="str">
        <f t="shared" ca="1" si="18"/>
        <v>YES</v>
      </c>
      <c r="F1192" s="33">
        <f>IFERROR(LoanData[[#This Row],[EMI]]/LoanData[[#This Row],[Monthly_Income]]*100," ")</f>
        <v>3.5365609218541207</v>
      </c>
      <c r="G1192" t="str" cm="1">
        <f t="array" ref="G1192">_xlfn.IFS(F1192&gt;40, "High DTI Risk",F1192&gt;=25, "Moderate DTI",F1192&lt;25, "Low DTI")</f>
        <v>Low DTI</v>
      </c>
      <c r="H1192" t="str" cm="1">
        <f t="array" ref="H1192">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92" t="str">
        <f>_xlfn.XLOOKUP(H1192,Reference_Tables!$B$2:$B$7,Reference_Tables!$C$2:$C$7,,0,1)</f>
        <v>VHR</v>
      </c>
      <c r="J1192" t="str">
        <f>INDEX(Reference_Tables!$D$11:$D$36,MATCH(LoanData[[#This Row],[Branch]],Reference_Tables!$A$11:$A$36,0))</f>
        <v>Tapan Panda</v>
      </c>
      <c r="L1192" s="35"/>
    </row>
    <row r="1193" spans="2:12" ht="15.6" x14ac:dyDescent="0.3">
      <c r="B1193" s="15">
        <f>DATEDIF(Loan_Data!K:K,Loan_Data!L:L,"D")</f>
        <v>24</v>
      </c>
      <c r="C1193" s="15">
        <f ca="1">DATEDIF(LoanData[[#This Row],[Approval_Date]],TODAY(),"M")</f>
        <v>62</v>
      </c>
      <c r="D1193" s="31">
        <f>EDATE(LoanData[[#This Row],[Approval_Date]],LoanData[[#This Row],[Loan_Term_Months]])</f>
        <v>51652</v>
      </c>
      <c r="E1193" t="str">
        <f t="shared" ca="1" si="18"/>
        <v>NO</v>
      </c>
      <c r="F1193" s="33">
        <f>IFERROR(LoanData[[#This Row],[EMI]]/LoanData[[#This Row],[Monthly_Income]]*100," ")</f>
        <v>2.0347148772923651</v>
      </c>
      <c r="G1193" t="str" cm="1">
        <f t="array" ref="G1193">_xlfn.IFS(F1193&gt;40, "High DTI Risk",F1193&gt;=25, "Moderate DTI",F1193&lt;25, "Low DTI")</f>
        <v>Low DTI</v>
      </c>
      <c r="H1193" t="str" cm="1">
        <f t="array" ref="H1193">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High Risk</v>
      </c>
      <c r="I1193" t="str">
        <f>_xlfn.XLOOKUP(H1193,Reference_Tables!$B$2:$B$7,Reference_Tables!$C$2:$C$7,,0,1)</f>
        <v>HR</v>
      </c>
      <c r="J1193" t="str">
        <f>INDEX(Reference_Tables!$D$11:$D$36,MATCH(LoanData[[#This Row],[Branch]],Reference_Tables!$A$11:$A$36,0))</f>
        <v>Puja Chatterjee</v>
      </c>
      <c r="L1193" s="35"/>
    </row>
    <row r="1194" spans="2:12" ht="15.6" x14ac:dyDescent="0.3">
      <c r="B1194" s="15">
        <f>DATEDIF(Loan_Data!K:K,Loan_Data!L:L,"D")</f>
        <v>9</v>
      </c>
      <c r="C1194" s="15">
        <f ca="1">DATEDIF(LoanData[[#This Row],[Approval_Date]],TODAY(),"M")</f>
        <v>43</v>
      </c>
      <c r="D1194" s="31">
        <f>EDATE(LoanData[[#This Row],[Approval_Date]],LoanData[[#This Row],[Loan_Term_Months]])</f>
        <v>45298</v>
      </c>
      <c r="E1194" t="str">
        <f t="shared" ca="1" si="18"/>
        <v>YES</v>
      </c>
      <c r="F1194" s="33">
        <f>IFERROR(LoanData[[#This Row],[EMI]]/LoanData[[#This Row],[Monthly_Income]]*100," ")</f>
        <v>47.960881223499975</v>
      </c>
      <c r="G1194" t="str" cm="1">
        <f t="array" ref="G1194">_xlfn.IFS(F1194&gt;40, "High DTI Risk",F1194&gt;=25, "Moderate DTI",F1194&lt;25, "Low DTI")</f>
        <v>High DTI Risk</v>
      </c>
      <c r="H1194" t="str" cm="1">
        <f t="array" ref="H1194">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94" t="str">
        <f>_xlfn.XLOOKUP(H1194,Reference_Tables!$B$2:$B$7,Reference_Tables!$C$2:$C$7,,0,1)</f>
        <v>VHR</v>
      </c>
      <c r="J1194" t="str">
        <f>INDEX(Reference_Tables!$D$11:$D$36,MATCH(LoanData[[#This Row],[Branch]],Reference_Tables!$A$11:$A$36,0))</f>
        <v>Meena Iyer</v>
      </c>
      <c r="L1194" s="35"/>
    </row>
    <row r="1195" spans="2:12" ht="15.6" x14ac:dyDescent="0.3">
      <c r="B1195" s="15">
        <f>DATEDIF(Loan_Data!K:K,Loan_Data!L:L,"D")</f>
        <v>10</v>
      </c>
      <c r="C1195" s="15">
        <f ca="1">DATEDIF(LoanData[[#This Row],[Approval_Date]],TODAY(),"M")</f>
        <v>45</v>
      </c>
      <c r="D1195" s="31">
        <f>EDATE(LoanData[[#This Row],[Approval_Date]],LoanData[[#This Row],[Loan_Term_Months]])</f>
        <v>46329</v>
      </c>
      <c r="E1195" t="str">
        <f t="shared" ca="1" si="18"/>
        <v>NO</v>
      </c>
      <c r="F1195" s="33">
        <f>IFERROR(LoanData[[#This Row],[EMI]]/LoanData[[#This Row],[Monthly_Income]]*100," ")</f>
        <v>2.4478554759797215</v>
      </c>
      <c r="G1195" t="str" cm="1">
        <f t="array" ref="G1195">_xlfn.IFS(F1195&gt;40, "High DTI Risk",F1195&gt;=25, "Moderate DTI",F1195&lt;25, "Low DTI")</f>
        <v>Low DTI</v>
      </c>
      <c r="H1195" t="str" cm="1">
        <f t="array" ref="H1195">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195" t="str">
        <f>_xlfn.XLOOKUP(H1195,Reference_Tables!$B$2:$B$7,Reference_Tables!$C$2:$C$7,,0,1)</f>
        <v>LR</v>
      </c>
      <c r="J1195" t="str">
        <f>INDEX(Reference_Tables!$D$11:$D$36,MATCH(LoanData[[#This Row],[Branch]],Reference_Tables!$A$11:$A$36,0))</f>
        <v>Meena Iyer</v>
      </c>
      <c r="L1195" s="35"/>
    </row>
    <row r="1196" spans="2:12" ht="15.6" x14ac:dyDescent="0.3">
      <c r="B1196" s="15">
        <f>DATEDIF(Loan_Data!K:K,Loan_Data!L:L,"D")</f>
        <v>27</v>
      </c>
      <c r="C1196" s="15">
        <f ca="1">DATEDIF(LoanData[[#This Row],[Approval_Date]],TODAY(),"M")</f>
        <v>39</v>
      </c>
      <c r="D1196" s="31">
        <f>EDATE(LoanData[[#This Row],[Approval_Date]],LoanData[[#This Row],[Loan_Term_Months]])</f>
        <v>52362</v>
      </c>
      <c r="E1196" t="str">
        <f t="shared" ca="1" si="18"/>
        <v>NO</v>
      </c>
      <c r="F1196" s="33">
        <f>IFERROR(LoanData[[#This Row],[EMI]]/LoanData[[#This Row],[Monthly_Income]]*100," ")</f>
        <v>70.012843391736965</v>
      </c>
      <c r="G1196" t="str" cm="1">
        <f t="array" ref="G1196">_xlfn.IFS(F1196&gt;40, "High DTI Risk",F1196&gt;=25, "Moderate DTI",F1196&lt;25, "Low DTI")</f>
        <v>High DTI Risk</v>
      </c>
      <c r="H1196" t="str" cm="1">
        <f t="array" ref="H1196">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Medium Risk</v>
      </c>
      <c r="I1196" t="str">
        <f>_xlfn.XLOOKUP(H1196,Reference_Tables!$B$2:$B$7,Reference_Tables!$C$2:$C$7,,0,1)</f>
        <v>MR</v>
      </c>
      <c r="J1196" t="str">
        <f>INDEX(Reference_Tables!$D$11:$D$36,MATCH(LoanData[[#This Row],[Branch]],Reference_Tables!$A$11:$A$36,0))</f>
        <v>Rahul Kapoor</v>
      </c>
      <c r="L1196" s="35"/>
    </row>
    <row r="1197" spans="2:12" ht="15.6" x14ac:dyDescent="0.3">
      <c r="B1197" s="15">
        <f>DATEDIF(Loan_Data!K:K,Loan_Data!L:L,"D")</f>
        <v>15</v>
      </c>
      <c r="C1197" s="15">
        <f ca="1">DATEDIF(LoanData[[#This Row],[Approval_Date]],TODAY(),"M")</f>
        <v>52</v>
      </c>
      <c r="D1197" s="31">
        <f>EDATE(LoanData[[#This Row],[Approval_Date]],LoanData[[#This Row],[Loan_Term_Months]])</f>
        <v>50128</v>
      </c>
      <c r="E1197" t="str">
        <f t="shared" ca="1" si="18"/>
        <v>NO</v>
      </c>
      <c r="F1197" s="33">
        <f>IFERROR(LoanData[[#This Row],[EMI]]/LoanData[[#This Row],[Monthly_Income]]*100," ")</f>
        <v>9.5420903364808556</v>
      </c>
      <c r="G1197" t="str" cm="1">
        <f t="array" ref="G1197">_xlfn.IFS(F1197&gt;40, "High DTI Risk",F1197&gt;=25, "Moderate DTI",F1197&lt;25, "Low DTI")</f>
        <v>Low DTI</v>
      </c>
      <c r="H1197" t="str" cm="1">
        <f t="array" ref="H1197">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97" t="str">
        <f>_xlfn.XLOOKUP(H1197,Reference_Tables!$B$2:$B$7,Reference_Tables!$C$2:$C$7,,0,1)</f>
        <v>VHR</v>
      </c>
      <c r="J1197" t="str">
        <f>INDEX(Reference_Tables!$D$11:$D$36,MATCH(LoanData[[#This Row],[Branch]],Reference_Tables!$A$11:$A$36,0))</f>
        <v>Nilesh Shah</v>
      </c>
      <c r="L1197" s="35"/>
    </row>
    <row r="1198" spans="2:12" ht="15.6" x14ac:dyDescent="0.3">
      <c r="B1198" s="15">
        <f>DATEDIF(Loan_Data!K:K,Loan_Data!L:L,"D")</f>
        <v>6</v>
      </c>
      <c r="C1198" s="15">
        <f ca="1">DATEDIF(LoanData[[#This Row],[Approval_Date]],TODAY(),"M")</f>
        <v>64</v>
      </c>
      <c r="D1198" s="31">
        <f>EDATE(LoanData[[#This Row],[Approval_Date]],LoanData[[#This Row],[Loan_Term_Months]])</f>
        <v>51590</v>
      </c>
      <c r="E1198" t="str">
        <f t="shared" ca="1" si="18"/>
        <v>NO</v>
      </c>
      <c r="F1198" s="33">
        <f>IFERROR(LoanData[[#This Row],[EMI]]/LoanData[[#This Row],[Monthly_Income]]*100," ")</f>
        <v>23.039691778923444</v>
      </c>
      <c r="G1198" t="str" cm="1">
        <f t="array" ref="G1198">_xlfn.IFS(F1198&gt;40, "High DTI Risk",F1198&gt;=25, "Moderate DTI",F1198&lt;25, "Low DTI")</f>
        <v>Low DTI</v>
      </c>
      <c r="H1198" t="str" cm="1">
        <f t="array" ref="H1198">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198" t="str">
        <f>_xlfn.XLOOKUP(H1198,Reference_Tables!$B$2:$B$7,Reference_Tables!$C$2:$C$7,,0,1)</f>
        <v>VHR</v>
      </c>
      <c r="J1198" t="str">
        <f>INDEX(Reference_Tables!$D$11:$D$36,MATCH(LoanData[[#This Row],[Branch]],Reference_Tables!$A$11:$A$36,0))</f>
        <v>Anil Mishra</v>
      </c>
      <c r="L1198" s="35"/>
    </row>
    <row r="1199" spans="2:12" ht="15.6" x14ac:dyDescent="0.3">
      <c r="B1199" s="15">
        <f>DATEDIF(Loan_Data!K:K,Loan_Data!L:L,"D")</f>
        <v>7</v>
      </c>
      <c r="C1199" s="15">
        <f ca="1">DATEDIF(LoanData[[#This Row],[Approval_Date]],TODAY(),"M")</f>
        <v>31</v>
      </c>
      <c r="D1199" s="31">
        <f>EDATE(LoanData[[#This Row],[Approval_Date]],LoanData[[#This Row],[Loan_Term_Months]])</f>
        <v>50765</v>
      </c>
      <c r="E1199" t="str">
        <f t="shared" ca="1" si="18"/>
        <v>NO</v>
      </c>
      <c r="F1199" s="33">
        <f>IFERROR(LoanData[[#This Row],[EMI]]/LoanData[[#This Row],[Monthly_Income]]*100," ")</f>
        <v>3.7406854571208292</v>
      </c>
      <c r="G1199" t="str" cm="1">
        <f t="array" ref="G1199">_xlfn.IFS(F1199&gt;40, "High DTI Risk",F1199&gt;=25, "Moderate DTI",F1199&lt;25, "Low DTI")</f>
        <v>Low DTI</v>
      </c>
      <c r="H1199" t="str" cm="1">
        <f t="array" ref="H1199">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Unclassified</v>
      </c>
      <c r="I1199" t="str">
        <f>_xlfn.XLOOKUP(H1199,Reference_Tables!$B$2:$B$7,Reference_Tables!$C$2:$C$7,,0,1)</f>
        <v>UC</v>
      </c>
      <c r="J1199" t="str">
        <f>INDEX(Reference_Tables!$D$11:$D$36,MATCH(LoanData[[#This Row],[Branch]],Reference_Tables!$A$11:$A$36,0))</f>
        <v>Lakshmi Reddy</v>
      </c>
      <c r="L1199" s="35"/>
    </row>
    <row r="1200" spans="2:12" ht="15.6" x14ac:dyDescent="0.3">
      <c r="B1200" s="15">
        <f>DATEDIF(Loan_Data!K:K,Loan_Data!L:L,"D")</f>
        <v>12</v>
      </c>
      <c r="C1200" s="15">
        <f ca="1">DATEDIF(LoanData[[#This Row],[Approval_Date]],TODAY(),"M")</f>
        <v>52</v>
      </c>
      <c r="D1200" s="31">
        <f>EDATE(LoanData[[#This Row],[Approval_Date]],LoanData[[#This Row],[Loan_Term_Months]])</f>
        <v>46491</v>
      </c>
      <c r="E1200" t="str">
        <f t="shared" ca="1" si="18"/>
        <v>NO</v>
      </c>
      <c r="F1200" s="33">
        <f>IFERROR(LoanData[[#This Row],[EMI]]/LoanData[[#This Row],[Monthly_Income]]*100," ")</f>
        <v>5.5622870229428889</v>
      </c>
      <c r="G1200" t="str" cm="1">
        <f t="array" ref="G1200">_xlfn.IFS(F1200&gt;40, "High DTI Risk",F1200&gt;=25, "Moderate DTI",F1200&lt;25, "Low DTI")</f>
        <v>Low DTI</v>
      </c>
      <c r="H1200" t="str" cm="1">
        <f t="array" ref="H1200">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Very High Risk</v>
      </c>
      <c r="I1200" t="str">
        <f>_xlfn.XLOOKUP(H1200,Reference_Tables!$B$2:$B$7,Reference_Tables!$C$2:$C$7,,0,1)</f>
        <v>VHR</v>
      </c>
      <c r="J1200" t="str">
        <f>INDEX(Reference_Tables!$D$11:$D$36,MATCH(LoanData[[#This Row],[Branch]],Reference_Tables!$A$11:$A$36,0))</f>
        <v>Santhosh Rao</v>
      </c>
      <c r="L1200" s="35"/>
    </row>
    <row r="1201" spans="2:12" ht="15.6" x14ac:dyDescent="0.3">
      <c r="B1201" s="15">
        <f>DATEDIF(Loan_Data!K:K,Loan_Data!L:L,"D")</f>
        <v>17</v>
      </c>
      <c r="C1201" s="15">
        <f ca="1">DATEDIF(LoanData[[#This Row],[Approval_Date]],TODAY(),"M")</f>
        <v>59</v>
      </c>
      <c r="D1201" s="31">
        <f>EDATE(LoanData[[#This Row],[Approval_Date]],LoanData[[#This Row],[Loan_Term_Months]])</f>
        <v>48107</v>
      </c>
      <c r="E1201" t="str">
        <f t="shared" ca="1" si="18"/>
        <v>NO</v>
      </c>
      <c r="F1201" s="33">
        <f>IFERROR(LoanData[[#This Row],[EMI]]/LoanData[[#This Row],[Monthly_Income]]*100," ")</f>
        <v>0.52784371909000993</v>
      </c>
      <c r="G1201" t="str" cm="1">
        <f t="array" ref="G1201">_xlfn.IFS(F1201&gt;40, "High DTI Risk",F1201&gt;=25, "Moderate DTI",F1201&lt;25, "Low DTI")</f>
        <v>Low DTI</v>
      </c>
      <c r="H1201" t="str" cm="1">
        <f t="array" ref="H1201">_xlfn.IFS(AND(LoanData[[#This Row],[Credit_Score]]&gt;=750,LoanData[[#This Row],[Credit_Score]]&lt;=900),"Low Risk", AND(LoanData[[#This Row],[Credit_Score]]&gt;=650,LoanData[[#This Row],[Credit_Score]]&lt;=749),"Medium Risk", AND(LoanData[[#This Row],[Credit_Score]]&gt;=550,LoanData[[#This Row],[Credit_Score]]&lt;=649),"High Risk", AND(LoanData[[#This Row],[Credit_Score]]&gt;=300,LoanData[[#This Row],[Credit_Score]]&lt;=549),"Very High Risk", LoanData[[#This Row],[Credit_Score]]="Not Available","Unclassified")</f>
        <v>Low Risk</v>
      </c>
      <c r="I1201" t="str">
        <f>_xlfn.XLOOKUP(H1201,Reference_Tables!$B$2:$B$7,Reference_Tables!$C$2:$C$7,,0,1)</f>
        <v>LR</v>
      </c>
      <c r="J1201" t="str">
        <f>INDEX(Reference_Tables!$D$11:$D$36,MATCH(LoanData[[#This Row],[Branch]],Reference_Tables!$A$11:$A$36,0))</f>
        <v>Kavita Joshi</v>
      </c>
      <c r="L1201" s="35"/>
    </row>
  </sheetData>
  <conditionalFormatting sqref="H2:H1201">
    <cfRule type="expression" dxfId="3" priority="1" stopIfTrue="1">
      <formula>$H2="Low Risk"</formula>
    </cfRule>
    <cfRule type="expression" dxfId="2" priority="2" stopIfTrue="1">
      <formula>$H2="Medium Risk"</formula>
    </cfRule>
    <cfRule type="expression" dxfId="1" priority="3" stopIfTrue="1">
      <formula>$H2="High Risk"</formula>
    </cfRule>
    <cfRule type="expression" dxfId="0" priority="4" stopIfTrue="1">
      <formula>$H2="Very High Risk"</formula>
    </cfRule>
  </conditionalFormatting>
  <pageMargins left="0.75" right="0.75" top="1" bottom="1" header="0.5" footer="0.5"/>
  <ignoredErrors>
    <ignoredError sqref="J351"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5CD7B-20A1-4C57-8ED0-CDEEA301A60B}">
  <dimension ref="B2:O70"/>
  <sheetViews>
    <sheetView workbookViewId="0">
      <selection activeCell="G20" sqref="G20"/>
    </sheetView>
  </sheetViews>
  <sheetFormatPr defaultRowHeight="14.4" x14ac:dyDescent="0.3"/>
  <cols>
    <col min="1" max="1" width="12.5546875" bestFit="1" customWidth="1"/>
    <col min="2" max="2" width="19.77734375" bestFit="1" customWidth="1"/>
    <col min="3" max="3" width="19.21875" bestFit="1" customWidth="1"/>
    <col min="4" max="4" width="25.77734375" bestFit="1" customWidth="1"/>
    <col min="5" max="5" width="11.6640625" bestFit="1" customWidth="1"/>
    <col min="6" max="6" width="4.5546875" bestFit="1" customWidth="1"/>
    <col min="7" max="7" width="15.109375" customWidth="1"/>
    <col min="8" max="8" width="10.6640625" customWidth="1"/>
    <col min="9" max="9" width="10.77734375" bestFit="1" customWidth="1"/>
  </cols>
  <sheetData>
    <row r="2" spans="2:9" ht="15.6" x14ac:dyDescent="0.3">
      <c r="B2" s="17" t="s">
        <v>2967</v>
      </c>
    </row>
    <row r="3" spans="2:9" ht="15.6" x14ac:dyDescent="0.3">
      <c r="H3" s="39" t="s">
        <v>60</v>
      </c>
    </row>
    <row r="5" spans="2:9" x14ac:dyDescent="0.3">
      <c r="B5" s="24" t="s">
        <v>3008</v>
      </c>
      <c r="C5" t="s">
        <v>2969</v>
      </c>
      <c r="D5" t="s">
        <v>2970</v>
      </c>
    </row>
    <row r="6" spans="2:9" x14ac:dyDescent="0.3">
      <c r="B6" s="15" t="s">
        <v>54</v>
      </c>
      <c r="C6">
        <v>123625000</v>
      </c>
      <c r="D6" s="42">
        <v>49514737.909999982</v>
      </c>
    </row>
    <row r="7" spans="2:9" x14ac:dyDescent="0.3">
      <c r="B7" s="15" t="s">
        <v>48</v>
      </c>
      <c r="C7">
        <v>139425000</v>
      </c>
      <c r="D7" s="42">
        <v>51660457.160000011</v>
      </c>
    </row>
    <row r="8" spans="2:9" x14ac:dyDescent="0.3">
      <c r="B8" s="15" t="s">
        <v>25</v>
      </c>
      <c r="C8">
        <v>137400000</v>
      </c>
      <c r="D8" s="42">
        <v>55554824.18</v>
      </c>
    </row>
    <row r="9" spans="2:9" x14ac:dyDescent="0.3">
      <c r="B9" s="15" t="s">
        <v>105</v>
      </c>
      <c r="C9">
        <v>145300000</v>
      </c>
      <c r="D9" s="42">
        <v>54658363.179999977</v>
      </c>
    </row>
    <row r="10" spans="2:9" x14ac:dyDescent="0.3">
      <c r="B10" s="15" t="s">
        <v>60</v>
      </c>
      <c r="C10">
        <v>148725000</v>
      </c>
      <c r="D10" s="42">
        <v>55853473.760000005</v>
      </c>
    </row>
    <row r="11" spans="2:9" x14ac:dyDescent="0.3">
      <c r="B11" s="15" t="s">
        <v>2968</v>
      </c>
      <c r="C11">
        <v>694475000</v>
      </c>
      <c r="D11" s="42">
        <v>267241856.19</v>
      </c>
    </row>
    <row r="13" spans="2:9" ht="15.6" x14ac:dyDescent="0.3">
      <c r="B13" s="17" t="s">
        <v>2971</v>
      </c>
    </row>
    <row r="15" spans="2:9" ht="15.6" x14ac:dyDescent="0.3">
      <c r="B15" s="24" t="s">
        <v>3007</v>
      </c>
      <c r="C15" t="s">
        <v>2972</v>
      </c>
      <c r="D15" t="s">
        <v>2969</v>
      </c>
      <c r="H15" s="39" t="s">
        <v>0</v>
      </c>
      <c r="I15" s="39" t="s">
        <v>5</v>
      </c>
    </row>
    <row r="16" spans="2:9" ht="15.6" x14ac:dyDescent="0.3">
      <c r="B16" s="15" t="s">
        <v>2875</v>
      </c>
      <c r="C16">
        <v>199</v>
      </c>
      <c r="D16" s="27">
        <v>0.15425321285863422</v>
      </c>
      <c r="G16" s="40" t="s">
        <v>2875</v>
      </c>
      <c r="H16" s="41">
        <v>0.16583333333333333</v>
      </c>
      <c r="I16" s="41">
        <v>0.15425321285863422</v>
      </c>
    </row>
    <row r="17" spans="2:11" ht="15.6" x14ac:dyDescent="0.3">
      <c r="B17" s="15" t="s">
        <v>2867</v>
      </c>
      <c r="C17">
        <v>295</v>
      </c>
      <c r="D17" s="27">
        <v>0.25382483170740489</v>
      </c>
      <c r="G17" s="40" t="s">
        <v>2879</v>
      </c>
      <c r="H17" s="41">
        <v>0.40250000000000002</v>
      </c>
      <c r="I17" s="41">
        <v>0.40530616652867274</v>
      </c>
    </row>
    <row r="18" spans="2:11" x14ac:dyDescent="0.3">
      <c r="B18" s="15" t="s">
        <v>2871</v>
      </c>
      <c r="C18">
        <v>193</v>
      </c>
      <c r="D18" s="27">
        <v>0.15342524928903128</v>
      </c>
    </row>
    <row r="19" spans="2:11" x14ac:dyDescent="0.3">
      <c r="B19" s="15" t="s">
        <v>2883</v>
      </c>
      <c r="C19">
        <v>30</v>
      </c>
      <c r="D19" s="27">
        <v>3.3190539616256884E-2</v>
      </c>
    </row>
    <row r="20" spans="2:11" x14ac:dyDescent="0.3">
      <c r="B20" s="15" t="s">
        <v>2879</v>
      </c>
      <c r="C20">
        <v>483</v>
      </c>
      <c r="D20" s="27">
        <v>0.40530616652867274</v>
      </c>
    </row>
    <row r="21" spans="2:11" x14ac:dyDescent="0.3">
      <c r="B21" s="15" t="s">
        <v>2968</v>
      </c>
      <c r="C21">
        <v>1200</v>
      </c>
      <c r="D21" s="27">
        <v>1</v>
      </c>
    </row>
    <row r="23" spans="2:11" ht="15.6" x14ac:dyDescent="0.3">
      <c r="B23" s="17" t="s">
        <v>2973</v>
      </c>
    </row>
    <row r="24" spans="2:11" ht="15.6" x14ac:dyDescent="0.3">
      <c r="K24" s="40" t="s">
        <v>21</v>
      </c>
    </row>
    <row r="25" spans="2:11" ht="15.6" x14ac:dyDescent="0.3">
      <c r="B25" s="24" t="s">
        <v>2972</v>
      </c>
      <c r="C25" s="24" t="s">
        <v>16</v>
      </c>
      <c r="K25" s="40" t="s">
        <v>45</v>
      </c>
    </row>
    <row r="26" spans="2:11" ht="15.6" x14ac:dyDescent="0.3">
      <c r="B26" s="24" t="s">
        <v>3006</v>
      </c>
      <c r="C26" t="s">
        <v>27</v>
      </c>
      <c r="D26" t="s">
        <v>100</v>
      </c>
      <c r="E26" t="s">
        <v>62</v>
      </c>
      <c r="F26" t="s">
        <v>35</v>
      </c>
      <c r="G26" t="s">
        <v>42</v>
      </c>
      <c r="H26" t="s">
        <v>2974</v>
      </c>
      <c r="I26" t="s">
        <v>2968</v>
      </c>
      <c r="K26" s="40" t="s">
        <v>30</v>
      </c>
    </row>
    <row r="27" spans="2:11" x14ac:dyDescent="0.3">
      <c r="B27" s="15" t="s">
        <v>588</v>
      </c>
      <c r="G27">
        <v>2</v>
      </c>
      <c r="I27">
        <v>2</v>
      </c>
    </row>
    <row r="28" spans="2:11" x14ac:dyDescent="0.3">
      <c r="B28" s="15" t="s">
        <v>21</v>
      </c>
      <c r="C28">
        <v>34</v>
      </c>
      <c r="D28">
        <v>25</v>
      </c>
      <c r="E28">
        <v>9</v>
      </c>
      <c r="F28">
        <v>60</v>
      </c>
      <c r="G28">
        <v>114</v>
      </c>
      <c r="I28">
        <v>242</v>
      </c>
    </row>
    <row r="29" spans="2:11" x14ac:dyDescent="0.3">
      <c r="B29" s="15" t="s">
        <v>65</v>
      </c>
      <c r="C29">
        <v>38</v>
      </c>
      <c r="D29">
        <v>18</v>
      </c>
      <c r="E29">
        <v>10</v>
      </c>
      <c r="F29">
        <v>55</v>
      </c>
      <c r="G29">
        <v>128</v>
      </c>
      <c r="H29">
        <v>2</v>
      </c>
      <c r="I29">
        <v>251</v>
      </c>
    </row>
    <row r="30" spans="2:11" x14ac:dyDescent="0.3">
      <c r="B30" s="15" t="s">
        <v>45</v>
      </c>
      <c r="C30">
        <v>28</v>
      </c>
      <c r="D30">
        <v>25</v>
      </c>
      <c r="E30">
        <v>7</v>
      </c>
      <c r="F30">
        <v>49</v>
      </c>
      <c r="G30">
        <v>135</v>
      </c>
      <c r="I30">
        <v>244</v>
      </c>
    </row>
    <row r="31" spans="2:11" x14ac:dyDescent="0.3">
      <c r="B31" s="15" t="s">
        <v>72</v>
      </c>
      <c r="C31">
        <v>22</v>
      </c>
      <c r="D31">
        <v>19</v>
      </c>
      <c r="E31">
        <v>6</v>
      </c>
      <c r="F31">
        <v>58</v>
      </c>
      <c r="G31">
        <v>118</v>
      </c>
      <c r="I31">
        <v>223</v>
      </c>
    </row>
    <row r="32" spans="2:11" x14ac:dyDescent="0.3">
      <c r="B32" s="15" t="s">
        <v>450</v>
      </c>
      <c r="G32">
        <v>1</v>
      </c>
      <c r="I32">
        <v>1</v>
      </c>
    </row>
    <row r="33" spans="2:9" x14ac:dyDescent="0.3">
      <c r="B33" s="15" t="s">
        <v>30</v>
      </c>
      <c r="C33">
        <v>31</v>
      </c>
      <c r="D33">
        <v>25</v>
      </c>
      <c r="E33">
        <v>11</v>
      </c>
      <c r="F33">
        <v>55</v>
      </c>
      <c r="G33">
        <v>112</v>
      </c>
      <c r="H33">
        <v>3</v>
      </c>
      <c r="I33">
        <v>237</v>
      </c>
    </row>
    <row r="34" spans="2:9" x14ac:dyDescent="0.3">
      <c r="B34" s="15" t="s">
        <v>2968</v>
      </c>
      <c r="C34">
        <v>153</v>
      </c>
      <c r="D34">
        <v>112</v>
      </c>
      <c r="E34">
        <v>43</v>
      </c>
      <c r="F34">
        <v>277</v>
      </c>
      <c r="G34">
        <v>610</v>
      </c>
      <c r="H34">
        <v>5</v>
      </c>
      <c r="I34">
        <v>1200</v>
      </c>
    </row>
    <row r="36" spans="2:9" ht="15.6" x14ac:dyDescent="0.3">
      <c r="B36" s="17" t="s">
        <v>3004</v>
      </c>
    </row>
    <row r="38" spans="2:9" x14ac:dyDescent="0.3">
      <c r="B38" s="24" t="s">
        <v>3005</v>
      </c>
    </row>
    <row r="39" spans="2:9" x14ac:dyDescent="0.3">
      <c r="B39" s="15" t="s">
        <v>54</v>
      </c>
    </row>
    <row r="40" spans="2:9" x14ac:dyDescent="0.3">
      <c r="B40" s="34" t="s">
        <v>2996</v>
      </c>
    </row>
    <row r="41" spans="2:9" x14ac:dyDescent="0.3">
      <c r="B41" s="34" t="s">
        <v>304</v>
      </c>
    </row>
    <row r="42" spans="2:9" x14ac:dyDescent="0.3">
      <c r="B42" s="34" t="s">
        <v>99</v>
      </c>
    </row>
    <row r="43" spans="2:9" x14ac:dyDescent="0.3">
      <c r="B43" s="34" t="s">
        <v>183</v>
      </c>
    </row>
    <row r="44" spans="2:9" x14ac:dyDescent="0.3">
      <c r="B44" s="34" t="s">
        <v>164</v>
      </c>
    </row>
    <row r="45" spans="2:9" x14ac:dyDescent="0.3">
      <c r="B45" s="15" t="s">
        <v>48</v>
      </c>
    </row>
    <row r="46" spans="2:9" x14ac:dyDescent="0.3">
      <c r="B46" s="15" t="s">
        <v>25</v>
      </c>
    </row>
    <row r="47" spans="2:9" x14ac:dyDescent="0.3">
      <c r="B47" s="15" t="s">
        <v>105</v>
      </c>
    </row>
    <row r="48" spans="2:9" x14ac:dyDescent="0.3">
      <c r="B48" s="15" t="s">
        <v>60</v>
      </c>
    </row>
    <row r="49" spans="2:15" x14ac:dyDescent="0.3">
      <c r="B49" s="15" t="s">
        <v>2968</v>
      </c>
    </row>
    <row r="52" spans="2:15" ht="15.6" x14ac:dyDescent="0.3">
      <c r="B52" s="17" t="s">
        <v>2976</v>
      </c>
    </row>
    <row r="53" spans="2:15" ht="15.6" x14ac:dyDescent="0.3">
      <c r="O53" s="39" t="s">
        <v>2981</v>
      </c>
    </row>
    <row r="55" spans="2:15" x14ac:dyDescent="0.3">
      <c r="B55" s="24" t="s">
        <v>12</v>
      </c>
      <c r="C55" t="s">
        <v>24</v>
      </c>
    </row>
    <row r="57" spans="2:15" x14ac:dyDescent="0.3">
      <c r="B57" s="24" t="s">
        <v>10</v>
      </c>
      <c r="C57" t="s">
        <v>2972</v>
      </c>
      <c r="D57" t="s">
        <v>2969</v>
      </c>
    </row>
    <row r="58" spans="2:15" x14ac:dyDescent="0.3">
      <c r="B58" s="15" t="s">
        <v>2977</v>
      </c>
      <c r="C58">
        <v>71</v>
      </c>
      <c r="D58">
        <v>43300000</v>
      </c>
    </row>
    <row r="59" spans="2:15" x14ac:dyDescent="0.3">
      <c r="B59" s="15" t="s">
        <v>2978</v>
      </c>
      <c r="C59">
        <v>72</v>
      </c>
      <c r="D59">
        <v>36100000</v>
      </c>
    </row>
    <row r="60" spans="2:15" x14ac:dyDescent="0.3">
      <c r="B60" s="15" t="s">
        <v>2979</v>
      </c>
      <c r="C60">
        <v>59</v>
      </c>
      <c r="D60">
        <v>32325000</v>
      </c>
    </row>
    <row r="61" spans="2:15" x14ac:dyDescent="0.3">
      <c r="B61" s="15" t="s">
        <v>2980</v>
      </c>
      <c r="C61">
        <v>68</v>
      </c>
      <c r="D61">
        <v>45075000</v>
      </c>
    </row>
    <row r="62" spans="2:15" x14ac:dyDescent="0.3">
      <c r="B62" s="15" t="s">
        <v>2981</v>
      </c>
      <c r="C62">
        <v>87</v>
      </c>
      <c r="D62">
        <v>45050000</v>
      </c>
    </row>
    <row r="63" spans="2:15" x14ac:dyDescent="0.3">
      <c r="B63" s="15" t="s">
        <v>2982</v>
      </c>
      <c r="C63">
        <v>63</v>
      </c>
      <c r="D63">
        <v>36000000</v>
      </c>
    </row>
    <row r="64" spans="2:15" x14ac:dyDescent="0.3">
      <c r="B64" s="15" t="s">
        <v>2983</v>
      </c>
      <c r="C64">
        <v>70</v>
      </c>
      <c r="D64">
        <v>44575000</v>
      </c>
    </row>
    <row r="65" spans="2:4" x14ac:dyDescent="0.3">
      <c r="B65" s="15" t="s">
        <v>2984</v>
      </c>
      <c r="C65">
        <v>85</v>
      </c>
      <c r="D65">
        <v>64800000</v>
      </c>
    </row>
    <row r="66" spans="2:4" x14ac:dyDescent="0.3">
      <c r="B66" s="15" t="s">
        <v>2985</v>
      </c>
      <c r="C66">
        <v>60</v>
      </c>
      <c r="D66">
        <v>38275000</v>
      </c>
    </row>
    <row r="67" spans="2:4" x14ac:dyDescent="0.3">
      <c r="B67" s="15" t="s">
        <v>2986</v>
      </c>
      <c r="C67">
        <v>73</v>
      </c>
      <c r="D67">
        <v>42550000</v>
      </c>
    </row>
    <row r="68" spans="2:4" x14ac:dyDescent="0.3">
      <c r="B68" s="15" t="s">
        <v>2987</v>
      </c>
      <c r="C68">
        <v>75</v>
      </c>
      <c r="D68">
        <v>49200000</v>
      </c>
    </row>
    <row r="69" spans="2:4" x14ac:dyDescent="0.3">
      <c r="B69" s="15" t="s">
        <v>2988</v>
      </c>
      <c r="C69">
        <v>78</v>
      </c>
      <c r="D69">
        <v>42200000</v>
      </c>
    </row>
    <row r="70" spans="2:4" x14ac:dyDescent="0.3">
      <c r="B70" s="15" t="s">
        <v>2968</v>
      </c>
      <c r="C70">
        <v>861</v>
      </c>
      <c r="D70">
        <v>519450000</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5E8E8-FC42-45AE-BE2C-5113343955A8}">
  <dimension ref="B2:I94"/>
  <sheetViews>
    <sheetView workbookViewId="0">
      <selection activeCell="D85" sqref="D85"/>
    </sheetView>
  </sheetViews>
  <sheetFormatPr defaultRowHeight="14.4" x14ac:dyDescent="0.3"/>
  <cols>
    <col min="2" max="2" width="14.5546875" bestFit="1" customWidth="1"/>
    <col min="3" max="3" width="19.6640625" bestFit="1" customWidth="1"/>
    <col min="4" max="4" width="9.21875" bestFit="1" customWidth="1"/>
    <col min="5" max="5" width="11.6640625" bestFit="1" customWidth="1"/>
    <col min="6" max="6" width="4.5546875" bestFit="1" customWidth="1"/>
    <col min="7" max="7" width="8.44140625" bestFit="1" customWidth="1"/>
    <col min="8" max="8" width="7" bestFit="1" customWidth="1"/>
    <col min="9" max="9" width="10.77734375" bestFit="1" customWidth="1"/>
  </cols>
  <sheetData>
    <row r="2" spans="2:3" ht="15.6" x14ac:dyDescent="0.3">
      <c r="B2" s="17" t="s">
        <v>2989</v>
      </c>
    </row>
    <row r="4" spans="2:3" x14ac:dyDescent="0.3">
      <c r="B4" s="24" t="s">
        <v>14</v>
      </c>
      <c r="C4" t="s">
        <v>2969</v>
      </c>
    </row>
    <row r="5" spans="2:3" x14ac:dyDescent="0.3">
      <c r="B5" s="15" t="s">
        <v>54</v>
      </c>
      <c r="C5">
        <v>123625000</v>
      </c>
    </row>
    <row r="6" spans="2:3" x14ac:dyDescent="0.3">
      <c r="B6" s="15" t="s">
        <v>48</v>
      </c>
      <c r="C6">
        <v>139425000</v>
      </c>
    </row>
    <row r="7" spans="2:3" x14ac:dyDescent="0.3">
      <c r="B7" s="15" t="s">
        <v>25</v>
      </c>
      <c r="C7">
        <v>137400000</v>
      </c>
    </row>
    <row r="8" spans="2:3" x14ac:dyDescent="0.3">
      <c r="B8" s="15" t="s">
        <v>105</v>
      </c>
      <c r="C8">
        <v>145300000</v>
      </c>
    </row>
    <row r="9" spans="2:3" x14ac:dyDescent="0.3">
      <c r="B9" s="15" t="s">
        <v>60</v>
      </c>
      <c r="C9">
        <v>148725000</v>
      </c>
    </row>
    <row r="10" spans="2:3" x14ac:dyDescent="0.3">
      <c r="B10" s="15" t="s">
        <v>2968</v>
      </c>
      <c r="C10">
        <v>694475000</v>
      </c>
    </row>
    <row r="18" spans="2:3" ht="15.6" x14ac:dyDescent="0.3">
      <c r="B18" s="17" t="s">
        <v>2990</v>
      </c>
    </row>
    <row r="20" spans="2:3" x14ac:dyDescent="0.3">
      <c r="B20" s="24" t="s">
        <v>15</v>
      </c>
      <c r="C20" t="s">
        <v>2969</v>
      </c>
    </row>
    <row r="21" spans="2:3" x14ac:dyDescent="0.3">
      <c r="B21" s="15" t="s">
        <v>2997</v>
      </c>
      <c r="C21">
        <v>32825000</v>
      </c>
    </row>
    <row r="22" spans="2:3" x14ac:dyDescent="0.3">
      <c r="B22" s="15" t="s">
        <v>114</v>
      </c>
      <c r="C22">
        <v>34975000</v>
      </c>
    </row>
    <row r="23" spans="2:3" x14ac:dyDescent="0.3">
      <c r="B23" s="15" t="s">
        <v>159</v>
      </c>
      <c r="C23">
        <v>31850000</v>
      </c>
    </row>
    <row r="24" spans="2:3" x14ac:dyDescent="0.3">
      <c r="B24" s="15" t="s">
        <v>123</v>
      </c>
      <c r="C24">
        <v>32975000</v>
      </c>
    </row>
    <row r="25" spans="2:3" x14ac:dyDescent="0.3">
      <c r="B25" s="15" t="s">
        <v>2998</v>
      </c>
      <c r="C25">
        <v>29350000</v>
      </c>
    </row>
    <row r="26" spans="2:3" x14ac:dyDescent="0.3">
      <c r="B26" s="15" t="s">
        <v>118</v>
      </c>
      <c r="C26">
        <v>33025000</v>
      </c>
    </row>
    <row r="27" spans="2:3" x14ac:dyDescent="0.3">
      <c r="B27" s="15" t="s">
        <v>86</v>
      </c>
      <c r="C27">
        <v>42325000</v>
      </c>
    </row>
    <row r="28" spans="2:3" x14ac:dyDescent="0.3">
      <c r="B28" s="15" t="s">
        <v>80</v>
      </c>
      <c r="C28">
        <v>33125000</v>
      </c>
    </row>
    <row r="29" spans="2:3" x14ac:dyDescent="0.3">
      <c r="B29" s="15" t="s">
        <v>61</v>
      </c>
      <c r="C29">
        <v>38800000</v>
      </c>
    </row>
    <row r="30" spans="2:3" x14ac:dyDescent="0.3">
      <c r="B30" s="15" t="s">
        <v>164</v>
      </c>
      <c r="C30">
        <v>30025000</v>
      </c>
    </row>
    <row r="31" spans="2:3" x14ac:dyDescent="0.3">
      <c r="B31" s="15" t="s">
        <v>2968</v>
      </c>
      <c r="C31">
        <v>339275000</v>
      </c>
    </row>
    <row r="36" spans="2:2" ht="15.6" x14ac:dyDescent="0.3">
      <c r="B36" s="17" t="s">
        <v>2991</v>
      </c>
    </row>
    <row r="56" spans="2:3" ht="15.6" x14ac:dyDescent="0.3">
      <c r="B56" s="17" t="s">
        <v>2992</v>
      </c>
    </row>
    <row r="58" spans="2:3" x14ac:dyDescent="0.3">
      <c r="B58" s="24" t="s">
        <v>2863</v>
      </c>
      <c r="C58" t="s">
        <v>2969</v>
      </c>
    </row>
    <row r="59" spans="2:3" x14ac:dyDescent="0.3">
      <c r="B59" s="15" t="s">
        <v>2875</v>
      </c>
      <c r="C59" s="27">
        <v>0.15425321285863422</v>
      </c>
    </row>
    <row r="60" spans="2:3" x14ac:dyDescent="0.3">
      <c r="B60" s="15" t="s">
        <v>2867</v>
      </c>
      <c r="C60" s="27">
        <v>0.25382483170740489</v>
      </c>
    </row>
    <row r="61" spans="2:3" x14ac:dyDescent="0.3">
      <c r="B61" s="15" t="s">
        <v>2871</v>
      </c>
      <c r="C61" s="27">
        <v>0.15342524928903128</v>
      </c>
    </row>
    <row r="62" spans="2:3" x14ac:dyDescent="0.3">
      <c r="B62" s="15" t="s">
        <v>2883</v>
      </c>
      <c r="C62" s="27">
        <v>3.3190539616256884E-2</v>
      </c>
    </row>
    <row r="63" spans="2:3" x14ac:dyDescent="0.3">
      <c r="B63" s="15" t="s">
        <v>2879</v>
      </c>
      <c r="C63" s="27">
        <v>0.40530616652867274</v>
      </c>
    </row>
    <row r="64" spans="2:3" x14ac:dyDescent="0.3">
      <c r="B64" s="15" t="s">
        <v>2968</v>
      </c>
      <c r="C64" s="27">
        <v>1</v>
      </c>
    </row>
    <row r="74" spans="2:9" ht="15.6" x14ac:dyDescent="0.3">
      <c r="B74" s="17" t="s">
        <v>2993</v>
      </c>
    </row>
    <row r="76" spans="2:9" x14ac:dyDescent="0.3">
      <c r="B76" s="24" t="s">
        <v>2972</v>
      </c>
      <c r="C76" s="24" t="s">
        <v>2975</v>
      </c>
    </row>
    <row r="77" spans="2:9" x14ac:dyDescent="0.3">
      <c r="B77" s="24" t="s">
        <v>14</v>
      </c>
      <c r="C77" t="s">
        <v>27</v>
      </c>
      <c r="D77" t="s">
        <v>100</v>
      </c>
      <c r="E77" t="s">
        <v>62</v>
      </c>
      <c r="F77" t="s">
        <v>35</v>
      </c>
      <c r="G77" t="s">
        <v>42</v>
      </c>
      <c r="H77" t="s">
        <v>2974</v>
      </c>
      <c r="I77" t="s">
        <v>2968</v>
      </c>
    </row>
    <row r="78" spans="2:9" x14ac:dyDescent="0.3">
      <c r="B78" s="15" t="s">
        <v>54</v>
      </c>
      <c r="C78">
        <v>29</v>
      </c>
      <c r="D78">
        <v>18</v>
      </c>
      <c r="E78">
        <v>14</v>
      </c>
      <c r="F78">
        <v>53</v>
      </c>
      <c r="G78">
        <v>113</v>
      </c>
      <c r="H78">
        <v>2</v>
      </c>
      <c r="I78">
        <v>229</v>
      </c>
    </row>
    <row r="79" spans="2:9" x14ac:dyDescent="0.3">
      <c r="B79" s="15" t="s">
        <v>48</v>
      </c>
      <c r="C79">
        <v>33</v>
      </c>
      <c r="D79">
        <v>19</v>
      </c>
      <c r="E79">
        <v>4</v>
      </c>
      <c r="F79">
        <v>56</v>
      </c>
      <c r="G79">
        <v>139</v>
      </c>
      <c r="I79">
        <v>251</v>
      </c>
    </row>
    <row r="80" spans="2:9" x14ac:dyDescent="0.3">
      <c r="B80" s="15" t="s">
        <v>25</v>
      </c>
      <c r="C80">
        <v>25</v>
      </c>
      <c r="D80">
        <v>24</v>
      </c>
      <c r="E80">
        <v>6</v>
      </c>
      <c r="F80">
        <v>50</v>
      </c>
      <c r="G80">
        <v>107</v>
      </c>
      <c r="H80">
        <v>2</v>
      </c>
      <c r="I80">
        <v>214</v>
      </c>
    </row>
    <row r="81" spans="2:9" x14ac:dyDescent="0.3">
      <c r="B81" s="15" t="s">
        <v>105</v>
      </c>
      <c r="C81">
        <v>38</v>
      </c>
      <c r="D81">
        <v>21</v>
      </c>
      <c r="E81">
        <v>9</v>
      </c>
      <c r="F81">
        <v>63</v>
      </c>
      <c r="G81">
        <v>120</v>
      </c>
      <c r="H81">
        <v>1</v>
      </c>
      <c r="I81">
        <v>252</v>
      </c>
    </row>
    <row r="82" spans="2:9" x14ac:dyDescent="0.3">
      <c r="B82" s="15" t="s">
        <v>60</v>
      </c>
      <c r="C82">
        <v>28</v>
      </c>
      <c r="D82">
        <v>30</v>
      </c>
      <c r="E82">
        <v>10</v>
      </c>
      <c r="F82">
        <v>55</v>
      </c>
      <c r="G82">
        <v>131</v>
      </c>
      <c r="I82">
        <v>254</v>
      </c>
    </row>
    <row r="83" spans="2:9" x14ac:dyDescent="0.3">
      <c r="B83" s="15" t="s">
        <v>2968</v>
      </c>
      <c r="C83">
        <v>153</v>
      </c>
      <c r="D83">
        <v>112</v>
      </c>
      <c r="E83">
        <v>43</v>
      </c>
      <c r="F83">
        <v>277</v>
      </c>
      <c r="G83">
        <v>610</v>
      </c>
      <c r="H83">
        <v>5</v>
      </c>
      <c r="I83">
        <v>1200</v>
      </c>
    </row>
    <row r="93" spans="2:9" ht="18" x14ac:dyDescent="0.35">
      <c r="B93" s="28" t="s">
        <v>2994</v>
      </c>
    </row>
    <row r="94" spans="2:9" ht="18" x14ac:dyDescent="0.35">
      <c r="B94" s="28" t="s">
        <v>2995</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R17"/>
  <sheetViews>
    <sheetView showGridLines="0" tabSelected="1" workbookViewId="0">
      <selection activeCell="N8" sqref="N8"/>
    </sheetView>
  </sheetViews>
  <sheetFormatPr defaultRowHeight="14.4" x14ac:dyDescent="0.3"/>
  <cols>
    <col min="1" max="19" width="14" customWidth="1"/>
  </cols>
  <sheetData>
    <row r="1" spans="2:18" ht="50.1" customHeight="1" x14ac:dyDescent="0.3">
      <c r="B1" s="47" t="s">
        <v>2936</v>
      </c>
      <c r="C1" s="47"/>
      <c r="D1" s="47"/>
      <c r="E1" s="47"/>
      <c r="F1" s="47"/>
      <c r="G1" s="47"/>
      <c r="H1" s="47"/>
      <c r="I1" s="47"/>
      <c r="J1" s="47"/>
      <c r="K1" s="47"/>
      <c r="L1" s="47"/>
      <c r="M1" s="47"/>
      <c r="N1" s="47"/>
      <c r="O1" s="47"/>
      <c r="P1" s="47"/>
      <c r="Q1" s="47"/>
      <c r="R1" s="47"/>
    </row>
    <row r="3" spans="2:18" x14ac:dyDescent="0.3">
      <c r="B3" s="11" t="s">
        <v>2937</v>
      </c>
      <c r="J3" s="11" t="s">
        <v>2938</v>
      </c>
    </row>
    <row r="8" spans="2:18" x14ac:dyDescent="0.3">
      <c r="N8" t="s">
        <v>3003</v>
      </c>
    </row>
    <row r="10" spans="2:18" x14ac:dyDescent="0.3">
      <c r="B10" s="11" t="s">
        <v>2939</v>
      </c>
      <c r="J10" s="11" t="s">
        <v>2940</v>
      </c>
    </row>
    <row r="17" spans="2:10" x14ac:dyDescent="0.3">
      <c r="B17" s="11" t="s">
        <v>2941</v>
      </c>
      <c r="J17" s="11" t="s">
        <v>2942</v>
      </c>
    </row>
  </sheetData>
  <mergeCells count="1">
    <mergeCell ref="B1:R1"/>
  </mergeCells>
  <pageMargins left="0.75" right="0.75" top="1" bottom="1" header="0.5" footer="0.5"/>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FA5A379-D636-4988-93E8-23C35D305A3A}">
  <ds:schemaRefs/>
</ds:datastoreItem>
</file>

<file path=customXml/itemProps2.xml><?xml version="1.0" encoding="utf-8"?>
<ds:datastoreItem xmlns:ds="http://schemas.openxmlformats.org/officeDocument/2006/customXml" ds:itemID="{46859500-AF24-4304-A2B3-888972298E49}">
  <ds:schemaRefs/>
</ds:datastoreItem>
</file>

<file path=customXml/itemProps3.xml><?xml version="1.0" encoding="utf-8"?>
<ds:datastoreItem xmlns:ds="http://schemas.openxmlformats.org/officeDocument/2006/customXml" ds:itemID="{ED3FABF6-0490-404B-915A-665C054B33CB}">
  <ds:schemaRefs/>
</ds:datastoreItem>
</file>

<file path=customXml/itemProps4.xml><?xml version="1.0" encoding="utf-8"?>
<ds:datastoreItem xmlns:ds="http://schemas.openxmlformats.org/officeDocument/2006/customXml" ds:itemID="{59995710-0CC8-4030-A43B-57B8E4081B82}">
  <ds:schemaRefs/>
</ds:datastoreItem>
</file>

<file path=customXml/itemProps5.xml><?xml version="1.0" encoding="utf-8"?>
<ds:datastoreItem xmlns:ds="http://schemas.openxmlformats.org/officeDocument/2006/customXml" ds:itemID="{09E58157-3035-43E5-9F36-32DFCA456BFD}">
  <ds:schemaRefs/>
</ds:datastoreItem>
</file>

<file path=customXml/itemProps6.xml><?xml version="1.0" encoding="utf-8"?>
<ds:datastoreItem xmlns:ds="http://schemas.openxmlformats.org/officeDocument/2006/customXml" ds:itemID="{F7DE02C2-5561-40BF-A1F1-1C0CD0F12C19}">
  <ds:schemaRefs/>
</ds:datastoreItem>
</file>

<file path=customXml/itemProps7.xml><?xml version="1.0" encoding="utf-8"?>
<ds:datastoreItem xmlns:ds="http://schemas.openxmlformats.org/officeDocument/2006/customXml" ds:itemID="{E79057A7-5BD0-4077-859A-7ACA5278107E}">
  <ds:schemaRefs/>
</ds:datastoreItem>
</file>

<file path=customXml/itemProps8.xml><?xml version="1.0" encoding="utf-8"?>
<ds:datastoreItem xmlns:ds="http://schemas.openxmlformats.org/officeDocument/2006/customXml" ds:itemID="{5BDC97E9-3803-4E71-B62C-E79CDE66F1CC}">
  <ds:schemaRefs/>
</ds:datastoreItem>
</file>

<file path=customXml/itemProps9.xml><?xml version="1.0" encoding="utf-8"?>
<ds:datastoreItem xmlns:ds="http://schemas.openxmlformats.org/officeDocument/2006/customXml" ds:itemID="{6B9DE621-AD43-4AEC-A6BE-B152B377328B}">
  <ds:schemaRefs/>
</ds:datastoreItem>
</file>

<file path=customXml/itemProps10.xml><?xml version="1.0" encoding="utf-8"?>
<ds:datastoreItem xmlns:ds="http://schemas.openxmlformats.org/officeDocument/2006/customXml" ds:itemID="{9A5456B5-B06F-4C61-8D93-0302842E626B}">
  <ds:schemaRefs/>
</ds:datastoreItem>
</file>

<file path=customXml/itemProps11.xml><?xml version="1.0" encoding="utf-8"?>
<ds:datastoreItem xmlns:ds="http://schemas.openxmlformats.org/officeDocument/2006/customXml" ds:itemID="{22944A78-4676-4A1B-A648-37365C1A1FC9}">
  <ds:schemaRefs/>
</ds:datastoreItem>
</file>

<file path=customXml/itemProps12.xml><?xml version="1.0" encoding="utf-8"?>
<ds:datastoreItem xmlns:ds="http://schemas.openxmlformats.org/officeDocument/2006/customXml" ds:itemID="{2B11B5DA-1DCF-4190-B754-C176158C81A7}">
  <ds:schemaRefs/>
</ds:datastoreItem>
</file>

<file path=customXml/itemProps13.xml><?xml version="1.0" encoding="utf-8"?>
<ds:datastoreItem xmlns:ds="http://schemas.openxmlformats.org/officeDocument/2006/customXml" ds:itemID="{E83F3F58-62FB-41BB-9EC3-C2DEFA24ED29}">
  <ds:schemaRefs/>
</ds:datastoreItem>
</file>

<file path=customXml/itemProps14.xml><?xml version="1.0" encoding="utf-8"?>
<ds:datastoreItem xmlns:ds="http://schemas.openxmlformats.org/officeDocument/2006/customXml" ds:itemID="{07FB7ADA-3030-4B16-8D33-E8459BAA978C}">
  <ds:schemaRefs/>
</ds:datastoreItem>
</file>

<file path=customXml/itemProps15.xml><?xml version="1.0" encoding="utf-8"?>
<ds:datastoreItem xmlns:ds="http://schemas.openxmlformats.org/officeDocument/2006/customXml" ds:itemID="{AC0ED226-FA60-4B38-AD7A-EE2BA6078E44}">
  <ds:schemaRefs/>
</ds:datastoreItem>
</file>

<file path=customXml/itemProps16.xml><?xml version="1.0" encoding="utf-8"?>
<ds:datastoreItem xmlns:ds="http://schemas.openxmlformats.org/officeDocument/2006/customXml" ds:itemID="{493329C5-7E00-4E13-87D6-70217E39D6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Loan_Data</vt:lpstr>
      <vt:lpstr>Reference_Tables</vt:lpstr>
      <vt:lpstr>Task_Workspace</vt:lpstr>
      <vt:lpstr>Pivot_Analysis</vt:lpstr>
      <vt:lpstr>Charts</vt:lpstr>
      <vt:lpstr>Dashboard_Shell</vt:lpstr>
      <vt:lpstr>Loan_Data!Criteria</vt:lpstr>
      <vt:lpstr>Loan_Data!Extract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GAURAV GiRi</cp:lastModifiedBy>
  <dcterms:created xsi:type="dcterms:W3CDTF">2026-03-16T07:50:29Z</dcterms:created>
  <dcterms:modified xsi:type="dcterms:W3CDTF">2026-08-18T14:04:12Z</dcterms:modified>
</cp:coreProperties>
</file>